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e63793979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" sheetId="1" r:id="Rd055732e2d6a4da7"/>
    <x:sheet xmlns:r="http://schemas.openxmlformats.org/officeDocument/2006/relationships" name="Purchase_Header" sheetId="2" r:id="R572fae2609854431"/>
    <x:sheet xmlns:r="http://schemas.openxmlformats.org/officeDocument/2006/relationships" name="Purchase_Items" sheetId="3" r:id="R7b16ae6dddc84de5"/>
    <x:sheet xmlns:r="http://schemas.openxmlformats.org/officeDocument/2006/relationships" name="Sales_Header" sheetId="4" r:id="R3814b107240d4b94"/>
    <x:sheet xmlns:r="http://schemas.openxmlformats.org/officeDocument/2006/relationships" name="Sales_Items" sheetId="5" r:id="R81145f28aa2a4e75"/>
    <x:sheet xmlns:r="http://schemas.openxmlformats.org/officeDocument/2006/relationships" name="Contoh_Jan2026" sheetId="6" r:id="R8739570f5eca4dde"/>
    <x:sheet xmlns:r="http://schemas.openxmlformats.org/officeDocument/2006/relationships" name="Referensi" sheetId="7" r:id="R9970a24d35be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"/>
    <x:numFmt numFmtId="203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8FBFD"/>
      </x:patternFill>
    </x:fill>
    <x:fill>
      <x:patternFill patternType="solid">
        <x:fgColor rgb="FFFFF2CC"/>
      </x:patternFill>
    </x:fill>
    <x:fill>
      <x:patternFill patternType="solid">
        <x:fgColor rgb="FFFFFBEB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202" fontId="2" fillId="3" borderId="0" xfId="0" applyNumberFormat="1" applyFont="1" applyFill="1" applyBorder="1"/>
    <x:xf numFmtId="203" fontId="2" fillId="3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203" fontId="2" fillId="4" borderId="0" xfId="0" applyNumberFormat="1" applyFont="1" applyFill="1" applyBorder="1"/>
    <x:xf numFmtId="201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bacdfaf3e4485" /><Relationship Type="http://schemas.openxmlformats.org/officeDocument/2006/relationships/theme" Target="/xl/theme/theme1.xml" Id="Re0b678519e324f93" /><Relationship Type="http://schemas.openxmlformats.org/officeDocument/2006/relationships/sharedStrings" Target="/xl/sharedStrings.xml" Id="Rf8fcba39742147ba" /><Relationship Type="http://schemas.openxmlformats.org/officeDocument/2006/relationships/worksheet" Target="/xl/worksheets/sheet1.xml" Id="Rd055732e2d6a4da7" /><Relationship Type="http://schemas.openxmlformats.org/officeDocument/2006/relationships/worksheet" Target="/xl/worksheets/sheet2.xml" Id="R572fae2609854431" /><Relationship Type="http://schemas.openxmlformats.org/officeDocument/2006/relationships/worksheet" Target="/xl/worksheets/sheet3.xml" Id="R7b16ae6dddc84de5" /><Relationship Type="http://schemas.openxmlformats.org/officeDocument/2006/relationships/worksheet" Target="/xl/worksheets/sheet4.xml" Id="R3814b107240d4b94" /><Relationship Type="http://schemas.openxmlformats.org/officeDocument/2006/relationships/worksheet" Target="/xl/worksheets/sheet5.xml" Id="R81145f28aa2a4e75" /><Relationship Type="http://schemas.openxmlformats.org/officeDocument/2006/relationships/worksheet" Target="/xl/worksheets/sheet6.xml" Id="R8739570f5eca4dde" /><Relationship Type="http://schemas.openxmlformats.org/officeDocument/2006/relationships/worksheet" Target="/xl/worksheets/sheet7.xml" Id="R9970a24d35be4e96" /></Relationships>
</file>

<file path=xl/tables/table1.xml><?xml version="1.0" encoding="utf-8"?>
<x:table xmlns:x="http://schemas.openxmlformats.org/spreadsheetml/2006/main" id="1" name="PurchaseHeaderImport" displayName="PurchaseHeaderImport" ref="A1:AC501" headerRowCount="1">
  <x:autoFilter ref="A1:AC501"/>
  <x:tableColumns count="29">
    <x:tableColumn id="1" name="external_purchase_code"/>
    <x:tableColumn id="2" name="purchase_date"/>
    <x:tableColumn id="3" name="due_date"/>
    <x:tableColumn id="4" name="vendor_code"/>
    <x:tableColumn id="5" name="project_code"/>
    <x:tableColumn id="6" name="payment_method"/>
    <x:tableColumn id="7" name="cash_bank_code"/>
    <x:tableColumn id="8" name="credit_account_code"/>
    <x:tableColumn id="9" name="discount_percent"/>
    <x:tableColumn id="10" name="freight_cost"/>
    <x:tableColumn id="11" name="ppn_rate"/>
    <x:tableColumn id="12" name="pph21_rate"/>
    <x:tableColumn id="13" name="pph23_rate"/>
    <x:tableColumn id="14" name="other_tax_additions"/>
    <x:tableColumn id="15" name="other_tax_deductions"/>
    <x:tableColumn id="16" name="payment_reference"/>
    <x:tableColumn id="17" name="initial_paid_amount"/>
    <x:tableColumn id="18" name="payment_date"/>
    <x:tableColumn id="19" name="pph_paid_amount"/>
    <x:tableColumn id="20" name="pph_payment_date"/>
    <x:tableColumn id="21" name="status_import"/>
    <x:tableColumn id="22" name="auto_post_journal"/>
    <x:tableColumn id="23" name="notes"/>
    <x:tableColumn id="24" name="check_item_net_total"/>
    <x:tableColumn id="25" name="check_order_discount_amount"/>
    <x:tableColumn id="26" name="check_ppn_amount"/>
    <x:tableColumn id="27" name="check_pph21_amount"/>
    <x:tableColumn id="28" name="check_pph23_amount"/>
    <x:tableColumn id="29" name="check_grand_total"/>
  </x:tableColumns>
  <x:tableStyleInfo name="TableStyleMedium2" showRowStripes="1"/>
</x:table>
</file>

<file path=xl/tables/table2.xml><?xml version="1.0" encoding="utf-8"?>
<x:table xmlns:x="http://schemas.openxmlformats.org/spreadsheetml/2006/main" id="2" name="PurchaseItemsImport" displayName="PurchaseItemsImport" ref="A1:P501" headerRowCount="1">
  <x:autoFilter ref="A1:P501"/>
  <x:tableColumns count="16">
    <x:tableColumn id="1" name="external_purchase_code"/>
    <x:tableColumn id="2" name="line_no"/>
    <x:tableColumn id="3" name="item_type"/>
    <x:tableColumn id="4" name="product_code"/>
    <x:tableColumn id="5" name="description"/>
    <x:tableColumn id="6" name="quantity"/>
    <x:tableColumn id="7" name="unit_price"/>
    <x:tableColumn id="8" name="discount_amount"/>
    <x:tableColumn id="9" name="tax_amount"/>
    <x:tableColumn id="10" name="expense_account_code"/>
    <x:tableColumn id="11" name="asset_category_code"/>
    <x:tableColumn id="12" name="amortization_month"/>
    <x:tableColumn id="13" name="receipt_qty"/>
    <x:tableColumn id="14" name="receipt_date"/>
    <x:tableColumn id="15" name="notes"/>
    <x:tableColumn id="16" name="check_line_net"/>
  </x:tableColumns>
  <x:tableStyleInfo name="TableStyleMedium2" showRowStripes="1"/>
</x:table>
</file>

<file path=xl/tables/table3.xml><?xml version="1.0" encoding="utf-8"?>
<x:table xmlns:x="http://schemas.openxmlformats.org/spreadsheetml/2006/main" id="3" name="SalesHeaderImport" displayName="SalesHeaderImport" ref="A1:AP501" headerRowCount="1">
  <x:autoFilter ref="A1:AP501"/>
  <x:tableColumns count="42">
    <x:tableColumn id="1" name="external_sale_code"/>
    <x:tableColumn id="2" name="invoice_number"/>
    <x:tableColumn id="3" name="sale_type"/>
    <x:tableColumn id="4" name="sale_date"/>
    <x:tableColumn id="5" name="due_date"/>
    <x:tableColumn id="6" name="customer_code"/>
    <x:tableColumn id="7" name="sales_person_code"/>
    <x:tableColumn id="8" name="invoice_type_code"/>
    <x:tableColumn id="9" name="project_code"/>
    <x:tableColumn id="10" name="currency"/>
    <x:tableColumn id="11" name="exchange_rate"/>
    <x:tableColumn id="12" name="discount_percent"/>
    <x:tableColumn id="13" name="ppn_rate"/>
    <x:tableColumn id="14" name="pph21_rate"/>
    <x:tableColumn id="15" name="pph23_rate"/>
    <x:tableColumn id="16" name="other_tax_additions"/>
    <x:tableColumn id="17" name="other_tax_deductions"/>
    <x:tableColumn id="18" name="payment_terms"/>
    <x:tableColumn id="19" name="payment_method_type"/>
    <x:tableColumn id="20" name="payment_method"/>
    <x:tableColumn id="21" name="cash_bank_code"/>
    <x:tableColumn id="22" name="shipping_method"/>
    <x:tableColumn id="23" name="shipping_cost"/>
    <x:tableColumn id="24" name="shipping_taxable"/>
    <x:tableColumn id="25" name="initial_paid_amount"/>
    <x:tableColumn id="26" name="payment_date"/>
    <x:tableColumn id="27" name="pph23_settlement_date"/>
    <x:tableColumn id="28" name="reduce_outstanding_for_pph23"/>
    <x:tableColumn id="29" name="reference"/>
    <x:tableColumn id="30" name="status_import"/>
    <x:tableColumn id="31" name="auto_post_journal"/>
    <x:tableColumn id="32" name="billing_address"/>
    <x:tableColumn id="33" name="shipping_address"/>
    <x:tableColumn id="34" name="notes"/>
    <x:tableColumn id="35" name="internal_notes"/>
    <x:tableColumn id="36" name="check_item_net_total"/>
    <x:tableColumn id="37" name="check_order_discount_amount"/>
    <x:tableColumn id="38" name="check_taxable_amount"/>
    <x:tableColumn id="39" name="check_ppn_amount"/>
    <x:tableColumn id="40" name="check_pph21_amount"/>
    <x:tableColumn id="41" name="check_pph23_amount"/>
    <x:tableColumn id="42" name="check_grand_total"/>
  </x:tableColumns>
  <x:tableStyleInfo name="TableStyleMedium2" showRowStripes="1"/>
</x:table>
</file>

<file path=xl/tables/table4.xml><?xml version="1.0" encoding="utf-8"?>
<x:table xmlns:x="http://schemas.openxmlformats.org/spreadsheetml/2006/main" id="4" name="SalesItemsImport" displayName="SalesItemsImport" ref="A1:O501" headerRowCount="1">
  <x:autoFilter ref="A1:O501"/>
  <x:tableColumns count="15">
    <x:tableColumn id="1" name="external_sale_code"/>
    <x:tableColumn id="2" name="line_no"/>
    <x:tableColumn id="3" name="product_code"/>
    <x:tableColumn id="4" name="product_name_override"/>
    <x:tableColumn id="5" name="description"/>
    <x:tableColumn id="6" name="location"/>
    <x:tableColumn id="7" name="quantity"/>
    <x:tableColumn id="8" name="unit_price"/>
    <x:tableColumn id="9" name="estimated_unit_cost"/>
    <x:tableColumn id="10" name="discount_percent"/>
    <x:tableColumn id="11" name="taxable"/>
    <x:tableColumn id="12" name="revenue_account_code"/>
    <x:tableColumn id="13" name="tax_account_code"/>
    <x:tableColumn id="14" name="notes"/>
    <x:tableColumn id="15" name="check_line_n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6c4ece2f5d43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44f4392c914a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ec38476f4e47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9faeba22f647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2.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8" t="str">
        <x:v>Template Import Historis Purchase &amp; Sales</x:v>
      </x:c>
      <x:c r="B1" s="18"/>
      <x:c r="C1" s="18"/>
      <x:c r="D1" s="18"/>
      <x:c r="E1" s="18"/>
      <x:c r="F1" s="18"/>
    </x:row>
    <x:row r="2">
      <x:c r="A2" s="20" t="str">
        <x:v>Scope</x:v>
      </x:c>
      <x:c r="B2" s="22" t="str">
        <x:v>Purchase dan Sales saja. Cocok untuk input data bulan lalu, contoh Januari 2026.</x:v>
      </x:c>
      <x:c r="C2" s="22"/>
      <x:c r="D2" s="22"/>
      <x:c r="E2" s="22"/>
      <x:c r="F2" s="22"/>
    </x:row>
    <x:row r="3">
      <x:c r="A3" s="20" t="str">
        <x:v>Urutan isi</x:v>
      </x:c>
      <x:c r="B3" s="22" t="str">
        <x:v>1) Purchase_Header/Sales_Header, 2) Purchase_Items/Sales_Items. Satu external_code di header bisa punya banyak baris item.</x:v>
      </x:c>
      <x:c r="C3" s="22"/>
      <x:c r="D3" s="22"/>
      <x:c r="E3" s="22"/>
      <x:c r="F3" s="22"/>
    </x:row>
    <x:row r="4">
      <x:c r="A4" s="20" t="str">
        <x:v>Kunci relasi</x:v>
      </x:c>
      <x:c r="B4" s="22" t="str">
        <x:v>Gunakan external_purchase_code dan external_sale_code sebagai kode unik dalam file. Item harus memakai kode yang sama dengan header.</x:v>
      </x:c>
      <x:c r="C4" s="22"/>
      <x:c r="D4" s="22"/>
      <x:c r="E4" s="22"/>
      <x:c r="F4" s="22"/>
    </x:row>
    <x:row r="5">
      <x:c r="A5" s="20" t="str">
        <x:v>Referensi database</x:v>
      </x:c>
      <x:c r="B5" s="22" t="str">
        <x:v>vendor_code/customer_code/product_code/account_code harus sudah ada di ERP, kecuali importer nanti dibuat untuk auto-create master.</x:v>
      </x:c>
      <x:c r="C5" s="22"/>
      <x:c r="D5" s="22"/>
      <x:c r="E5" s="22"/>
      <x:c r="F5" s="22"/>
    </x:row>
    <x:row r="6">
      <x:c r="A6" s="20" t="str">
        <x:v>Tanggal</x:v>
      </x:c>
      <x:c r="B6" s="22" t="str">
        <x:v>Gunakan format yyyy-mm-dd. Untuk Januari 2026 contoh: 2026-01-15.</x:v>
      </x:c>
      <x:c r="C6" s="22"/>
      <x:c r="D6" s="22"/>
      <x:c r="E6" s="22"/>
      <x:c r="F6" s="22"/>
    </x:row>
    <x:row r="7">
      <x:c r="A7" s="20" t="str">
        <x:v>Pajak Purchase</x:v>
      </x:c>
      <x:c r="B7" s="22" t="str">
        <x:v>PPN/PPh dihitung dari net before tax. discount_amount di Purchase_Items adalah nominal rupiah, discount_percent di header adalah persen order.</x:v>
      </x:c>
      <x:c r="C7" s="22"/>
      <x:c r="D7" s="22"/>
      <x:c r="E7" s="22"/>
      <x:c r="F7" s="22"/>
    </x:row>
    <x:row r="8">
      <x:c r="A8" s="20" t="str">
        <x:v>Pajak Sales</x:v>
      </x:c>
      <x:c r="B8" s="22" t="str">
        <x:v>discount_percent item/header berbentuk persen. Total mengikuti logika SalesServiceV2: taxable_amount + PPN + other additions + shipping - PPh - other deductions.</x:v>
      </x:c>
      <x:c r="C8" s="22"/>
      <x:c r="D8" s="22"/>
      <x:c r="E8" s="22"/>
      <x:c r="F8" s="22"/>
    </x:row>
    <x:row r="9">
      <x:c r="A9" s="20" t="str">
        <x:v>Posting jurnal</x:v>
      </x:c>
      <x:c r="B9" s="22" t="str">
        <x:v>auto_post_journal = YES hanya dipakai jika fitur importer dibuat untuk langsung posting. Jika periode Januari 2026 sudah closed, sistem harus menolak posting.</x:v>
      </x:c>
      <x:c r="C9" s="22"/>
      <x:c r="D9" s="22"/>
      <x:c r="E9" s="22"/>
      <x:c r="F9" s="22"/>
    </x:row>
    <x:row r="10">
      <x:c r="A10" s="20" t="str">
        <x:v>Kolom check_*</x:v>
      </x:c>
      <x:c r="B10" s="22" t="str">
        <x:v>Kolom check_* adalah formula validasi untuk user. Importer sebaiknya mengabaikan kolom ini dan menghitung ulang di backend.</x:v>
      </x:c>
      <x:c r="C10" s="22"/>
      <x:c r="D10" s="22"/>
      <x:c r="E10" s="22"/>
      <x:c r="F10" s="22"/>
    </x:row>
    <x:row r="11">
      <x:c r="A11" s="20" t="str">
        <x:v>Sheet upload</x:v>
      </x:c>
      <x:c r="B11" s="22" t="str">
        <x:v>Purchase_Header, Purchase_Items, Sales_Header, Sales_Items.</x:v>
      </x:c>
      <x:c r="C11" s="22"/>
      <x:c r="D11" s="22"/>
      <x:c r="E11" s="22"/>
      <x:c r="F11" s="22"/>
    </x:row>
    <x:row r="12">
      <x:c r="A12" s="20" t="str">
        <x:v>Sheet bantuan</x:v>
      </x:c>
      <x:c r="B12" s="22" t="str">
        <x:v>Referensi berisi nilai dropdown. Contoh_Jan2026 berisi contoh pengisian dan tidak perlu diupload.</x:v>
      </x:c>
      <x:c r="C12" s="22"/>
      <x:c r="D12" s="22"/>
      <x:c r="E12" s="22"/>
      <x:c r="F12" s="22"/>
    </x:row>
    <x:row r="13">
      <x:c r="A13" s="25" t="str">
        <x:v>Baris contoh</x:v>
      </x:c>
      <x:c r="B13" s="27" t="str">
        <x:v>Baris 2-3 pada sheet Purchase/Sales berisi contoh transaksi dengan kode CONTOH-*. Hapus atau replace baris contoh sebelum upload data asli.</x:v>
      </x:c>
      <x:c r="C13" s="27"/>
      <x:c r="D13" s="27"/>
      <x:c r="E13" s="27"/>
      <x:c r="F13" s="27"/>
    </x:row>
    <x:row r="14">
      <x:c r="A14" s="25" t="str">
        <x:v>Kode master contoh</x:v>
      </x:c>
      <x:c r="B14" s="27" t="str">
        <x:v>VND-0001, CUST-0001, PRD-0001, PRD-0002, dan COA harus diganti sesuai kode yang benar di database ERP.</x:v>
      </x:c>
      <x:c r="C14" s="27"/>
      <x:c r="D14" s="27"/>
      <x:c r="E14" s="27"/>
      <x:c r="F14" s="27"/>
    </x:row>
    <x:row r="15">
      <x:c r="A15" s="25" t="str">
        <x:v>Validasi total</x:v>
      </x:c>
      <x:c r="B15" s="27" t="str">
        <x:v>Kolom check_* akan otomatis menghitung total agar user bisa cek sebelum upload. Backend tetap harus hitung ulang saat import.</x:v>
      </x:c>
      <x:c r="C15" s="27"/>
      <x:c r="D15" s="27"/>
      <x:c r="E15" s="27"/>
      <x:c r="F15" s="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3.130000114440918" hidden="0" customWidth="1"/>
    <x:col min="3" max="3" width="13.130000114440918" hidden="0" customWidth="1"/>
    <x:col min="4" max="4" width="15" hidden="0" customWidth="1"/>
    <x:col min="5" max="5" width="13.130000114440918" hidden="0" customWidth="1"/>
    <x:col min="6" max="6" width="16.8799991607666" hidden="0" customWidth="1"/>
    <x:col min="7" max="7" width="15.630000114440918" hidden="0" customWidth="1"/>
    <x:col min="8" max="8" width="18.1299991607666" hidden="0" customWidth="1"/>
    <x:col min="9" max="9" width="14.380000114440918" hidden="0" customWidth="1"/>
    <x:col min="10" max="10" width="13.7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6.8799991607666" hidden="0" customWidth="1"/>
    <x:col min="15" max="15" width="16.8799991607666" hidden="0" customWidth="1"/>
    <x:col min="16" max="16" width="18.75" hidden="0" customWidth="1"/>
    <x:col min="17" max="17" width="16.25" hidden="0" customWidth="1"/>
    <x:col min="18" max="18" width="13.130000114440918" hidden="0" customWidth="1"/>
    <x:col min="19" max="19" width="15" hidden="0" customWidth="1"/>
    <x:col min="20" max="20" width="13.130000114440918" hidden="0" customWidth="1"/>
    <x:col min="21" max="21" width="18.75" hidden="0" customWidth="1"/>
    <x:col min="22" max="22" width="15" hidden="0" customWidth="1"/>
    <x:col min="23" max="23" width="32.5" hidden="0" customWidth="1"/>
    <x:col min="24" max="24" width="16.8799991607666" hidden="0" customWidth="1"/>
    <x:col min="25" max="25" width="19.3799991607666" hidden="0" customWidth="1"/>
    <x:col min="26" max="26" width="16.25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</x:cols>
  <x:sheetData>
    <x:row r="1">
      <x:c r="A1" s="5" t="str">
        <x:v>external_purchase_code</x:v>
      </x:c>
      <x:c r="B1" s="5" t="str">
        <x:v>purchase_date</x:v>
      </x:c>
      <x:c r="C1" s="5" t="str">
        <x:v>due_date</x:v>
      </x:c>
      <x:c r="D1" s="5" t="str">
        <x:v>vendor_code</x:v>
      </x:c>
      <x:c r="E1" s="5" t="str">
        <x:v>project_code</x:v>
      </x:c>
      <x:c r="F1" s="5" t="str">
        <x:v>payment_method</x:v>
      </x:c>
      <x:c r="G1" s="5" t="str">
        <x:v>cash_bank_code</x:v>
      </x:c>
      <x:c r="H1" s="5" t="str">
        <x:v>credit_account_code</x:v>
      </x:c>
      <x:c r="I1" s="5" t="str">
        <x:v>discount_percent</x:v>
      </x:c>
      <x:c r="J1" s="5" t="str">
        <x:v>freight_cost</x:v>
      </x:c>
      <x:c r="K1" s="5" t="str">
        <x:v>ppn_rate</x:v>
      </x:c>
      <x:c r="L1" s="5" t="str">
        <x:v>pph21_rate</x:v>
      </x:c>
      <x:c r="M1" s="5" t="str">
        <x:v>pph23_rate</x:v>
      </x:c>
      <x:c r="N1" s="5" t="str">
        <x:v>other_tax_additions</x:v>
      </x:c>
      <x:c r="O1" s="5" t="str">
        <x:v>other_tax_deductions</x:v>
      </x:c>
      <x:c r="P1" s="5" t="str">
        <x:v>payment_reference</x:v>
      </x:c>
      <x:c r="Q1" s="5" t="str">
        <x:v>initial_paid_amount</x:v>
      </x:c>
      <x:c r="R1" s="5" t="str">
        <x:v>payment_date</x:v>
      </x:c>
      <x:c r="S1" s="5" t="str">
        <x:v>pph_paid_amount</x:v>
      </x:c>
      <x:c r="T1" s="5" t="str">
        <x:v>pph_payment_date</x:v>
      </x:c>
      <x:c r="U1" s="5" t="str">
        <x:v>status_import</x:v>
      </x:c>
      <x:c r="V1" s="5" t="str">
        <x:v>auto_post_journal</x:v>
      </x:c>
      <x:c r="W1" s="5" t="str">
        <x:v>notes</x:v>
      </x:c>
      <x:c r="X1" s="5" t="str">
        <x:v>check_item_net_total</x:v>
      </x:c>
      <x:c r="Y1" s="5" t="str">
        <x:v>check_order_discount_amount</x:v>
      </x:c>
      <x:c r="Z1" s="5" t="str">
        <x:v>check_ppn_amount</x:v>
      </x:c>
      <x:c r="AA1" s="5" t="str">
        <x:v>check_pph21_amount</x:v>
      </x:c>
      <x:c r="AB1" s="5" t="str">
        <x:v>check_pph23_amount</x:v>
      </x:c>
      <x:c r="AC1" s="5" t="str">
        <x:v>check_grand_total</x:v>
      </x:c>
    </x:row>
    <x:row r="2">
      <x:c r="A2" s="13" t="str">
        <x:v>CONTOH-PUR-2026-01-0001</x:v>
      </x:c>
      <x:c r="B2" s="14" t="str">
        <x:v>Thu Jan 15 2026 00:00:00 GMT+0700 (Indochina Time)</x:v>
      </x:c>
      <x:c r="C2" s="8" t="str">
        <x:v>Sat Feb 14 2026 00:00:00 GMT+0700 (Indochina Time)</x:v>
      </x:c>
      <x:c r="D2" s="13" t="str">
        <x:v>VND-0001</x:v>
      </x:c>
      <x:c r="E2" s="7" t="str"/>
      <x:c r="F2" s="13" t="str">
        <x:v>CREDIT</x:v>
      </x:c>
      <x:c r="G2" s="7" t="str"/>
      <x:c r="H2" s="7" t="str">
        <x:v>2101-001</x:v>
      </x:c>
      <x:c r="I2" s="10" t="n">
        <x:v>0</x:v>
      </x:c>
      <x:c r="J2" s="9" t="n">
        <x:v>50000</x:v>
      </x:c>
      <x:c r="K2" s="10" t="n">
        <x:v>11</x:v>
      </x:c>
      <x:c r="L2" s="10" t="n">
        <x:v>0</x:v>
      </x:c>
      <x:c r="M2" s="10" t="n">
        <x:v>2</x:v>
      </x:c>
      <x:c r="N2" s="9" t="n">
        <x:v>0</x:v>
      </x:c>
      <x:c r="O2" s="9" t="n">
        <x:v>0</x:v>
      </x:c>
      <x:c r="P2" s="7" t="str">
        <x:v>INV-VND-0001-JAN26</x:v>
      </x:c>
      <x:c r="Q2" s="9" t="n">
        <x:v>0</x:v>
      </x:c>
      <x:c r="R2" s="8"/>
      <x:c r="S2" s="9" t="n">
        <x:v>0</x:v>
      </x:c>
      <x:c r="T2" s="8"/>
      <x:c r="U2" s="13" t="str">
        <x:v>DRAFT</x:v>
      </x:c>
      <x:c r="V2" s="7" t="str">
        <x:v>NO</x:v>
      </x:c>
      <x:c r="W2" s="7" t="str">
        <x:v>CONTOH SAJA - hapus baris ini sebelum upload data asli</x:v>
      </x:c>
      <x:c r="X2" s="9" t="n">
        <x:f>IF($A2="","",SUMIF(Purchase_Items!$A$2:$A$501,$A2,Purchase_Items!$P$2:$P$501))</x:f>
        <x:v>25750000</x:v>
      </x:c>
      <x:c r="Y2" s="9" t="n">
        <x:f>IF($A2="","",$X2*$I2/100)</x:f>
        <x:v>0</x:v>
      </x:c>
      <x:c r="Z2" s="9" t="n">
        <x:f>IF($A2="","",MAX(0,($X2-$Y2)*$K2/100))</x:f>
        <x:v>2832500</x:v>
      </x:c>
      <x:c r="AA2" s="9" t="n">
        <x:f>IF($A2="","",MAX(0,($X2-$Y2)*$L2/100))</x:f>
        <x:v>0</x:v>
      </x:c>
      <x:c r="AB2" s="9" t="n">
        <x:f>IF($A2="","",MAX(0,($X2-$Y2)*$M2/100))</x:f>
        <x:v>515000</x:v>
      </x:c>
      <x:c r="AC2" s="9" t="n">
        <x:f>IF($A2="","",MAX(0,($X2-$Y2)+$J2+$Z2+$N2-$AA2-$AB2-$O2))</x:f>
        <x:v>28117500</x:v>
      </x:c>
    </x:row>
    <x:row r="3">
      <x:c r="A3" s="13"/>
      <x:c r="B3" s="14"/>
      <x:c r="C3" s="8"/>
      <x:c r="D3" s="13"/>
      <x:c r="E3" s="7"/>
      <x:c r="F3" s="13"/>
      <x:c r="G3" s="7"/>
      <x:c r="H3" s="7"/>
      <x:c r="I3" s="10"/>
      <x:c r="J3" s="9"/>
      <x:c r="K3" s="10"/>
      <x:c r="L3" s="10"/>
      <x:c r="M3" s="10"/>
      <x:c r="N3" s="9"/>
      <x:c r="O3" s="9"/>
      <x:c r="P3" s="7"/>
      <x:c r="Q3" s="9"/>
      <x:c r="R3" s="8"/>
      <x:c r="S3" s="9"/>
      <x:c r="T3" s="8"/>
      <x:c r="U3" s="13"/>
      <x:c r="V3" s="7"/>
      <x:c r="W3" s="7"/>
      <x:c r="X3" s="9" t="str">
        <x:f>IF($A3="","",SUMIF(Purchase_Items!$A$2:$A$501,$A3,Purchase_Items!$P$2:$P$501))</x:f>
      </x:c>
      <x:c r="Y3" s="9" t="str">
        <x:f>IF($A3="","",$X3*$I3/100)</x:f>
      </x:c>
      <x:c r="Z3" s="9" t="str">
        <x:f>IF($A3="","",MAX(0,($X3-$Y3)*$K3/100))</x:f>
      </x:c>
      <x:c r="AA3" s="9" t="str">
        <x:f>IF($A3="","",MAX(0,($X3-$Y3)*$L3/100))</x:f>
      </x:c>
      <x:c r="AB3" s="9" t="str">
        <x:f>IF($A3="","",MAX(0,($X3-$Y3)*$M3/100))</x:f>
      </x:c>
      <x:c r="AC3" s="9" t="str">
        <x:f>IF($A3="","",MAX(0,($X3-$Y3)+$J3+$Z3+$N3-$AA3-$AB3-$O3))</x:f>
      </x:c>
    </x:row>
    <x:row r="4">
      <x:c r="A4" s="13"/>
      <x:c r="B4" s="14"/>
      <x:c r="C4" s="8"/>
      <x:c r="D4" s="13"/>
      <x:c r="E4" s="7"/>
      <x:c r="F4" s="13"/>
      <x:c r="G4" s="7"/>
      <x:c r="H4" s="7"/>
      <x:c r="I4" s="10"/>
      <x:c r="J4" s="9"/>
      <x:c r="K4" s="10"/>
      <x:c r="L4" s="10"/>
      <x:c r="M4" s="10"/>
      <x:c r="N4" s="9"/>
      <x:c r="O4" s="9"/>
      <x:c r="P4" s="7"/>
      <x:c r="Q4" s="9"/>
      <x:c r="R4" s="8"/>
      <x:c r="S4" s="9"/>
      <x:c r="T4" s="8"/>
      <x:c r="U4" s="13"/>
      <x:c r="V4" s="7"/>
      <x:c r="W4" s="7"/>
      <x:c r="X4" s="9" t="str">
        <x:f>IF($A4="","",SUMIF(Purchase_Items!$A$2:$A$501,$A4,Purchase_Items!$P$2:$P$501))</x:f>
      </x:c>
      <x:c r="Y4" s="9" t="str">
        <x:f>IF($A4="","",$X4*$I4/100)</x:f>
      </x:c>
      <x:c r="Z4" s="9" t="str">
        <x:f>IF($A4="","",MAX(0,($X4-$Y4)*$K4/100))</x:f>
      </x:c>
      <x:c r="AA4" s="9" t="str">
        <x:f>IF($A4="","",MAX(0,($X4-$Y4)*$L4/100))</x:f>
      </x:c>
      <x:c r="AB4" s="9" t="str">
        <x:f>IF($A4="","",MAX(0,($X4-$Y4)*$M4/100))</x:f>
      </x:c>
      <x:c r="AC4" s="9" t="str">
        <x:f>IF($A4="","",MAX(0,($X4-$Y4)+$J4+$Z4+$N4-$AA4-$AB4-$O4))</x:f>
      </x:c>
    </x:row>
    <x:row r="5">
      <x:c r="A5" s="13"/>
      <x:c r="B5" s="14"/>
      <x:c r="C5" s="8"/>
      <x:c r="D5" s="13"/>
      <x:c r="E5" s="7"/>
      <x:c r="F5" s="13"/>
      <x:c r="G5" s="7"/>
      <x:c r="H5" s="7"/>
      <x:c r="I5" s="10"/>
      <x:c r="J5" s="9"/>
      <x:c r="K5" s="10"/>
      <x:c r="L5" s="10"/>
      <x:c r="M5" s="10"/>
      <x:c r="N5" s="9"/>
      <x:c r="O5" s="9"/>
      <x:c r="P5" s="7"/>
      <x:c r="Q5" s="9"/>
      <x:c r="R5" s="8"/>
      <x:c r="S5" s="9"/>
      <x:c r="T5" s="8"/>
      <x:c r="U5" s="13"/>
      <x:c r="V5" s="7"/>
      <x:c r="W5" s="7"/>
      <x:c r="X5" s="9" t="str">
        <x:f>IF($A5="","",SUMIF(Purchase_Items!$A$2:$A$501,$A5,Purchase_Items!$P$2:$P$501))</x:f>
      </x:c>
      <x:c r="Y5" s="9" t="str">
        <x:f>IF($A5="","",$X5*$I5/100)</x:f>
      </x:c>
      <x:c r="Z5" s="9" t="str">
        <x:f>IF($A5="","",MAX(0,($X5-$Y5)*$K5/100))</x:f>
      </x:c>
      <x:c r="AA5" s="9" t="str">
        <x:f>IF($A5="","",MAX(0,($X5-$Y5)*$L5/100))</x:f>
      </x:c>
      <x:c r="AB5" s="9" t="str">
        <x:f>IF($A5="","",MAX(0,($X5-$Y5)*$M5/100))</x:f>
      </x:c>
      <x:c r="AC5" s="9" t="str">
        <x:f>IF($A5="","",MAX(0,($X5-$Y5)+$J5+$Z5+$N5-$AA5-$AB5-$O5))</x:f>
      </x:c>
    </x:row>
    <x:row r="6">
      <x:c r="A6" s="13"/>
      <x:c r="B6" s="14"/>
      <x:c r="C6" s="8"/>
      <x:c r="D6" s="13"/>
      <x:c r="E6" s="7"/>
      <x:c r="F6" s="13"/>
      <x:c r="G6" s="7"/>
      <x:c r="H6" s="7"/>
      <x:c r="I6" s="10"/>
      <x:c r="J6" s="9"/>
      <x:c r="K6" s="10"/>
      <x:c r="L6" s="10"/>
      <x:c r="M6" s="10"/>
      <x:c r="N6" s="9"/>
      <x:c r="O6" s="9"/>
      <x:c r="P6" s="7"/>
      <x:c r="Q6" s="9"/>
      <x:c r="R6" s="8"/>
      <x:c r="S6" s="9"/>
      <x:c r="T6" s="8"/>
      <x:c r="U6" s="13"/>
      <x:c r="V6" s="7"/>
      <x:c r="W6" s="7"/>
      <x:c r="X6" s="9" t="str">
        <x:f>IF($A6="","",SUMIF(Purchase_Items!$A$2:$A$501,$A6,Purchase_Items!$P$2:$P$501))</x:f>
      </x:c>
      <x:c r="Y6" s="9" t="str">
        <x:f>IF($A6="","",$X6*$I6/100)</x:f>
      </x:c>
      <x:c r="Z6" s="9" t="str">
        <x:f>IF($A6="","",MAX(0,($X6-$Y6)*$K6/100))</x:f>
      </x:c>
      <x:c r="AA6" s="9" t="str">
        <x:f>IF($A6="","",MAX(0,($X6-$Y6)*$L6/100))</x:f>
      </x:c>
      <x:c r="AB6" s="9" t="str">
        <x:f>IF($A6="","",MAX(0,($X6-$Y6)*$M6/100))</x:f>
      </x:c>
      <x:c r="AC6" s="9" t="str">
        <x:f>IF($A6="","",MAX(0,($X6-$Y6)+$J6+$Z6+$N6-$AA6-$AB6-$O6))</x:f>
      </x:c>
    </x:row>
    <x:row r="7">
      <x:c r="A7" s="13"/>
      <x:c r="B7" s="14"/>
      <x:c r="C7" s="8"/>
      <x:c r="D7" s="13"/>
      <x:c r="E7" s="7"/>
      <x:c r="F7" s="13"/>
      <x:c r="G7" s="7"/>
      <x:c r="H7" s="7"/>
      <x:c r="I7" s="10"/>
      <x:c r="J7" s="9"/>
      <x:c r="K7" s="10"/>
      <x:c r="L7" s="10"/>
      <x:c r="M7" s="10"/>
      <x:c r="N7" s="9"/>
      <x:c r="O7" s="9"/>
      <x:c r="P7" s="7"/>
      <x:c r="Q7" s="9"/>
      <x:c r="R7" s="8"/>
      <x:c r="S7" s="9"/>
      <x:c r="T7" s="8"/>
      <x:c r="U7" s="13"/>
      <x:c r="V7" s="7"/>
      <x:c r="W7" s="7"/>
      <x:c r="X7" s="9" t="str">
        <x:f>IF($A7="","",SUMIF(Purchase_Items!$A$2:$A$501,$A7,Purchase_Items!$P$2:$P$501))</x:f>
      </x:c>
      <x:c r="Y7" s="9" t="str">
        <x:f>IF($A7="","",$X7*$I7/100)</x:f>
      </x:c>
      <x:c r="Z7" s="9" t="str">
        <x:f>IF($A7="","",MAX(0,($X7-$Y7)*$K7/100))</x:f>
      </x:c>
      <x:c r="AA7" s="9" t="str">
        <x:f>IF($A7="","",MAX(0,($X7-$Y7)*$L7/100))</x:f>
      </x:c>
      <x:c r="AB7" s="9" t="str">
        <x:f>IF($A7="","",MAX(0,($X7-$Y7)*$M7/100))</x:f>
      </x:c>
      <x:c r="AC7" s="9" t="str">
        <x:f>IF($A7="","",MAX(0,($X7-$Y7)+$J7+$Z7+$N7-$AA7-$AB7-$O7))</x:f>
      </x:c>
    </x:row>
    <x:row r="8">
      <x:c r="A8" s="13"/>
      <x:c r="B8" s="14"/>
      <x:c r="C8" s="8"/>
      <x:c r="D8" s="13"/>
      <x:c r="E8" s="7"/>
      <x:c r="F8" s="13"/>
      <x:c r="G8" s="7"/>
      <x:c r="H8" s="7"/>
      <x:c r="I8" s="10"/>
      <x:c r="J8" s="9"/>
      <x:c r="K8" s="10"/>
      <x:c r="L8" s="10"/>
      <x:c r="M8" s="10"/>
      <x:c r="N8" s="9"/>
      <x:c r="O8" s="9"/>
      <x:c r="P8" s="7"/>
      <x:c r="Q8" s="9"/>
      <x:c r="R8" s="8"/>
      <x:c r="S8" s="9"/>
      <x:c r="T8" s="8"/>
      <x:c r="U8" s="13"/>
      <x:c r="V8" s="7"/>
      <x:c r="W8" s="7"/>
      <x:c r="X8" s="9" t="str">
        <x:f>IF($A8="","",SUMIF(Purchase_Items!$A$2:$A$501,$A8,Purchase_Items!$P$2:$P$501))</x:f>
      </x:c>
      <x:c r="Y8" s="9" t="str">
        <x:f>IF($A8="","",$X8*$I8/100)</x:f>
      </x:c>
      <x:c r="Z8" s="9" t="str">
        <x:f>IF($A8="","",MAX(0,($X8-$Y8)*$K8/100))</x:f>
      </x:c>
      <x:c r="AA8" s="9" t="str">
        <x:f>IF($A8="","",MAX(0,($X8-$Y8)*$L8/100))</x:f>
      </x:c>
      <x:c r="AB8" s="9" t="str">
        <x:f>IF($A8="","",MAX(0,($X8-$Y8)*$M8/100))</x:f>
      </x:c>
      <x:c r="AC8" s="9" t="str">
        <x:f>IF($A8="","",MAX(0,($X8-$Y8)+$J8+$Z8+$N8-$AA8-$AB8-$O8))</x:f>
      </x:c>
    </x:row>
    <x:row r="9">
      <x:c r="A9" s="13"/>
      <x:c r="B9" s="14"/>
      <x:c r="C9" s="8"/>
      <x:c r="D9" s="13"/>
      <x:c r="E9" s="7"/>
      <x:c r="F9" s="13"/>
      <x:c r="G9" s="7"/>
      <x:c r="H9" s="7"/>
      <x:c r="I9" s="10"/>
      <x:c r="J9" s="9"/>
      <x:c r="K9" s="10"/>
      <x:c r="L9" s="10"/>
      <x:c r="M9" s="10"/>
      <x:c r="N9" s="9"/>
      <x:c r="O9" s="9"/>
      <x:c r="P9" s="7"/>
      <x:c r="Q9" s="9"/>
      <x:c r="R9" s="8"/>
      <x:c r="S9" s="9"/>
      <x:c r="T9" s="8"/>
      <x:c r="U9" s="13"/>
      <x:c r="V9" s="7"/>
      <x:c r="W9" s="7"/>
      <x:c r="X9" s="9" t="str">
        <x:f>IF($A9="","",SUMIF(Purchase_Items!$A$2:$A$501,$A9,Purchase_Items!$P$2:$P$501))</x:f>
      </x:c>
      <x:c r="Y9" s="9" t="str">
        <x:f>IF($A9="","",$X9*$I9/100)</x:f>
      </x:c>
      <x:c r="Z9" s="9" t="str">
        <x:f>IF($A9="","",MAX(0,($X9-$Y9)*$K9/100))</x:f>
      </x:c>
      <x:c r="AA9" s="9" t="str">
        <x:f>IF($A9="","",MAX(0,($X9-$Y9)*$L9/100))</x:f>
      </x:c>
      <x:c r="AB9" s="9" t="str">
        <x:f>IF($A9="","",MAX(0,($X9-$Y9)*$M9/100))</x:f>
      </x:c>
      <x:c r="AC9" s="9" t="str">
        <x:f>IF($A9="","",MAX(0,($X9-$Y9)+$J9+$Z9+$N9-$AA9-$AB9-$O9))</x:f>
      </x:c>
    </x:row>
    <x:row r="10">
      <x:c r="A10" s="13"/>
      <x:c r="B10" s="14"/>
      <x:c r="C10" s="8"/>
      <x:c r="D10" s="13"/>
      <x:c r="E10" s="7"/>
      <x:c r="F10" s="13"/>
      <x:c r="G10" s="7"/>
      <x:c r="H10" s="7"/>
      <x:c r="I10" s="10"/>
      <x:c r="J10" s="9"/>
      <x:c r="K10" s="10"/>
      <x:c r="L10" s="10"/>
      <x:c r="M10" s="10"/>
      <x:c r="N10" s="9"/>
      <x:c r="O10" s="9"/>
      <x:c r="P10" s="7"/>
      <x:c r="Q10" s="9"/>
      <x:c r="R10" s="8"/>
      <x:c r="S10" s="9"/>
      <x:c r="T10" s="8"/>
      <x:c r="U10" s="13"/>
      <x:c r="V10" s="7"/>
      <x:c r="W10" s="7"/>
      <x:c r="X10" s="9" t="str">
        <x:f>IF($A10="","",SUMIF(Purchase_Items!$A$2:$A$501,$A10,Purchase_Items!$P$2:$P$501))</x:f>
      </x:c>
      <x:c r="Y10" s="9" t="str">
        <x:f>IF($A10="","",$X10*$I10/100)</x:f>
      </x:c>
      <x:c r="Z10" s="9" t="str">
        <x:f>IF($A10="","",MAX(0,($X10-$Y10)*$K10/100))</x:f>
      </x:c>
      <x:c r="AA10" s="9" t="str">
        <x:f>IF($A10="","",MAX(0,($X10-$Y10)*$L10/100))</x:f>
      </x:c>
      <x:c r="AB10" s="9" t="str">
        <x:f>IF($A10="","",MAX(0,($X10-$Y10)*$M10/100))</x:f>
      </x:c>
      <x:c r="AC10" s="9" t="str">
        <x:f>IF($A10="","",MAX(0,($X10-$Y10)+$J10+$Z10+$N10-$AA10-$AB10-$O10))</x:f>
      </x:c>
    </x:row>
    <x:row r="11">
      <x:c r="A11" s="13"/>
      <x:c r="B11" s="14"/>
      <x:c r="C11" s="8"/>
      <x:c r="D11" s="13"/>
      <x:c r="E11" s="7"/>
      <x:c r="F11" s="13"/>
      <x:c r="G11" s="7"/>
      <x:c r="H11" s="7"/>
      <x:c r="I11" s="10"/>
      <x:c r="J11" s="9"/>
      <x:c r="K11" s="10"/>
      <x:c r="L11" s="10"/>
      <x:c r="M11" s="10"/>
      <x:c r="N11" s="9"/>
      <x:c r="O11" s="9"/>
      <x:c r="P11" s="7"/>
      <x:c r="Q11" s="9"/>
      <x:c r="R11" s="8"/>
      <x:c r="S11" s="9"/>
      <x:c r="T11" s="8"/>
      <x:c r="U11" s="13"/>
      <x:c r="V11" s="7"/>
      <x:c r="W11" s="7"/>
      <x:c r="X11" s="9" t="str">
        <x:f>IF($A11="","",SUMIF(Purchase_Items!$A$2:$A$501,$A11,Purchase_Items!$P$2:$P$501))</x:f>
      </x:c>
      <x:c r="Y11" s="9" t="str">
        <x:f>IF($A11="","",$X11*$I11/100)</x:f>
      </x:c>
      <x:c r="Z11" s="9" t="str">
        <x:f>IF($A11="","",MAX(0,($X11-$Y11)*$K11/100))</x:f>
      </x:c>
      <x:c r="AA11" s="9" t="str">
        <x:f>IF($A11="","",MAX(0,($X11-$Y11)*$L11/100))</x:f>
      </x:c>
      <x:c r="AB11" s="9" t="str">
        <x:f>IF($A11="","",MAX(0,($X11-$Y11)*$M11/100))</x:f>
      </x:c>
      <x:c r="AC11" s="9" t="str">
        <x:f>IF($A11="","",MAX(0,($X11-$Y11)+$J11+$Z11+$N11-$AA11-$AB11-$O11))</x:f>
      </x:c>
    </x:row>
    <x:row r="12">
      <x:c r="A12" s="13"/>
      <x:c r="B12" s="14"/>
      <x:c r="C12" s="8"/>
      <x:c r="D12" s="13"/>
      <x:c r="E12" s="7"/>
      <x:c r="F12" s="13"/>
      <x:c r="G12" s="7"/>
      <x:c r="H12" s="7"/>
      <x:c r="I12" s="10"/>
      <x:c r="J12" s="9"/>
      <x:c r="K12" s="10"/>
      <x:c r="L12" s="10"/>
      <x:c r="M12" s="10"/>
      <x:c r="N12" s="9"/>
      <x:c r="O12" s="9"/>
      <x:c r="P12" s="7"/>
      <x:c r="Q12" s="9"/>
      <x:c r="R12" s="8"/>
      <x:c r="S12" s="9"/>
      <x:c r="T12" s="8"/>
      <x:c r="U12" s="13"/>
      <x:c r="V12" s="7"/>
      <x:c r="W12" s="7"/>
      <x:c r="X12" s="9" t="str">
        <x:f>IF($A12="","",SUMIF(Purchase_Items!$A$2:$A$501,$A12,Purchase_Items!$P$2:$P$501))</x:f>
      </x:c>
      <x:c r="Y12" s="9" t="str">
        <x:f>IF($A12="","",$X12*$I12/100)</x:f>
      </x:c>
      <x:c r="Z12" s="9" t="str">
        <x:f>IF($A12="","",MAX(0,($X12-$Y12)*$K12/100))</x:f>
      </x:c>
      <x:c r="AA12" s="9" t="str">
        <x:f>IF($A12="","",MAX(0,($X12-$Y12)*$L12/100))</x:f>
      </x:c>
      <x:c r="AB12" s="9" t="str">
        <x:f>IF($A12="","",MAX(0,($X12-$Y12)*$M12/100))</x:f>
      </x:c>
      <x:c r="AC12" s="9" t="str">
        <x:f>IF($A12="","",MAX(0,($X12-$Y12)+$J12+$Z12+$N12-$AA12-$AB12-$O12))</x:f>
      </x:c>
    </x:row>
    <x:row r="13">
      <x:c r="A13" s="13"/>
      <x:c r="B13" s="14"/>
      <x:c r="C13" s="8"/>
      <x:c r="D13" s="13"/>
      <x:c r="E13" s="7"/>
      <x:c r="F13" s="13"/>
      <x:c r="G13" s="7"/>
      <x:c r="H13" s="7"/>
      <x:c r="I13" s="10"/>
      <x:c r="J13" s="9"/>
      <x:c r="K13" s="10"/>
      <x:c r="L13" s="10"/>
      <x:c r="M13" s="10"/>
      <x:c r="N13" s="9"/>
      <x:c r="O13" s="9"/>
      <x:c r="P13" s="7"/>
      <x:c r="Q13" s="9"/>
      <x:c r="R13" s="8"/>
      <x:c r="S13" s="9"/>
      <x:c r="T13" s="8"/>
      <x:c r="U13" s="13"/>
      <x:c r="V13" s="7"/>
      <x:c r="W13" s="7"/>
      <x:c r="X13" s="9" t="str">
        <x:f>IF($A13="","",SUMIF(Purchase_Items!$A$2:$A$501,$A13,Purchase_Items!$P$2:$P$501))</x:f>
      </x:c>
      <x:c r="Y13" s="9" t="str">
        <x:f>IF($A13="","",$X13*$I13/100)</x:f>
      </x:c>
      <x:c r="Z13" s="9" t="str">
        <x:f>IF($A13="","",MAX(0,($X13-$Y13)*$K13/100))</x:f>
      </x:c>
      <x:c r="AA13" s="9" t="str">
        <x:f>IF($A13="","",MAX(0,($X13-$Y13)*$L13/100))</x:f>
      </x:c>
      <x:c r="AB13" s="9" t="str">
        <x:f>IF($A13="","",MAX(0,($X13-$Y13)*$M13/100))</x:f>
      </x:c>
      <x:c r="AC13" s="9" t="str">
        <x:f>IF($A13="","",MAX(0,($X13-$Y13)+$J13+$Z13+$N13-$AA13-$AB13-$O13))</x:f>
      </x:c>
    </x:row>
    <x:row r="14">
      <x:c r="A14" s="13"/>
      <x:c r="B14" s="14"/>
      <x:c r="C14" s="8"/>
      <x:c r="D14" s="13"/>
      <x:c r="E14" s="7"/>
      <x:c r="F14" s="13"/>
      <x:c r="G14" s="7"/>
      <x:c r="H14" s="7"/>
      <x:c r="I14" s="10"/>
      <x:c r="J14" s="9"/>
      <x:c r="K14" s="10"/>
      <x:c r="L14" s="10"/>
      <x:c r="M14" s="10"/>
      <x:c r="N14" s="9"/>
      <x:c r="O14" s="9"/>
      <x:c r="P14" s="7"/>
      <x:c r="Q14" s="9"/>
      <x:c r="R14" s="8"/>
      <x:c r="S14" s="9"/>
      <x:c r="T14" s="8"/>
      <x:c r="U14" s="13"/>
      <x:c r="V14" s="7"/>
      <x:c r="W14" s="7"/>
      <x:c r="X14" s="9" t="str">
        <x:f>IF($A14="","",SUMIF(Purchase_Items!$A$2:$A$501,$A14,Purchase_Items!$P$2:$P$501))</x:f>
      </x:c>
      <x:c r="Y14" s="9" t="str">
        <x:f>IF($A14="","",$X14*$I14/100)</x:f>
      </x:c>
      <x:c r="Z14" s="9" t="str">
        <x:f>IF($A14="","",MAX(0,($X14-$Y14)*$K14/100))</x:f>
      </x:c>
      <x:c r="AA14" s="9" t="str">
        <x:f>IF($A14="","",MAX(0,($X14-$Y14)*$L14/100))</x:f>
      </x:c>
      <x:c r="AB14" s="9" t="str">
        <x:f>IF($A14="","",MAX(0,($X14-$Y14)*$M14/100))</x:f>
      </x:c>
      <x:c r="AC14" s="9" t="str">
        <x:f>IF($A14="","",MAX(0,($X14-$Y14)+$J14+$Z14+$N14-$AA14-$AB14-$O14))</x:f>
      </x:c>
    </x:row>
    <x:row r="15">
      <x:c r="A15" s="13"/>
      <x:c r="B15" s="14"/>
      <x:c r="C15" s="8"/>
      <x:c r="D15" s="13"/>
      <x:c r="E15" s="7"/>
      <x:c r="F15" s="13"/>
      <x:c r="G15" s="7"/>
      <x:c r="H15" s="7"/>
      <x:c r="I15" s="10"/>
      <x:c r="J15" s="9"/>
      <x:c r="K15" s="10"/>
      <x:c r="L15" s="10"/>
      <x:c r="M15" s="10"/>
      <x:c r="N15" s="9"/>
      <x:c r="O15" s="9"/>
      <x:c r="P15" s="7"/>
      <x:c r="Q15" s="9"/>
      <x:c r="R15" s="8"/>
      <x:c r="S15" s="9"/>
      <x:c r="T15" s="8"/>
      <x:c r="U15" s="13"/>
      <x:c r="V15" s="7"/>
      <x:c r="W15" s="7"/>
      <x:c r="X15" s="9" t="str">
        <x:f>IF($A15="","",SUMIF(Purchase_Items!$A$2:$A$501,$A15,Purchase_Items!$P$2:$P$501))</x:f>
      </x:c>
      <x:c r="Y15" s="9" t="str">
        <x:f>IF($A15="","",$X15*$I15/100)</x:f>
      </x:c>
      <x:c r="Z15" s="9" t="str">
        <x:f>IF($A15="","",MAX(0,($X15-$Y15)*$K15/100))</x:f>
      </x:c>
      <x:c r="AA15" s="9" t="str">
        <x:f>IF($A15="","",MAX(0,($X15-$Y15)*$L15/100))</x:f>
      </x:c>
      <x:c r="AB15" s="9" t="str">
        <x:f>IF($A15="","",MAX(0,($X15-$Y15)*$M15/100))</x:f>
      </x:c>
      <x:c r="AC15" s="9" t="str">
        <x:f>IF($A15="","",MAX(0,($X15-$Y15)+$J15+$Z15+$N15-$AA15-$AB15-$O15))</x:f>
      </x:c>
    </x:row>
    <x:row r="16">
      <x:c r="A16" s="13"/>
      <x:c r="B16" s="14"/>
      <x:c r="C16" s="8"/>
      <x:c r="D16" s="13"/>
      <x:c r="E16" s="7"/>
      <x:c r="F16" s="13"/>
      <x:c r="G16" s="7"/>
      <x:c r="H16" s="7"/>
      <x:c r="I16" s="10"/>
      <x:c r="J16" s="9"/>
      <x:c r="K16" s="10"/>
      <x:c r="L16" s="10"/>
      <x:c r="M16" s="10"/>
      <x:c r="N16" s="9"/>
      <x:c r="O16" s="9"/>
      <x:c r="P16" s="7"/>
      <x:c r="Q16" s="9"/>
      <x:c r="R16" s="8"/>
      <x:c r="S16" s="9"/>
      <x:c r="T16" s="8"/>
      <x:c r="U16" s="13"/>
      <x:c r="V16" s="7"/>
      <x:c r="W16" s="7"/>
      <x:c r="X16" s="9" t="str">
        <x:f>IF($A16="","",SUMIF(Purchase_Items!$A$2:$A$501,$A16,Purchase_Items!$P$2:$P$501))</x:f>
      </x:c>
      <x:c r="Y16" s="9" t="str">
        <x:f>IF($A16="","",$X16*$I16/100)</x:f>
      </x:c>
      <x:c r="Z16" s="9" t="str">
        <x:f>IF($A16="","",MAX(0,($X16-$Y16)*$K16/100))</x:f>
      </x:c>
      <x:c r="AA16" s="9" t="str">
        <x:f>IF($A16="","",MAX(0,($X16-$Y16)*$L16/100))</x:f>
      </x:c>
      <x:c r="AB16" s="9" t="str">
        <x:f>IF($A16="","",MAX(0,($X16-$Y16)*$M16/100))</x:f>
      </x:c>
      <x:c r="AC16" s="9" t="str">
        <x:f>IF($A16="","",MAX(0,($X16-$Y16)+$J16+$Z16+$N16-$AA16-$AB16-$O16))</x:f>
      </x:c>
    </x:row>
    <x:row r="17">
      <x:c r="A17" s="13"/>
      <x:c r="B17" s="14"/>
      <x:c r="C17" s="8"/>
      <x:c r="D17" s="13"/>
      <x:c r="E17" s="7"/>
      <x:c r="F17" s="13"/>
      <x:c r="G17" s="7"/>
      <x:c r="H17" s="7"/>
      <x:c r="I17" s="10"/>
      <x:c r="J17" s="9"/>
      <x:c r="K17" s="10"/>
      <x:c r="L17" s="10"/>
      <x:c r="M17" s="10"/>
      <x:c r="N17" s="9"/>
      <x:c r="O17" s="9"/>
      <x:c r="P17" s="7"/>
      <x:c r="Q17" s="9"/>
      <x:c r="R17" s="8"/>
      <x:c r="S17" s="9"/>
      <x:c r="T17" s="8"/>
      <x:c r="U17" s="13"/>
      <x:c r="V17" s="7"/>
      <x:c r="W17" s="7"/>
      <x:c r="X17" s="9" t="str">
        <x:f>IF($A17="","",SUMIF(Purchase_Items!$A$2:$A$501,$A17,Purchase_Items!$P$2:$P$501))</x:f>
      </x:c>
      <x:c r="Y17" s="9" t="str">
        <x:f>IF($A17="","",$X17*$I17/100)</x:f>
      </x:c>
      <x:c r="Z17" s="9" t="str">
        <x:f>IF($A17="","",MAX(0,($X17-$Y17)*$K17/100))</x:f>
      </x:c>
      <x:c r="AA17" s="9" t="str">
        <x:f>IF($A17="","",MAX(0,($X17-$Y17)*$L17/100))</x:f>
      </x:c>
      <x:c r="AB17" s="9" t="str">
        <x:f>IF($A17="","",MAX(0,($X17-$Y17)*$M17/100))</x:f>
      </x:c>
      <x:c r="AC17" s="9" t="str">
        <x:f>IF($A17="","",MAX(0,($X17-$Y17)+$J17+$Z17+$N17-$AA17-$AB17-$O17))</x:f>
      </x:c>
    </x:row>
    <x:row r="18">
      <x:c r="A18" s="13"/>
      <x:c r="B18" s="14"/>
      <x:c r="C18" s="8"/>
      <x:c r="D18" s="13"/>
      <x:c r="E18" s="7"/>
      <x:c r="F18" s="13"/>
      <x:c r="G18" s="7"/>
      <x:c r="H18" s="7"/>
      <x:c r="I18" s="10"/>
      <x:c r="J18" s="9"/>
      <x:c r="K18" s="10"/>
      <x:c r="L18" s="10"/>
      <x:c r="M18" s="10"/>
      <x:c r="N18" s="9"/>
      <x:c r="O18" s="9"/>
      <x:c r="P18" s="7"/>
      <x:c r="Q18" s="9"/>
      <x:c r="R18" s="8"/>
      <x:c r="S18" s="9"/>
      <x:c r="T18" s="8"/>
      <x:c r="U18" s="13"/>
      <x:c r="V18" s="7"/>
      <x:c r="W18" s="7"/>
      <x:c r="X18" s="9" t="str">
        <x:f>IF($A18="","",SUMIF(Purchase_Items!$A$2:$A$501,$A18,Purchase_Items!$P$2:$P$501))</x:f>
      </x:c>
      <x:c r="Y18" s="9" t="str">
        <x:f>IF($A18="","",$X18*$I18/100)</x:f>
      </x:c>
      <x:c r="Z18" s="9" t="str">
        <x:f>IF($A18="","",MAX(0,($X18-$Y18)*$K18/100))</x:f>
      </x:c>
      <x:c r="AA18" s="9" t="str">
        <x:f>IF($A18="","",MAX(0,($X18-$Y18)*$L18/100))</x:f>
      </x:c>
      <x:c r="AB18" s="9" t="str">
        <x:f>IF($A18="","",MAX(0,($X18-$Y18)*$M18/100))</x:f>
      </x:c>
      <x:c r="AC18" s="9" t="str">
        <x:f>IF($A18="","",MAX(0,($X18-$Y18)+$J18+$Z18+$N18-$AA18-$AB18-$O18))</x:f>
      </x:c>
    </x:row>
    <x:row r="19">
      <x:c r="A19" s="13"/>
      <x:c r="B19" s="14"/>
      <x:c r="C19" s="8"/>
      <x:c r="D19" s="13"/>
      <x:c r="E19" s="7"/>
      <x:c r="F19" s="13"/>
      <x:c r="G19" s="7"/>
      <x:c r="H19" s="7"/>
      <x:c r="I19" s="10"/>
      <x:c r="J19" s="9"/>
      <x:c r="K19" s="10"/>
      <x:c r="L19" s="10"/>
      <x:c r="M19" s="10"/>
      <x:c r="N19" s="9"/>
      <x:c r="O19" s="9"/>
      <x:c r="P19" s="7"/>
      <x:c r="Q19" s="9"/>
      <x:c r="R19" s="8"/>
      <x:c r="S19" s="9"/>
      <x:c r="T19" s="8"/>
      <x:c r="U19" s="13"/>
      <x:c r="V19" s="7"/>
      <x:c r="W19" s="7"/>
      <x:c r="X19" s="9" t="str">
        <x:f>IF($A19="","",SUMIF(Purchase_Items!$A$2:$A$501,$A19,Purchase_Items!$P$2:$P$501))</x:f>
      </x:c>
      <x:c r="Y19" s="9" t="str">
        <x:f>IF($A19="","",$X19*$I19/100)</x:f>
      </x:c>
      <x:c r="Z19" s="9" t="str">
        <x:f>IF($A19="","",MAX(0,($X19-$Y19)*$K19/100))</x:f>
      </x:c>
      <x:c r="AA19" s="9" t="str">
        <x:f>IF($A19="","",MAX(0,($X19-$Y19)*$L19/100))</x:f>
      </x:c>
      <x:c r="AB19" s="9" t="str">
        <x:f>IF($A19="","",MAX(0,($X19-$Y19)*$M19/100))</x:f>
      </x:c>
      <x:c r="AC19" s="9" t="str">
        <x:f>IF($A19="","",MAX(0,($X19-$Y19)+$J19+$Z19+$N19-$AA19-$AB19-$O19))</x:f>
      </x:c>
    </x:row>
    <x:row r="20">
      <x:c r="A20" s="13"/>
      <x:c r="B20" s="14"/>
      <x:c r="C20" s="8"/>
      <x:c r="D20" s="13"/>
      <x:c r="E20" s="7"/>
      <x:c r="F20" s="13"/>
      <x:c r="G20" s="7"/>
      <x:c r="H20" s="7"/>
      <x:c r="I20" s="10"/>
      <x:c r="J20" s="9"/>
      <x:c r="K20" s="10"/>
      <x:c r="L20" s="10"/>
      <x:c r="M20" s="10"/>
      <x:c r="N20" s="9"/>
      <x:c r="O20" s="9"/>
      <x:c r="P20" s="7"/>
      <x:c r="Q20" s="9"/>
      <x:c r="R20" s="8"/>
      <x:c r="S20" s="9"/>
      <x:c r="T20" s="8"/>
      <x:c r="U20" s="13"/>
      <x:c r="V20" s="7"/>
      <x:c r="W20" s="7"/>
      <x:c r="X20" s="9" t="str">
        <x:f>IF($A20="","",SUMIF(Purchase_Items!$A$2:$A$501,$A20,Purchase_Items!$P$2:$P$501))</x:f>
      </x:c>
      <x:c r="Y20" s="9" t="str">
        <x:f>IF($A20="","",$X20*$I20/100)</x:f>
      </x:c>
      <x:c r="Z20" s="9" t="str">
        <x:f>IF($A20="","",MAX(0,($X20-$Y20)*$K20/100))</x:f>
      </x:c>
      <x:c r="AA20" s="9" t="str">
        <x:f>IF($A20="","",MAX(0,($X20-$Y20)*$L20/100))</x:f>
      </x:c>
      <x:c r="AB20" s="9" t="str">
        <x:f>IF($A20="","",MAX(0,($X20-$Y20)*$M20/100))</x:f>
      </x:c>
      <x:c r="AC20" s="9" t="str">
        <x:f>IF($A20="","",MAX(0,($X20-$Y20)+$J20+$Z20+$N20-$AA20-$AB20-$O20))</x:f>
      </x:c>
    </x:row>
    <x:row r="21">
      <x:c r="A21" s="13"/>
      <x:c r="B21" s="14"/>
      <x:c r="C21" s="8"/>
      <x:c r="D21" s="13"/>
      <x:c r="E21" s="7"/>
      <x:c r="F21" s="13"/>
      <x:c r="G21" s="7"/>
      <x:c r="H21" s="7"/>
      <x:c r="I21" s="10"/>
      <x:c r="J21" s="9"/>
      <x:c r="K21" s="10"/>
      <x:c r="L21" s="10"/>
      <x:c r="M21" s="10"/>
      <x:c r="N21" s="9"/>
      <x:c r="O21" s="9"/>
      <x:c r="P21" s="7"/>
      <x:c r="Q21" s="9"/>
      <x:c r="R21" s="8"/>
      <x:c r="S21" s="9"/>
      <x:c r="T21" s="8"/>
      <x:c r="U21" s="13"/>
      <x:c r="V21" s="7"/>
      <x:c r="W21" s="7"/>
      <x:c r="X21" s="9" t="str">
        <x:f>IF($A21="","",SUMIF(Purchase_Items!$A$2:$A$501,$A21,Purchase_Items!$P$2:$P$501))</x:f>
      </x:c>
      <x:c r="Y21" s="9" t="str">
        <x:f>IF($A21="","",$X21*$I21/100)</x:f>
      </x:c>
      <x:c r="Z21" s="9" t="str">
        <x:f>IF($A21="","",MAX(0,($X21-$Y21)*$K21/100))</x:f>
      </x:c>
      <x:c r="AA21" s="9" t="str">
        <x:f>IF($A21="","",MAX(0,($X21-$Y21)*$L21/100))</x:f>
      </x:c>
      <x:c r="AB21" s="9" t="str">
        <x:f>IF($A21="","",MAX(0,($X21-$Y21)*$M21/100))</x:f>
      </x:c>
      <x:c r="AC21" s="9" t="str">
        <x:f>IF($A21="","",MAX(0,($X21-$Y21)+$J21+$Z21+$N21-$AA21-$AB21-$O21))</x:f>
      </x:c>
    </x:row>
    <x:row r="22">
      <x:c r="A22" s="13"/>
      <x:c r="B22" s="14"/>
      <x:c r="C22" s="8"/>
      <x:c r="D22" s="13"/>
      <x:c r="E22" s="7"/>
      <x:c r="F22" s="13"/>
      <x:c r="G22" s="7"/>
      <x:c r="H22" s="7"/>
      <x:c r="I22" s="10"/>
      <x:c r="J22" s="9"/>
      <x:c r="K22" s="10"/>
      <x:c r="L22" s="10"/>
      <x:c r="M22" s="10"/>
      <x:c r="N22" s="9"/>
      <x:c r="O22" s="9"/>
      <x:c r="P22" s="7"/>
      <x:c r="Q22" s="9"/>
      <x:c r="R22" s="8"/>
      <x:c r="S22" s="9"/>
      <x:c r="T22" s="8"/>
      <x:c r="U22" s="13"/>
      <x:c r="V22" s="7"/>
      <x:c r="W22" s="7"/>
      <x:c r="X22" s="9" t="str">
        <x:f>IF($A22="","",SUMIF(Purchase_Items!$A$2:$A$501,$A22,Purchase_Items!$P$2:$P$501))</x:f>
      </x:c>
      <x:c r="Y22" s="9" t="str">
        <x:f>IF($A22="","",$X22*$I22/100)</x:f>
      </x:c>
      <x:c r="Z22" s="9" t="str">
        <x:f>IF($A22="","",MAX(0,($X22-$Y22)*$K22/100))</x:f>
      </x:c>
      <x:c r="AA22" s="9" t="str">
        <x:f>IF($A22="","",MAX(0,($X22-$Y22)*$L22/100))</x:f>
      </x:c>
      <x:c r="AB22" s="9" t="str">
        <x:f>IF($A22="","",MAX(0,($X22-$Y22)*$M22/100))</x:f>
      </x:c>
      <x:c r="AC22" s="9" t="str">
        <x:f>IF($A22="","",MAX(0,($X22-$Y22)+$J22+$Z22+$N22-$AA22-$AB22-$O22))</x:f>
      </x:c>
    </x:row>
    <x:row r="23">
      <x:c r="A23" s="13"/>
      <x:c r="B23" s="14"/>
      <x:c r="C23" s="8"/>
      <x:c r="D23" s="13"/>
      <x:c r="E23" s="7"/>
      <x:c r="F23" s="13"/>
      <x:c r="G23" s="7"/>
      <x:c r="H23" s="7"/>
      <x:c r="I23" s="10"/>
      <x:c r="J23" s="9"/>
      <x:c r="K23" s="10"/>
      <x:c r="L23" s="10"/>
      <x:c r="M23" s="10"/>
      <x:c r="N23" s="9"/>
      <x:c r="O23" s="9"/>
      <x:c r="P23" s="7"/>
      <x:c r="Q23" s="9"/>
      <x:c r="R23" s="8"/>
      <x:c r="S23" s="9"/>
      <x:c r="T23" s="8"/>
      <x:c r="U23" s="13"/>
      <x:c r="V23" s="7"/>
      <x:c r="W23" s="7"/>
      <x:c r="X23" s="9" t="str">
        <x:f>IF($A23="","",SUMIF(Purchase_Items!$A$2:$A$501,$A23,Purchase_Items!$P$2:$P$501))</x:f>
      </x:c>
      <x:c r="Y23" s="9" t="str">
        <x:f>IF($A23="","",$X23*$I23/100)</x:f>
      </x:c>
      <x:c r="Z23" s="9" t="str">
        <x:f>IF($A23="","",MAX(0,($X23-$Y23)*$K23/100))</x:f>
      </x:c>
      <x:c r="AA23" s="9" t="str">
        <x:f>IF($A23="","",MAX(0,($X23-$Y23)*$L23/100))</x:f>
      </x:c>
      <x:c r="AB23" s="9" t="str">
        <x:f>IF($A23="","",MAX(0,($X23-$Y23)*$M23/100))</x:f>
      </x:c>
      <x:c r="AC23" s="9" t="str">
        <x:f>IF($A23="","",MAX(0,($X23-$Y23)+$J23+$Z23+$N23-$AA23-$AB23-$O23))</x:f>
      </x:c>
    </x:row>
    <x:row r="24">
      <x:c r="A24" s="13"/>
      <x:c r="B24" s="14"/>
      <x:c r="C24" s="8"/>
      <x:c r="D24" s="13"/>
      <x:c r="E24" s="7"/>
      <x:c r="F24" s="13"/>
      <x:c r="G24" s="7"/>
      <x:c r="H24" s="7"/>
      <x:c r="I24" s="10"/>
      <x:c r="J24" s="9"/>
      <x:c r="K24" s="10"/>
      <x:c r="L24" s="10"/>
      <x:c r="M24" s="10"/>
      <x:c r="N24" s="9"/>
      <x:c r="O24" s="9"/>
      <x:c r="P24" s="7"/>
      <x:c r="Q24" s="9"/>
      <x:c r="R24" s="8"/>
      <x:c r="S24" s="9"/>
      <x:c r="T24" s="8"/>
      <x:c r="U24" s="13"/>
      <x:c r="V24" s="7"/>
      <x:c r="W24" s="7"/>
      <x:c r="X24" s="9" t="str">
        <x:f>IF($A24="","",SUMIF(Purchase_Items!$A$2:$A$501,$A24,Purchase_Items!$P$2:$P$501))</x:f>
      </x:c>
      <x:c r="Y24" s="9" t="str">
        <x:f>IF($A24="","",$X24*$I24/100)</x:f>
      </x:c>
      <x:c r="Z24" s="9" t="str">
        <x:f>IF($A24="","",MAX(0,($X24-$Y24)*$K24/100))</x:f>
      </x:c>
      <x:c r="AA24" s="9" t="str">
        <x:f>IF($A24="","",MAX(0,($X24-$Y24)*$L24/100))</x:f>
      </x:c>
      <x:c r="AB24" s="9" t="str">
        <x:f>IF($A24="","",MAX(0,($X24-$Y24)*$M24/100))</x:f>
      </x:c>
      <x:c r="AC24" s="9" t="str">
        <x:f>IF($A24="","",MAX(0,($X24-$Y24)+$J24+$Z24+$N24-$AA24-$AB24-$O24))</x:f>
      </x:c>
    </x:row>
    <x:row r="25">
      <x:c r="A25" s="13"/>
      <x:c r="B25" s="14"/>
      <x:c r="C25" s="8"/>
      <x:c r="D25" s="13"/>
      <x:c r="E25" s="7"/>
      <x:c r="F25" s="13"/>
      <x:c r="G25" s="7"/>
      <x:c r="H25" s="7"/>
      <x:c r="I25" s="10"/>
      <x:c r="J25" s="9"/>
      <x:c r="K25" s="10"/>
      <x:c r="L25" s="10"/>
      <x:c r="M25" s="10"/>
      <x:c r="N25" s="9"/>
      <x:c r="O25" s="9"/>
      <x:c r="P25" s="7"/>
      <x:c r="Q25" s="9"/>
      <x:c r="R25" s="8"/>
      <x:c r="S25" s="9"/>
      <x:c r="T25" s="8"/>
      <x:c r="U25" s="13"/>
      <x:c r="V25" s="7"/>
      <x:c r="W25" s="7"/>
      <x:c r="X25" s="9" t="str">
        <x:f>IF($A25="","",SUMIF(Purchase_Items!$A$2:$A$501,$A25,Purchase_Items!$P$2:$P$501))</x:f>
      </x:c>
      <x:c r="Y25" s="9" t="str">
        <x:f>IF($A25="","",$X25*$I25/100)</x:f>
      </x:c>
      <x:c r="Z25" s="9" t="str">
        <x:f>IF($A25="","",MAX(0,($X25-$Y25)*$K25/100))</x:f>
      </x:c>
      <x:c r="AA25" s="9" t="str">
        <x:f>IF($A25="","",MAX(0,($X25-$Y25)*$L25/100))</x:f>
      </x:c>
      <x:c r="AB25" s="9" t="str">
        <x:f>IF($A25="","",MAX(0,($X25-$Y25)*$M25/100))</x:f>
      </x:c>
      <x:c r="AC25" s="9" t="str">
        <x:f>IF($A25="","",MAX(0,($X25-$Y25)+$J25+$Z25+$N25-$AA25-$AB25-$O25))</x:f>
      </x:c>
    </x:row>
    <x:row r="26">
      <x:c r="A26" s="13"/>
      <x:c r="B26" s="14"/>
      <x:c r="C26" s="8"/>
      <x:c r="D26" s="13"/>
      <x:c r="E26" s="7"/>
      <x:c r="F26" s="13"/>
      <x:c r="G26" s="7"/>
      <x:c r="H26" s="7"/>
      <x:c r="I26" s="10"/>
      <x:c r="J26" s="9"/>
      <x:c r="K26" s="10"/>
      <x:c r="L26" s="10"/>
      <x:c r="M26" s="10"/>
      <x:c r="N26" s="9"/>
      <x:c r="O26" s="9"/>
      <x:c r="P26" s="7"/>
      <x:c r="Q26" s="9"/>
      <x:c r="R26" s="8"/>
      <x:c r="S26" s="9"/>
      <x:c r="T26" s="8"/>
      <x:c r="U26" s="13"/>
      <x:c r="V26" s="7"/>
      <x:c r="W26" s="7"/>
      <x:c r="X26" s="9" t="str">
        <x:f>IF($A26="","",SUMIF(Purchase_Items!$A$2:$A$501,$A26,Purchase_Items!$P$2:$P$501))</x:f>
      </x:c>
      <x:c r="Y26" s="9" t="str">
        <x:f>IF($A26="","",$X26*$I26/100)</x:f>
      </x:c>
      <x:c r="Z26" s="9" t="str">
        <x:f>IF($A26="","",MAX(0,($X26-$Y26)*$K26/100))</x:f>
      </x:c>
      <x:c r="AA26" s="9" t="str">
        <x:f>IF($A26="","",MAX(0,($X26-$Y26)*$L26/100))</x:f>
      </x:c>
      <x:c r="AB26" s="9" t="str">
        <x:f>IF($A26="","",MAX(0,($X26-$Y26)*$M26/100))</x:f>
      </x:c>
      <x:c r="AC26" s="9" t="str">
        <x:f>IF($A26="","",MAX(0,($X26-$Y26)+$J26+$Z26+$N26-$AA26-$AB26-$O26))</x:f>
      </x:c>
    </x:row>
    <x:row r="27">
      <x:c r="A27" s="13"/>
      <x:c r="B27" s="14"/>
      <x:c r="C27" s="8"/>
      <x:c r="D27" s="13"/>
      <x:c r="E27" s="7"/>
      <x:c r="F27" s="13"/>
      <x:c r="G27" s="7"/>
      <x:c r="H27" s="7"/>
      <x:c r="I27" s="10"/>
      <x:c r="J27" s="9"/>
      <x:c r="K27" s="10"/>
      <x:c r="L27" s="10"/>
      <x:c r="M27" s="10"/>
      <x:c r="N27" s="9"/>
      <x:c r="O27" s="9"/>
      <x:c r="P27" s="7"/>
      <x:c r="Q27" s="9"/>
      <x:c r="R27" s="8"/>
      <x:c r="S27" s="9"/>
      <x:c r="T27" s="8"/>
      <x:c r="U27" s="13"/>
      <x:c r="V27" s="7"/>
      <x:c r="W27" s="7"/>
      <x:c r="X27" s="9" t="str">
        <x:f>IF($A27="","",SUMIF(Purchase_Items!$A$2:$A$501,$A27,Purchase_Items!$P$2:$P$501))</x:f>
      </x:c>
      <x:c r="Y27" s="9" t="str">
        <x:f>IF($A27="","",$X27*$I27/100)</x:f>
      </x:c>
      <x:c r="Z27" s="9" t="str">
        <x:f>IF($A27="","",MAX(0,($X27-$Y27)*$K27/100))</x:f>
      </x:c>
      <x:c r="AA27" s="9" t="str">
        <x:f>IF($A27="","",MAX(0,($X27-$Y27)*$L27/100))</x:f>
      </x:c>
      <x:c r="AB27" s="9" t="str">
        <x:f>IF($A27="","",MAX(0,($X27-$Y27)*$M27/100))</x:f>
      </x:c>
      <x:c r="AC27" s="9" t="str">
        <x:f>IF($A27="","",MAX(0,($X27-$Y27)+$J27+$Z27+$N27-$AA27-$AB27-$O27))</x:f>
      </x:c>
    </x:row>
    <x:row r="28">
      <x:c r="A28" s="13"/>
      <x:c r="B28" s="14"/>
      <x:c r="C28" s="8"/>
      <x:c r="D28" s="13"/>
      <x:c r="E28" s="7"/>
      <x:c r="F28" s="13"/>
      <x:c r="G28" s="7"/>
      <x:c r="H28" s="7"/>
      <x:c r="I28" s="10"/>
      <x:c r="J28" s="9"/>
      <x:c r="K28" s="10"/>
      <x:c r="L28" s="10"/>
      <x:c r="M28" s="10"/>
      <x:c r="N28" s="9"/>
      <x:c r="O28" s="9"/>
      <x:c r="P28" s="7"/>
      <x:c r="Q28" s="9"/>
      <x:c r="R28" s="8"/>
      <x:c r="S28" s="9"/>
      <x:c r="T28" s="8"/>
      <x:c r="U28" s="13"/>
      <x:c r="V28" s="7"/>
      <x:c r="W28" s="7"/>
      <x:c r="X28" s="9" t="str">
        <x:f>IF($A28="","",SUMIF(Purchase_Items!$A$2:$A$501,$A28,Purchase_Items!$P$2:$P$501))</x:f>
      </x:c>
      <x:c r="Y28" s="9" t="str">
        <x:f>IF($A28="","",$X28*$I28/100)</x:f>
      </x:c>
      <x:c r="Z28" s="9" t="str">
        <x:f>IF($A28="","",MAX(0,($X28-$Y28)*$K28/100))</x:f>
      </x:c>
      <x:c r="AA28" s="9" t="str">
        <x:f>IF($A28="","",MAX(0,($X28-$Y28)*$L28/100))</x:f>
      </x:c>
      <x:c r="AB28" s="9" t="str">
        <x:f>IF($A28="","",MAX(0,($X28-$Y28)*$M28/100))</x:f>
      </x:c>
      <x:c r="AC28" s="9" t="str">
        <x:f>IF($A28="","",MAX(0,($X28-$Y28)+$J28+$Z28+$N28-$AA28-$AB28-$O28))</x:f>
      </x:c>
    </x:row>
    <x:row r="29">
      <x:c r="A29" s="13"/>
      <x:c r="B29" s="14"/>
      <x:c r="C29" s="8"/>
      <x:c r="D29" s="13"/>
      <x:c r="E29" s="7"/>
      <x:c r="F29" s="13"/>
      <x:c r="G29" s="7"/>
      <x:c r="H29" s="7"/>
      <x:c r="I29" s="10"/>
      <x:c r="J29" s="9"/>
      <x:c r="K29" s="10"/>
      <x:c r="L29" s="10"/>
      <x:c r="M29" s="10"/>
      <x:c r="N29" s="9"/>
      <x:c r="O29" s="9"/>
      <x:c r="P29" s="7"/>
      <x:c r="Q29" s="9"/>
      <x:c r="R29" s="8"/>
      <x:c r="S29" s="9"/>
      <x:c r="T29" s="8"/>
      <x:c r="U29" s="13"/>
      <x:c r="V29" s="7"/>
      <x:c r="W29" s="7"/>
      <x:c r="X29" s="9" t="str">
        <x:f>IF($A29="","",SUMIF(Purchase_Items!$A$2:$A$501,$A29,Purchase_Items!$P$2:$P$501))</x:f>
      </x:c>
      <x:c r="Y29" s="9" t="str">
        <x:f>IF($A29="","",$X29*$I29/100)</x:f>
      </x:c>
      <x:c r="Z29" s="9" t="str">
        <x:f>IF($A29="","",MAX(0,($X29-$Y29)*$K29/100))</x:f>
      </x:c>
      <x:c r="AA29" s="9" t="str">
        <x:f>IF($A29="","",MAX(0,($X29-$Y29)*$L29/100))</x:f>
      </x:c>
      <x:c r="AB29" s="9" t="str">
        <x:f>IF($A29="","",MAX(0,($X29-$Y29)*$M29/100))</x:f>
      </x:c>
      <x:c r="AC29" s="9" t="str">
        <x:f>IF($A29="","",MAX(0,($X29-$Y29)+$J29+$Z29+$N29-$AA29-$AB29-$O29))</x:f>
      </x:c>
    </x:row>
    <x:row r="30">
      <x:c r="A30" s="13"/>
      <x:c r="B30" s="14"/>
      <x:c r="C30" s="8"/>
      <x:c r="D30" s="13"/>
      <x:c r="E30" s="7"/>
      <x:c r="F30" s="13"/>
      <x:c r="G30" s="7"/>
      <x:c r="H30" s="7"/>
      <x:c r="I30" s="10"/>
      <x:c r="J30" s="9"/>
      <x:c r="K30" s="10"/>
      <x:c r="L30" s="10"/>
      <x:c r="M30" s="10"/>
      <x:c r="N30" s="9"/>
      <x:c r="O30" s="9"/>
      <x:c r="P30" s="7"/>
      <x:c r="Q30" s="9"/>
      <x:c r="R30" s="8"/>
      <x:c r="S30" s="9"/>
      <x:c r="T30" s="8"/>
      <x:c r="U30" s="13"/>
      <x:c r="V30" s="7"/>
      <x:c r="W30" s="7"/>
      <x:c r="X30" s="9" t="str">
        <x:f>IF($A30="","",SUMIF(Purchase_Items!$A$2:$A$501,$A30,Purchase_Items!$P$2:$P$501))</x:f>
      </x:c>
      <x:c r="Y30" s="9" t="str">
        <x:f>IF($A30="","",$X30*$I30/100)</x:f>
      </x:c>
      <x:c r="Z30" s="9" t="str">
        <x:f>IF($A30="","",MAX(0,($X30-$Y30)*$K30/100))</x:f>
      </x:c>
      <x:c r="AA30" s="9" t="str">
        <x:f>IF($A30="","",MAX(0,($X30-$Y30)*$L30/100))</x:f>
      </x:c>
      <x:c r="AB30" s="9" t="str">
        <x:f>IF($A30="","",MAX(0,($X30-$Y30)*$M30/100))</x:f>
      </x:c>
      <x:c r="AC30" s="9" t="str">
        <x:f>IF($A30="","",MAX(0,($X30-$Y30)+$J30+$Z30+$N30-$AA30-$AB30-$O30))</x:f>
      </x:c>
    </x:row>
    <x:row r="31">
      <x:c r="A31" s="13"/>
      <x:c r="B31" s="14"/>
      <x:c r="C31" s="8"/>
      <x:c r="D31" s="13"/>
      <x:c r="E31" s="7"/>
      <x:c r="F31" s="13"/>
      <x:c r="G31" s="7"/>
      <x:c r="H31" s="7"/>
      <x:c r="I31" s="10"/>
      <x:c r="J31" s="9"/>
      <x:c r="K31" s="10"/>
      <x:c r="L31" s="10"/>
      <x:c r="M31" s="10"/>
      <x:c r="N31" s="9"/>
      <x:c r="O31" s="9"/>
      <x:c r="P31" s="7"/>
      <x:c r="Q31" s="9"/>
      <x:c r="R31" s="8"/>
      <x:c r="S31" s="9"/>
      <x:c r="T31" s="8"/>
      <x:c r="U31" s="13"/>
      <x:c r="V31" s="7"/>
      <x:c r="W31" s="7"/>
      <x:c r="X31" s="9" t="str">
        <x:f>IF($A31="","",SUMIF(Purchase_Items!$A$2:$A$501,$A31,Purchase_Items!$P$2:$P$501))</x:f>
      </x:c>
      <x:c r="Y31" s="9" t="str">
        <x:f>IF($A31="","",$X31*$I31/100)</x:f>
      </x:c>
      <x:c r="Z31" s="9" t="str">
        <x:f>IF($A31="","",MAX(0,($X31-$Y31)*$K31/100))</x:f>
      </x:c>
      <x:c r="AA31" s="9" t="str">
        <x:f>IF($A31="","",MAX(0,($X31-$Y31)*$L31/100))</x:f>
      </x:c>
      <x:c r="AB31" s="9" t="str">
        <x:f>IF($A31="","",MAX(0,($X31-$Y31)*$M31/100))</x:f>
      </x:c>
      <x:c r="AC31" s="9" t="str">
        <x:f>IF($A31="","",MAX(0,($X31-$Y31)+$J31+$Z31+$N31-$AA31-$AB31-$O31))</x:f>
      </x:c>
    </x:row>
    <x:row r="32">
      <x:c r="A32" s="13"/>
      <x:c r="B32" s="14"/>
      <x:c r="C32" s="8"/>
      <x:c r="D32" s="13"/>
      <x:c r="E32" s="7"/>
      <x:c r="F32" s="13"/>
      <x:c r="G32" s="7"/>
      <x:c r="H32" s="7"/>
      <x:c r="I32" s="10"/>
      <x:c r="J32" s="9"/>
      <x:c r="K32" s="10"/>
      <x:c r="L32" s="10"/>
      <x:c r="M32" s="10"/>
      <x:c r="N32" s="9"/>
      <x:c r="O32" s="9"/>
      <x:c r="P32" s="7"/>
      <x:c r="Q32" s="9"/>
      <x:c r="R32" s="8"/>
      <x:c r="S32" s="9"/>
      <x:c r="T32" s="8"/>
      <x:c r="U32" s="13"/>
      <x:c r="V32" s="7"/>
      <x:c r="W32" s="7"/>
      <x:c r="X32" s="9" t="str">
        <x:f>IF($A32="","",SUMIF(Purchase_Items!$A$2:$A$501,$A32,Purchase_Items!$P$2:$P$501))</x:f>
      </x:c>
      <x:c r="Y32" s="9" t="str">
        <x:f>IF($A32="","",$X32*$I32/100)</x:f>
      </x:c>
      <x:c r="Z32" s="9" t="str">
        <x:f>IF($A32="","",MAX(0,($X32-$Y32)*$K32/100))</x:f>
      </x:c>
      <x:c r="AA32" s="9" t="str">
        <x:f>IF($A32="","",MAX(0,($X32-$Y32)*$L32/100))</x:f>
      </x:c>
      <x:c r="AB32" s="9" t="str">
        <x:f>IF($A32="","",MAX(0,($X32-$Y32)*$M32/100))</x:f>
      </x:c>
      <x:c r="AC32" s="9" t="str">
        <x:f>IF($A32="","",MAX(0,($X32-$Y32)+$J32+$Z32+$N32-$AA32-$AB32-$O32))</x:f>
      </x:c>
    </x:row>
    <x:row r="33">
      <x:c r="A33" s="13"/>
      <x:c r="B33" s="14"/>
      <x:c r="C33" s="8"/>
      <x:c r="D33" s="13"/>
      <x:c r="E33" s="7"/>
      <x:c r="F33" s="13"/>
      <x:c r="G33" s="7"/>
      <x:c r="H33" s="7"/>
      <x:c r="I33" s="10"/>
      <x:c r="J33" s="9"/>
      <x:c r="K33" s="10"/>
      <x:c r="L33" s="10"/>
      <x:c r="M33" s="10"/>
      <x:c r="N33" s="9"/>
      <x:c r="O33" s="9"/>
      <x:c r="P33" s="7"/>
      <x:c r="Q33" s="9"/>
      <x:c r="R33" s="8"/>
      <x:c r="S33" s="9"/>
      <x:c r="T33" s="8"/>
      <x:c r="U33" s="13"/>
      <x:c r="V33" s="7"/>
      <x:c r="W33" s="7"/>
      <x:c r="X33" s="9" t="str">
        <x:f>IF($A33="","",SUMIF(Purchase_Items!$A$2:$A$501,$A33,Purchase_Items!$P$2:$P$501))</x:f>
      </x:c>
      <x:c r="Y33" s="9" t="str">
        <x:f>IF($A33="","",$X33*$I33/100)</x:f>
      </x:c>
      <x:c r="Z33" s="9" t="str">
        <x:f>IF($A33="","",MAX(0,($X33-$Y33)*$K33/100))</x:f>
      </x:c>
      <x:c r="AA33" s="9" t="str">
        <x:f>IF($A33="","",MAX(0,($X33-$Y33)*$L33/100))</x:f>
      </x:c>
      <x:c r="AB33" s="9" t="str">
        <x:f>IF($A33="","",MAX(0,($X33-$Y33)*$M33/100))</x:f>
      </x:c>
      <x:c r="AC33" s="9" t="str">
        <x:f>IF($A33="","",MAX(0,($X33-$Y33)+$J33+$Z33+$N33-$AA33-$AB33-$O33))</x:f>
      </x:c>
    </x:row>
    <x:row r="34">
      <x:c r="A34" s="13"/>
      <x:c r="B34" s="14"/>
      <x:c r="C34" s="8"/>
      <x:c r="D34" s="13"/>
      <x:c r="E34" s="7"/>
      <x:c r="F34" s="13"/>
      <x:c r="G34" s="7"/>
      <x:c r="H34" s="7"/>
      <x:c r="I34" s="10"/>
      <x:c r="J34" s="9"/>
      <x:c r="K34" s="10"/>
      <x:c r="L34" s="10"/>
      <x:c r="M34" s="10"/>
      <x:c r="N34" s="9"/>
      <x:c r="O34" s="9"/>
      <x:c r="P34" s="7"/>
      <x:c r="Q34" s="9"/>
      <x:c r="R34" s="8"/>
      <x:c r="S34" s="9"/>
      <x:c r="T34" s="8"/>
      <x:c r="U34" s="13"/>
      <x:c r="V34" s="7"/>
      <x:c r="W34" s="7"/>
      <x:c r="X34" s="9" t="str">
        <x:f>IF($A34="","",SUMIF(Purchase_Items!$A$2:$A$501,$A34,Purchase_Items!$P$2:$P$501))</x:f>
      </x:c>
      <x:c r="Y34" s="9" t="str">
        <x:f>IF($A34="","",$X34*$I34/100)</x:f>
      </x:c>
      <x:c r="Z34" s="9" t="str">
        <x:f>IF($A34="","",MAX(0,($X34-$Y34)*$K34/100))</x:f>
      </x:c>
      <x:c r="AA34" s="9" t="str">
        <x:f>IF($A34="","",MAX(0,($X34-$Y34)*$L34/100))</x:f>
      </x:c>
      <x:c r="AB34" s="9" t="str">
        <x:f>IF($A34="","",MAX(0,($X34-$Y34)*$M34/100))</x:f>
      </x:c>
      <x:c r="AC34" s="9" t="str">
        <x:f>IF($A34="","",MAX(0,($X34-$Y34)+$J34+$Z34+$N34-$AA34-$AB34-$O34))</x:f>
      </x:c>
    </x:row>
    <x:row r="35">
      <x:c r="A35" s="13"/>
      <x:c r="B35" s="14"/>
      <x:c r="C35" s="8"/>
      <x:c r="D35" s="13"/>
      <x:c r="E35" s="7"/>
      <x:c r="F35" s="13"/>
      <x:c r="G35" s="7"/>
      <x:c r="H35" s="7"/>
      <x:c r="I35" s="10"/>
      <x:c r="J35" s="9"/>
      <x:c r="K35" s="10"/>
      <x:c r="L35" s="10"/>
      <x:c r="M35" s="10"/>
      <x:c r="N35" s="9"/>
      <x:c r="O35" s="9"/>
      <x:c r="P35" s="7"/>
      <x:c r="Q35" s="9"/>
      <x:c r="R35" s="8"/>
      <x:c r="S35" s="9"/>
      <x:c r="T35" s="8"/>
      <x:c r="U35" s="13"/>
      <x:c r="V35" s="7"/>
      <x:c r="W35" s="7"/>
      <x:c r="X35" s="9" t="str">
        <x:f>IF($A35="","",SUMIF(Purchase_Items!$A$2:$A$501,$A35,Purchase_Items!$P$2:$P$501))</x:f>
      </x:c>
      <x:c r="Y35" s="9" t="str">
        <x:f>IF($A35="","",$X35*$I35/100)</x:f>
      </x:c>
      <x:c r="Z35" s="9" t="str">
        <x:f>IF($A35="","",MAX(0,($X35-$Y35)*$K35/100))</x:f>
      </x:c>
      <x:c r="AA35" s="9" t="str">
        <x:f>IF($A35="","",MAX(0,($X35-$Y35)*$L35/100))</x:f>
      </x:c>
      <x:c r="AB35" s="9" t="str">
        <x:f>IF($A35="","",MAX(0,($X35-$Y35)*$M35/100))</x:f>
      </x:c>
      <x:c r="AC35" s="9" t="str">
        <x:f>IF($A35="","",MAX(0,($X35-$Y35)+$J35+$Z35+$N35-$AA35-$AB35-$O35))</x:f>
      </x:c>
    </x:row>
    <x:row r="36">
      <x:c r="A36" s="13"/>
      <x:c r="B36" s="14"/>
      <x:c r="C36" s="8"/>
      <x:c r="D36" s="13"/>
      <x:c r="E36" s="7"/>
      <x:c r="F36" s="13"/>
      <x:c r="G36" s="7"/>
      <x:c r="H36" s="7"/>
      <x:c r="I36" s="10"/>
      <x:c r="J36" s="9"/>
      <x:c r="K36" s="10"/>
      <x:c r="L36" s="10"/>
      <x:c r="M36" s="10"/>
      <x:c r="N36" s="9"/>
      <x:c r="O36" s="9"/>
      <x:c r="P36" s="7"/>
      <x:c r="Q36" s="9"/>
      <x:c r="R36" s="8"/>
      <x:c r="S36" s="9"/>
      <x:c r="T36" s="8"/>
      <x:c r="U36" s="13"/>
      <x:c r="V36" s="7"/>
      <x:c r="W36" s="7"/>
      <x:c r="X36" s="9" t="str">
        <x:f>IF($A36="","",SUMIF(Purchase_Items!$A$2:$A$501,$A36,Purchase_Items!$P$2:$P$501))</x:f>
      </x:c>
      <x:c r="Y36" s="9" t="str">
        <x:f>IF($A36="","",$X36*$I36/100)</x:f>
      </x:c>
      <x:c r="Z36" s="9" t="str">
        <x:f>IF($A36="","",MAX(0,($X36-$Y36)*$K36/100))</x:f>
      </x:c>
      <x:c r="AA36" s="9" t="str">
        <x:f>IF($A36="","",MAX(0,($X36-$Y36)*$L36/100))</x:f>
      </x:c>
      <x:c r="AB36" s="9" t="str">
        <x:f>IF($A36="","",MAX(0,($X36-$Y36)*$M36/100))</x:f>
      </x:c>
      <x:c r="AC36" s="9" t="str">
        <x:f>IF($A36="","",MAX(0,($X36-$Y36)+$J36+$Z36+$N36-$AA36-$AB36-$O36))</x:f>
      </x:c>
    </x:row>
    <x:row r="37">
      <x:c r="A37" s="13"/>
      <x:c r="B37" s="14"/>
      <x:c r="C37" s="8"/>
      <x:c r="D37" s="13"/>
      <x:c r="E37" s="7"/>
      <x:c r="F37" s="13"/>
      <x:c r="G37" s="7"/>
      <x:c r="H37" s="7"/>
      <x:c r="I37" s="10"/>
      <x:c r="J37" s="9"/>
      <x:c r="K37" s="10"/>
      <x:c r="L37" s="10"/>
      <x:c r="M37" s="10"/>
      <x:c r="N37" s="9"/>
      <x:c r="O37" s="9"/>
      <x:c r="P37" s="7"/>
      <x:c r="Q37" s="9"/>
      <x:c r="R37" s="8"/>
      <x:c r="S37" s="9"/>
      <x:c r="T37" s="8"/>
      <x:c r="U37" s="13"/>
      <x:c r="V37" s="7"/>
      <x:c r="W37" s="7"/>
      <x:c r="X37" s="9" t="str">
        <x:f>IF($A37="","",SUMIF(Purchase_Items!$A$2:$A$501,$A37,Purchase_Items!$P$2:$P$501))</x:f>
      </x:c>
      <x:c r="Y37" s="9" t="str">
        <x:f>IF($A37="","",$X37*$I37/100)</x:f>
      </x:c>
      <x:c r="Z37" s="9" t="str">
        <x:f>IF($A37="","",MAX(0,($X37-$Y37)*$K37/100))</x:f>
      </x:c>
      <x:c r="AA37" s="9" t="str">
        <x:f>IF($A37="","",MAX(0,($X37-$Y37)*$L37/100))</x:f>
      </x:c>
      <x:c r="AB37" s="9" t="str">
        <x:f>IF($A37="","",MAX(0,($X37-$Y37)*$M37/100))</x:f>
      </x:c>
      <x:c r="AC37" s="9" t="str">
        <x:f>IF($A37="","",MAX(0,($X37-$Y37)+$J37+$Z37+$N37-$AA37-$AB37-$O37))</x:f>
      </x:c>
    </x:row>
    <x:row r="38">
      <x:c r="A38" s="13"/>
      <x:c r="B38" s="14"/>
      <x:c r="C38" s="8"/>
      <x:c r="D38" s="13"/>
      <x:c r="E38" s="7"/>
      <x:c r="F38" s="13"/>
      <x:c r="G38" s="7"/>
      <x:c r="H38" s="7"/>
      <x:c r="I38" s="10"/>
      <x:c r="J38" s="9"/>
      <x:c r="K38" s="10"/>
      <x:c r="L38" s="10"/>
      <x:c r="M38" s="10"/>
      <x:c r="N38" s="9"/>
      <x:c r="O38" s="9"/>
      <x:c r="P38" s="7"/>
      <x:c r="Q38" s="9"/>
      <x:c r="R38" s="8"/>
      <x:c r="S38" s="9"/>
      <x:c r="T38" s="8"/>
      <x:c r="U38" s="13"/>
      <x:c r="V38" s="7"/>
      <x:c r="W38" s="7"/>
      <x:c r="X38" s="9" t="str">
        <x:f>IF($A38="","",SUMIF(Purchase_Items!$A$2:$A$501,$A38,Purchase_Items!$P$2:$P$501))</x:f>
      </x:c>
      <x:c r="Y38" s="9" t="str">
        <x:f>IF($A38="","",$X38*$I38/100)</x:f>
      </x:c>
      <x:c r="Z38" s="9" t="str">
        <x:f>IF($A38="","",MAX(0,($X38-$Y38)*$K38/100))</x:f>
      </x:c>
      <x:c r="AA38" s="9" t="str">
        <x:f>IF($A38="","",MAX(0,($X38-$Y38)*$L38/100))</x:f>
      </x:c>
      <x:c r="AB38" s="9" t="str">
        <x:f>IF($A38="","",MAX(0,($X38-$Y38)*$M38/100))</x:f>
      </x:c>
      <x:c r="AC38" s="9" t="str">
        <x:f>IF($A38="","",MAX(0,($X38-$Y38)+$J38+$Z38+$N38-$AA38-$AB38-$O38))</x:f>
      </x:c>
    </x:row>
    <x:row r="39">
      <x:c r="A39" s="13"/>
      <x:c r="B39" s="14"/>
      <x:c r="C39" s="8"/>
      <x:c r="D39" s="13"/>
      <x:c r="E39" s="7"/>
      <x:c r="F39" s="13"/>
      <x:c r="G39" s="7"/>
      <x:c r="H39" s="7"/>
      <x:c r="I39" s="10"/>
      <x:c r="J39" s="9"/>
      <x:c r="K39" s="10"/>
      <x:c r="L39" s="10"/>
      <x:c r="M39" s="10"/>
      <x:c r="N39" s="9"/>
      <x:c r="O39" s="9"/>
      <x:c r="P39" s="7"/>
      <x:c r="Q39" s="9"/>
      <x:c r="R39" s="8"/>
      <x:c r="S39" s="9"/>
      <x:c r="T39" s="8"/>
      <x:c r="U39" s="13"/>
      <x:c r="V39" s="7"/>
      <x:c r="W39" s="7"/>
      <x:c r="X39" s="9" t="str">
        <x:f>IF($A39="","",SUMIF(Purchase_Items!$A$2:$A$501,$A39,Purchase_Items!$P$2:$P$501))</x:f>
      </x:c>
      <x:c r="Y39" s="9" t="str">
        <x:f>IF($A39="","",$X39*$I39/100)</x:f>
      </x:c>
      <x:c r="Z39" s="9" t="str">
        <x:f>IF($A39="","",MAX(0,($X39-$Y39)*$K39/100))</x:f>
      </x:c>
      <x:c r="AA39" s="9" t="str">
        <x:f>IF($A39="","",MAX(0,($X39-$Y39)*$L39/100))</x:f>
      </x:c>
      <x:c r="AB39" s="9" t="str">
        <x:f>IF($A39="","",MAX(0,($X39-$Y39)*$M39/100))</x:f>
      </x:c>
      <x:c r="AC39" s="9" t="str">
        <x:f>IF($A39="","",MAX(0,($X39-$Y39)+$J39+$Z39+$N39-$AA39-$AB39-$O39))</x:f>
      </x:c>
    </x:row>
    <x:row r="40">
      <x:c r="A40" s="13"/>
      <x:c r="B40" s="14"/>
      <x:c r="C40" s="8"/>
      <x:c r="D40" s="13"/>
      <x:c r="E40" s="7"/>
      <x:c r="F40" s="13"/>
      <x:c r="G40" s="7"/>
      <x:c r="H40" s="7"/>
      <x:c r="I40" s="10"/>
      <x:c r="J40" s="9"/>
      <x:c r="K40" s="10"/>
      <x:c r="L40" s="10"/>
      <x:c r="M40" s="10"/>
      <x:c r="N40" s="9"/>
      <x:c r="O40" s="9"/>
      <x:c r="P40" s="7"/>
      <x:c r="Q40" s="9"/>
      <x:c r="R40" s="8"/>
      <x:c r="S40" s="9"/>
      <x:c r="T40" s="8"/>
      <x:c r="U40" s="13"/>
      <x:c r="V40" s="7"/>
      <x:c r="W40" s="7"/>
      <x:c r="X40" s="9" t="str">
        <x:f>IF($A40="","",SUMIF(Purchase_Items!$A$2:$A$501,$A40,Purchase_Items!$P$2:$P$501))</x:f>
      </x:c>
      <x:c r="Y40" s="9" t="str">
        <x:f>IF($A40="","",$X40*$I40/100)</x:f>
      </x:c>
      <x:c r="Z40" s="9" t="str">
        <x:f>IF($A40="","",MAX(0,($X40-$Y40)*$K40/100))</x:f>
      </x:c>
      <x:c r="AA40" s="9" t="str">
        <x:f>IF($A40="","",MAX(0,($X40-$Y40)*$L40/100))</x:f>
      </x:c>
      <x:c r="AB40" s="9" t="str">
        <x:f>IF($A40="","",MAX(0,($X40-$Y40)*$M40/100))</x:f>
      </x:c>
      <x:c r="AC40" s="9" t="str">
        <x:f>IF($A40="","",MAX(0,($X40-$Y40)+$J40+$Z40+$N40-$AA40-$AB40-$O40))</x:f>
      </x:c>
    </x:row>
    <x:row r="41">
      <x:c r="A41" s="13"/>
      <x:c r="B41" s="14"/>
      <x:c r="C41" s="8"/>
      <x:c r="D41" s="13"/>
      <x:c r="E41" s="7"/>
      <x:c r="F41" s="13"/>
      <x:c r="G41" s="7"/>
      <x:c r="H41" s="7"/>
      <x:c r="I41" s="10"/>
      <x:c r="J41" s="9"/>
      <x:c r="K41" s="10"/>
      <x:c r="L41" s="10"/>
      <x:c r="M41" s="10"/>
      <x:c r="N41" s="9"/>
      <x:c r="O41" s="9"/>
      <x:c r="P41" s="7"/>
      <x:c r="Q41" s="9"/>
      <x:c r="R41" s="8"/>
      <x:c r="S41" s="9"/>
      <x:c r="T41" s="8"/>
      <x:c r="U41" s="13"/>
      <x:c r="V41" s="7"/>
      <x:c r="W41" s="7"/>
      <x:c r="X41" s="9" t="str">
        <x:f>IF($A41="","",SUMIF(Purchase_Items!$A$2:$A$501,$A41,Purchase_Items!$P$2:$P$501))</x:f>
      </x:c>
      <x:c r="Y41" s="9" t="str">
        <x:f>IF($A41="","",$X41*$I41/100)</x:f>
      </x:c>
      <x:c r="Z41" s="9" t="str">
        <x:f>IF($A41="","",MAX(0,($X41-$Y41)*$K41/100))</x:f>
      </x:c>
      <x:c r="AA41" s="9" t="str">
        <x:f>IF($A41="","",MAX(0,($X41-$Y41)*$L41/100))</x:f>
      </x:c>
      <x:c r="AB41" s="9" t="str">
        <x:f>IF($A41="","",MAX(0,($X41-$Y41)*$M41/100))</x:f>
      </x:c>
      <x:c r="AC41" s="9" t="str">
        <x:f>IF($A41="","",MAX(0,($X41-$Y41)+$J41+$Z41+$N41-$AA41-$AB41-$O41))</x:f>
      </x:c>
    </x:row>
    <x:row r="42">
      <x:c r="A42" s="13"/>
      <x:c r="B42" s="14"/>
      <x:c r="C42" s="8"/>
      <x:c r="D42" s="13"/>
      <x:c r="E42" s="7"/>
      <x:c r="F42" s="13"/>
      <x:c r="G42" s="7"/>
      <x:c r="H42" s="7"/>
      <x:c r="I42" s="10"/>
      <x:c r="J42" s="9"/>
      <x:c r="K42" s="10"/>
      <x:c r="L42" s="10"/>
      <x:c r="M42" s="10"/>
      <x:c r="N42" s="9"/>
      <x:c r="O42" s="9"/>
      <x:c r="P42" s="7"/>
      <x:c r="Q42" s="9"/>
      <x:c r="R42" s="8"/>
      <x:c r="S42" s="9"/>
      <x:c r="T42" s="8"/>
      <x:c r="U42" s="13"/>
      <x:c r="V42" s="7"/>
      <x:c r="W42" s="7"/>
      <x:c r="X42" s="9" t="str">
        <x:f>IF($A42="","",SUMIF(Purchase_Items!$A$2:$A$501,$A42,Purchase_Items!$P$2:$P$501))</x:f>
      </x:c>
      <x:c r="Y42" s="9" t="str">
        <x:f>IF($A42="","",$X42*$I42/100)</x:f>
      </x:c>
      <x:c r="Z42" s="9" t="str">
        <x:f>IF($A42="","",MAX(0,($X42-$Y42)*$K42/100))</x:f>
      </x:c>
      <x:c r="AA42" s="9" t="str">
        <x:f>IF($A42="","",MAX(0,($X42-$Y42)*$L42/100))</x:f>
      </x:c>
      <x:c r="AB42" s="9" t="str">
        <x:f>IF($A42="","",MAX(0,($X42-$Y42)*$M42/100))</x:f>
      </x:c>
      <x:c r="AC42" s="9" t="str">
        <x:f>IF($A42="","",MAX(0,($X42-$Y42)+$J42+$Z42+$N42-$AA42-$AB42-$O42))</x:f>
      </x:c>
    </x:row>
    <x:row r="43">
      <x:c r="A43" s="13"/>
      <x:c r="B43" s="14"/>
      <x:c r="C43" s="8"/>
      <x:c r="D43" s="13"/>
      <x:c r="E43" s="7"/>
      <x:c r="F43" s="13"/>
      <x:c r="G43" s="7"/>
      <x:c r="H43" s="7"/>
      <x:c r="I43" s="10"/>
      <x:c r="J43" s="9"/>
      <x:c r="K43" s="10"/>
      <x:c r="L43" s="10"/>
      <x:c r="M43" s="10"/>
      <x:c r="N43" s="9"/>
      <x:c r="O43" s="9"/>
      <x:c r="P43" s="7"/>
      <x:c r="Q43" s="9"/>
      <x:c r="R43" s="8"/>
      <x:c r="S43" s="9"/>
      <x:c r="T43" s="8"/>
      <x:c r="U43" s="13"/>
      <x:c r="V43" s="7"/>
      <x:c r="W43" s="7"/>
      <x:c r="X43" s="9" t="str">
        <x:f>IF($A43="","",SUMIF(Purchase_Items!$A$2:$A$501,$A43,Purchase_Items!$P$2:$P$501))</x:f>
      </x:c>
      <x:c r="Y43" s="9" t="str">
        <x:f>IF($A43="","",$X43*$I43/100)</x:f>
      </x:c>
      <x:c r="Z43" s="9" t="str">
        <x:f>IF($A43="","",MAX(0,($X43-$Y43)*$K43/100))</x:f>
      </x:c>
      <x:c r="AA43" s="9" t="str">
        <x:f>IF($A43="","",MAX(0,($X43-$Y43)*$L43/100))</x:f>
      </x:c>
      <x:c r="AB43" s="9" t="str">
        <x:f>IF($A43="","",MAX(0,($X43-$Y43)*$M43/100))</x:f>
      </x:c>
      <x:c r="AC43" s="9" t="str">
        <x:f>IF($A43="","",MAX(0,($X43-$Y43)+$J43+$Z43+$N43-$AA43-$AB43-$O43))</x:f>
      </x:c>
    </x:row>
    <x:row r="44">
      <x:c r="A44" s="13"/>
      <x:c r="B44" s="14"/>
      <x:c r="C44" s="8"/>
      <x:c r="D44" s="13"/>
      <x:c r="E44" s="7"/>
      <x:c r="F44" s="13"/>
      <x:c r="G44" s="7"/>
      <x:c r="H44" s="7"/>
      <x:c r="I44" s="10"/>
      <x:c r="J44" s="9"/>
      <x:c r="K44" s="10"/>
      <x:c r="L44" s="10"/>
      <x:c r="M44" s="10"/>
      <x:c r="N44" s="9"/>
      <x:c r="O44" s="9"/>
      <x:c r="P44" s="7"/>
      <x:c r="Q44" s="9"/>
      <x:c r="R44" s="8"/>
      <x:c r="S44" s="9"/>
      <x:c r="T44" s="8"/>
      <x:c r="U44" s="13"/>
      <x:c r="V44" s="7"/>
      <x:c r="W44" s="7"/>
      <x:c r="X44" s="9" t="str">
        <x:f>IF($A44="","",SUMIF(Purchase_Items!$A$2:$A$501,$A44,Purchase_Items!$P$2:$P$501))</x:f>
      </x:c>
      <x:c r="Y44" s="9" t="str">
        <x:f>IF($A44="","",$X44*$I44/100)</x:f>
      </x:c>
      <x:c r="Z44" s="9" t="str">
        <x:f>IF($A44="","",MAX(0,($X44-$Y44)*$K44/100))</x:f>
      </x:c>
      <x:c r="AA44" s="9" t="str">
        <x:f>IF($A44="","",MAX(0,($X44-$Y44)*$L44/100))</x:f>
      </x:c>
      <x:c r="AB44" s="9" t="str">
        <x:f>IF($A44="","",MAX(0,($X44-$Y44)*$M44/100))</x:f>
      </x:c>
      <x:c r="AC44" s="9" t="str">
        <x:f>IF($A44="","",MAX(0,($X44-$Y44)+$J44+$Z44+$N44-$AA44-$AB44-$O44))</x:f>
      </x:c>
    </x:row>
    <x:row r="45">
      <x:c r="A45" s="13"/>
      <x:c r="B45" s="14"/>
      <x:c r="C45" s="8"/>
      <x:c r="D45" s="13"/>
      <x:c r="E45" s="7"/>
      <x:c r="F45" s="13"/>
      <x:c r="G45" s="7"/>
      <x:c r="H45" s="7"/>
      <x:c r="I45" s="10"/>
      <x:c r="J45" s="9"/>
      <x:c r="K45" s="10"/>
      <x:c r="L45" s="10"/>
      <x:c r="M45" s="10"/>
      <x:c r="N45" s="9"/>
      <x:c r="O45" s="9"/>
      <x:c r="P45" s="7"/>
      <x:c r="Q45" s="9"/>
      <x:c r="R45" s="8"/>
      <x:c r="S45" s="9"/>
      <x:c r="T45" s="8"/>
      <x:c r="U45" s="13"/>
      <x:c r="V45" s="7"/>
      <x:c r="W45" s="7"/>
      <x:c r="X45" s="9" t="str">
        <x:f>IF($A45="","",SUMIF(Purchase_Items!$A$2:$A$501,$A45,Purchase_Items!$P$2:$P$501))</x:f>
      </x:c>
      <x:c r="Y45" s="9" t="str">
        <x:f>IF($A45="","",$X45*$I45/100)</x:f>
      </x:c>
      <x:c r="Z45" s="9" t="str">
        <x:f>IF($A45="","",MAX(0,($X45-$Y45)*$K45/100))</x:f>
      </x:c>
      <x:c r="AA45" s="9" t="str">
        <x:f>IF($A45="","",MAX(0,($X45-$Y45)*$L45/100))</x:f>
      </x:c>
      <x:c r="AB45" s="9" t="str">
        <x:f>IF($A45="","",MAX(0,($X45-$Y45)*$M45/100))</x:f>
      </x:c>
      <x:c r="AC45" s="9" t="str">
        <x:f>IF($A45="","",MAX(0,($X45-$Y45)+$J45+$Z45+$N45-$AA45-$AB45-$O45))</x:f>
      </x:c>
    </x:row>
    <x:row r="46">
      <x:c r="A46" s="13"/>
      <x:c r="B46" s="14"/>
      <x:c r="C46" s="8"/>
      <x:c r="D46" s="13"/>
      <x:c r="E46" s="7"/>
      <x:c r="F46" s="13"/>
      <x:c r="G46" s="7"/>
      <x:c r="H46" s="7"/>
      <x:c r="I46" s="10"/>
      <x:c r="J46" s="9"/>
      <x:c r="K46" s="10"/>
      <x:c r="L46" s="10"/>
      <x:c r="M46" s="10"/>
      <x:c r="N46" s="9"/>
      <x:c r="O46" s="9"/>
      <x:c r="P46" s="7"/>
      <x:c r="Q46" s="9"/>
      <x:c r="R46" s="8"/>
      <x:c r="S46" s="9"/>
      <x:c r="T46" s="8"/>
      <x:c r="U46" s="13"/>
      <x:c r="V46" s="7"/>
      <x:c r="W46" s="7"/>
      <x:c r="X46" s="9" t="str">
        <x:f>IF($A46="","",SUMIF(Purchase_Items!$A$2:$A$501,$A46,Purchase_Items!$P$2:$P$501))</x:f>
      </x:c>
      <x:c r="Y46" s="9" t="str">
        <x:f>IF($A46="","",$X46*$I46/100)</x:f>
      </x:c>
      <x:c r="Z46" s="9" t="str">
        <x:f>IF($A46="","",MAX(0,($X46-$Y46)*$K46/100))</x:f>
      </x:c>
      <x:c r="AA46" s="9" t="str">
        <x:f>IF($A46="","",MAX(0,($X46-$Y46)*$L46/100))</x:f>
      </x:c>
      <x:c r="AB46" s="9" t="str">
        <x:f>IF($A46="","",MAX(0,($X46-$Y46)*$M46/100))</x:f>
      </x:c>
      <x:c r="AC46" s="9" t="str">
        <x:f>IF($A46="","",MAX(0,($X46-$Y46)+$J46+$Z46+$N46-$AA46-$AB46-$O46))</x:f>
      </x:c>
    </x:row>
    <x:row r="47">
      <x:c r="A47" s="13"/>
      <x:c r="B47" s="14"/>
      <x:c r="C47" s="8"/>
      <x:c r="D47" s="13"/>
      <x:c r="E47" s="7"/>
      <x:c r="F47" s="13"/>
      <x:c r="G47" s="7"/>
      <x:c r="H47" s="7"/>
      <x:c r="I47" s="10"/>
      <x:c r="J47" s="9"/>
      <x:c r="K47" s="10"/>
      <x:c r="L47" s="10"/>
      <x:c r="M47" s="10"/>
      <x:c r="N47" s="9"/>
      <x:c r="O47" s="9"/>
      <x:c r="P47" s="7"/>
      <x:c r="Q47" s="9"/>
      <x:c r="R47" s="8"/>
      <x:c r="S47" s="9"/>
      <x:c r="T47" s="8"/>
      <x:c r="U47" s="13"/>
      <x:c r="V47" s="7"/>
      <x:c r="W47" s="7"/>
      <x:c r="X47" s="9" t="str">
        <x:f>IF($A47="","",SUMIF(Purchase_Items!$A$2:$A$501,$A47,Purchase_Items!$P$2:$P$501))</x:f>
      </x:c>
      <x:c r="Y47" s="9" t="str">
        <x:f>IF($A47="","",$X47*$I47/100)</x:f>
      </x:c>
      <x:c r="Z47" s="9" t="str">
        <x:f>IF($A47="","",MAX(0,($X47-$Y47)*$K47/100))</x:f>
      </x:c>
      <x:c r="AA47" s="9" t="str">
        <x:f>IF($A47="","",MAX(0,($X47-$Y47)*$L47/100))</x:f>
      </x:c>
      <x:c r="AB47" s="9" t="str">
        <x:f>IF($A47="","",MAX(0,($X47-$Y47)*$M47/100))</x:f>
      </x:c>
      <x:c r="AC47" s="9" t="str">
        <x:f>IF($A47="","",MAX(0,($X47-$Y47)+$J47+$Z47+$N47-$AA47-$AB47-$O47))</x:f>
      </x:c>
    </x:row>
    <x:row r="48">
      <x:c r="A48" s="13"/>
      <x:c r="B48" s="14"/>
      <x:c r="C48" s="8"/>
      <x:c r="D48" s="13"/>
      <x:c r="E48" s="7"/>
      <x:c r="F48" s="13"/>
      <x:c r="G48" s="7"/>
      <x:c r="H48" s="7"/>
      <x:c r="I48" s="10"/>
      <x:c r="J48" s="9"/>
      <x:c r="K48" s="10"/>
      <x:c r="L48" s="10"/>
      <x:c r="M48" s="10"/>
      <x:c r="N48" s="9"/>
      <x:c r="O48" s="9"/>
      <x:c r="P48" s="7"/>
      <x:c r="Q48" s="9"/>
      <x:c r="R48" s="8"/>
      <x:c r="S48" s="9"/>
      <x:c r="T48" s="8"/>
      <x:c r="U48" s="13"/>
      <x:c r="V48" s="7"/>
      <x:c r="W48" s="7"/>
      <x:c r="X48" s="9" t="str">
        <x:f>IF($A48="","",SUMIF(Purchase_Items!$A$2:$A$501,$A48,Purchase_Items!$P$2:$P$501))</x:f>
      </x:c>
      <x:c r="Y48" s="9" t="str">
        <x:f>IF($A48="","",$X48*$I48/100)</x:f>
      </x:c>
      <x:c r="Z48" s="9" t="str">
        <x:f>IF($A48="","",MAX(0,($X48-$Y48)*$K48/100))</x:f>
      </x:c>
      <x:c r="AA48" s="9" t="str">
        <x:f>IF($A48="","",MAX(0,($X48-$Y48)*$L48/100))</x:f>
      </x:c>
      <x:c r="AB48" s="9" t="str">
        <x:f>IF($A48="","",MAX(0,($X48-$Y48)*$M48/100))</x:f>
      </x:c>
      <x:c r="AC48" s="9" t="str">
        <x:f>IF($A48="","",MAX(0,($X48-$Y48)+$J48+$Z48+$N48-$AA48-$AB48-$O48))</x:f>
      </x:c>
    </x:row>
    <x:row r="49">
      <x:c r="A49" s="13"/>
      <x:c r="B49" s="14"/>
      <x:c r="C49" s="8"/>
      <x:c r="D49" s="13"/>
      <x:c r="E49" s="7"/>
      <x:c r="F49" s="13"/>
      <x:c r="G49" s="7"/>
      <x:c r="H49" s="7"/>
      <x:c r="I49" s="10"/>
      <x:c r="J49" s="9"/>
      <x:c r="K49" s="10"/>
      <x:c r="L49" s="10"/>
      <x:c r="M49" s="10"/>
      <x:c r="N49" s="9"/>
      <x:c r="O49" s="9"/>
      <x:c r="P49" s="7"/>
      <x:c r="Q49" s="9"/>
      <x:c r="R49" s="8"/>
      <x:c r="S49" s="9"/>
      <x:c r="T49" s="8"/>
      <x:c r="U49" s="13"/>
      <x:c r="V49" s="7"/>
      <x:c r="W49" s="7"/>
      <x:c r="X49" s="9" t="str">
        <x:f>IF($A49="","",SUMIF(Purchase_Items!$A$2:$A$501,$A49,Purchase_Items!$P$2:$P$501))</x:f>
      </x:c>
      <x:c r="Y49" s="9" t="str">
        <x:f>IF($A49="","",$X49*$I49/100)</x:f>
      </x:c>
      <x:c r="Z49" s="9" t="str">
        <x:f>IF($A49="","",MAX(0,($X49-$Y49)*$K49/100))</x:f>
      </x:c>
      <x:c r="AA49" s="9" t="str">
        <x:f>IF($A49="","",MAX(0,($X49-$Y49)*$L49/100))</x:f>
      </x:c>
      <x:c r="AB49" s="9" t="str">
        <x:f>IF($A49="","",MAX(0,($X49-$Y49)*$M49/100))</x:f>
      </x:c>
      <x:c r="AC49" s="9" t="str">
        <x:f>IF($A49="","",MAX(0,($X49-$Y49)+$J49+$Z49+$N49-$AA49-$AB49-$O49))</x:f>
      </x:c>
    </x:row>
    <x:row r="50">
      <x:c r="A50" s="13"/>
      <x:c r="B50" s="14"/>
      <x:c r="C50" s="8"/>
      <x:c r="D50" s="13"/>
      <x:c r="E50" s="7"/>
      <x:c r="F50" s="13"/>
      <x:c r="G50" s="7"/>
      <x:c r="H50" s="7"/>
      <x:c r="I50" s="10"/>
      <x:c r="J50" s="9"/>
      <x:c r="K50" s="10"/>
      <x:c r="L50" s="10"/>
      <x:c r="M50" s="10"/>
      <x:c r="N50" s="9"/>
      <x:c r="O50" s="9"/>
      <x:c r="P50" s="7"/>
      <x:c r="Q50" s="9"/>
      <x:c r="R50" s="8"/>
      <x:c r="S50" s="9"/>
      <x:c r="T50" s="8"/>
      <x:c r="U50" s="13"/>
      <x:c r="V50" s="7"/>
      <x:c r="W50" s="7"/>
      <x:c r="X50" s="9" t="str">
        <x:f>IF($A50="","",SUMIF(Purchase_Items!$A$2:$A$501,$A50,Purchase_Items!$P$2:$P$501))</x:f>
      </x:c>
      <x:c r="Y50" s="9" t="str">
        <x:f>IF($A50="","",$X50*$I50/100)</x:f>
      </x:c>
      <x:c r="Z50" s="9" t="str">
        <x:f>IF($A50="","",MAX(0,($X50-$Y50)*$K50/100))</x:f>
      </x:c>
      <x:c r="AA50" s="9" t="str">
        <x:f>IF($A50="","",MAX(0,($X50-$Y50)*$L50/100))</x:f>
      </x:c>
      <x:c r="AB50" s="9" t="str">
        <x:f>IF($A50="","",MAX(0,($X50-$Y50)*$M50/100))</x:f>
      </x:c>
      <x:c r="AC50" s="9" t="str">
        <x:f>IF($A50="","",MAX(0,($X50-$Y50)+$J50+$Z50+$N50-$AA50-$AB50-$O50))</x:f>
      </x:c>
    </x:row>
    <x:row r="51">
      <x:c r="A51" s="13"/>
      <x:c r="B51" s="14"/>
      <x:c r="C51" s="8"/>
      <x:c r="D51" s="13"/>
      <x:c r="E51" s="7"/>
      <x:c r="F51" s="13"/>
      <x:c r="G51" s="7"/>
      <x:c r="H51" s="7"/>
      <x:c r="I51" s="10"/>
      <x:c r="J51" s="9"/>
      <x:c r="K51" s="10"/>
      <x:c r="L51" s="10"/>
      <x:c r="M51" s="10"/>
      <x:c r="N51" s="9"/>
      <x:c r="O51" s="9"/>
      <x:c r="P51" s="7"/>
      <x:c r="Q51" s="9"/>
      <x:c r="R51" s="8"/>
      <x:c r="S51" s="9"/>
      <x:c r="T51" s="8"/>
      <x:c r="U51" s="13"/>
      <x:c r="V51" s="7"/>
      <x:c r="W51" s="7"/>
      <x:c r="X51" s="9" t="str">
        <x:f>IF($A51="","",SUMIF(Purchase_Items!$A$2:$A$501,$A51,Purchase_Items!$P$2:$P$501))</x:f>
      </x:c>
      <x:c r="Y51" s="9" t="str">
        <x:f>IF($A51="","",$X51*$I51/100)</x:f>
      </x:c>
      <x:c r="Z51" s="9" t="str">
        <x:f>IF($A51="","",MAX(0,($X51-$Y51)*$K51/100))</x:f>
      </x:c>
      <x:c r="AA51" s="9" t="str">
        <x:f>IF($A51="","",MAX(0,($X51-$Y51)*$L51/100))</x:f>
      </x:c>
      <x:c r="AB51" s="9" t="str">
        <x:f>IF($A51="","",MAX(0,($X51-$Y51)*$M51/100))</x:f>
      </x:c>
      <x:c r="AC51" s="9" t="str">
        <x:f>IF($A51="","",MAX(0,($X51-$Y51)+$J51+$Z51+$N51-$AA51-$AB51-$O51))</x:f>
      </x:c>
    </x:row>
    <x:row r="52">
      <x:c r="A52" s="13"/>
      <x:c r="B52" s="14"/>
      <x:c r="C52" s="8"/>
      <x:c r="D52" s="13"/>
      <x:c r="E52" s="7"/>
      <x:c r="F52" s="13"/>
      <x:c r="G52" s="7"/>
      <x:c r="H52" s="7"/>
      <x:c r="I52" s="10"/>
      <x:c r="J52" s="9"/>
      <x:c r="K52" s="10"/>
      <x:c r="L52" s="10"/>
      <x:c r="M52" s="10"/>
      <x:c r="N52" s="9"/>
      <x:c r="O52" s="9"/>
      <x:c r="P52" s="7"/>
      <x:c r="Q52" s="9"/>
      <x:c r="R52" s="8"/>
      <x:c r="S52" s="9"/>
      <x:c r="T52" s="8"/>
      <x:c r="U52" s="13"/>
      <x:c r="V52" s="7"/>
      <x:c r="W52" s="7"/>
      <x:c r="X52" s="9" t="str">
        <x:f>IF($A52="","",SUMIF(Purchase_Items!$A$2:$A$501,$A52,Purchase_Items!$P$2:$P$501))</x:f>
      </x:c>
      <x:c r="Y52" s="9" t="str">
        <x:f>IF($A52="","",$X52*$I52/100)</x:f>
      </x:c>
      <x:c r="Z52" s="9" t="str">
        <x:f>IF($A52="","",MAX(0,($X52-$Y52)*$K52/100))</x:f>
      </x:c>
      <x:c r="AA52" s="9" t="str">
        <x:f>IF($A52="","",MAX(0,($X52-$Y52)*$L52/100))</x:f>
      </x:c>
      <x:c r="AB52" s="9" t="str">
        <x:f>IF($A52="","",MAX(0,($X52-$Y52)*$M52/100))</x:f>
      </x:c>
      <x:c r="AC52" s="9" t="str">
        <x:f>IF($A52="","",MAX(0,($X52-$Y52)+$J52+$Z52+$N52-$AA52-$AB52-$O52))</x:f>
      </x:c>
    </x:row>
    <x:row r="53">
      <x:c r="A53" s="13"/>
      <x:c r="B53" s="14"/>
      <x:c r="C53" s="8"/>
      <x:c r="D53" s="13"/>
      <x:c r="E53" s="7"/>
      <x:c r="F53" s="13"/>
      <x:c r="G53" s="7"/>
      <x:c r="H53" s="7"/>
      <x:c r="I53" s="10"/>
      <x:c r="J53" s="9"/>
      <x:c r="K53" s="10"/>
      <x:c r="L53" s="10"/>
      <x:c r="M53" s="10"/>
      <x:c r="N53" s="9"/>
      <x:c r="O53" s="9"/>
      <x:c r="P53" s="7"/>
      <x:c r="Q53" s="9"/>
      <x:c r="R53" s="8"/>
      <x:c r="S53" s="9"/>
      <x:c r="T53" s="8"/>
      <x:c r="U53" s="13"/>
      <x:c r="V53" s="7"/>
      <x:c r="W53" s="7"/>
      <x:c r="X53" s="9" t="str">
        <x:f>IF($A53="","",SUMIF(Purchase_Items!$A$2:$A$501,$A53,Purchase_Items!$P$2:$P$501))</x:f>
      </x:c>
      <x:c r="Y53" s="9" t="str">
        <x:f>IF($A53="","",$X53*$I53/100)</x:f>
      </x:c>
      <x:c r="Z53" s="9" t="str">
        <x:f>IF($A53="","",MAX(0,($X53-$Y53)*$K53/100))</x:f>
      </x:c>
      <x:c r="AA53" s="9" t="str">
        <x:f>IF($A53="","",MAX(0,($X53-$Y53)*$L53/100))</x:f>
      </x:c>
      <x:c r="AB53" s="9" t="str">
        <x:f>IF($A53="","",MAX(0,($X53-$Y53)*$M53/100))</x:f>
      </x:c>
      <x:c r="AC53" s="9" t="str">
        <x:f>IF($A53="","",MAX(0,($X53-$Y53)+$J53+$Z53+$N53-$AA53-$AB53-$O53))</x:f>
      </x:c>
    </x:row>
    <x:row r="54">
      <x:c r="A54" s="13"/>
      <x:c r="B54" s="14"/>
      <x:c r="C54" s="8"/>
      <x:c r="D54" s="13"/>
      <x:c r="E54" s="7"/>
      <x:c r="F54" s="13"/>
      <x:c r="G54" s="7"/>
      <x:c r="H54" s="7"/>
      <x:c r="I54" s="10"/>
      <x:c r="J54" s="9"/>
      <x:c r="K54" s="10"/>
      <x:c r="L54" s="10"/>
      <x:c r="M54" s="10"/>
      <x:c r="N54" s="9"/>
      <x:c r="O54" s="9"/>
      <x:c r="P54" s="7"/>
      <x:c r="Q54" s="9"/>
      <x:c r="R54" s="8"/>
      <x:c r="S54" s="9"/>
      <x:c r="T54" s="8"/>
      <x:c r="U54" s="13"/>
      <x:c r="V54" s="7"/>
      <x:c r="W54" s="7"/>
      <x:c r="X54" s="9" t="str">
        <x:f>IF($A54="","",SUMIF(Purchase_Items!$A$2:$A$501,$A54,Purchase_Items!$P$2:$P$501))</x:f>
      </x:c>
      <x:c r="Y54" s="9" t="str">
        <x:f>IF($A54="","",$X54*$I54/100)</x:f>
      </x:c>
      <x:c r="Z54" s="9" t="str">
        <x:f>IF($A54="","",MAX(0,($X54-$Y54)*$K54/100))</x:f>
      </x:c>
      <x:c r="AA54" s="9" t="str">
        <x:f>IF($A54="","",MAX(0,($X54-$Y54)*$L54/100))</x:f>
      </x:c>
      <x:c r="AB54" s="9" t="str">
        <x:f>IF($A54="","",MAX(0,($X54-$Y54)*$M54/100))</x:f>
      </x:c>
      <x:c r="AC54" s="9" t="str">
        <x:f>IF($A54="","",MAX(0,($X54-$Y54)+$J54+$Z54+$N54-$AA54-$AB54-$O54))</x:f>
      </x:c>
    </x:row>
    <x:row r="55">
      <x:c r="A55" s="13"/>
      <x:c r="B55" s="14"/>
      <x:c r="C55" s="8"/>
      <x:c r="D55" s="13"/>
      <x:c r="E55" s="7"/>
      <x:c r="F55" s="13"/>
      <x:c r="G55" s="7"/>
      <x:c r="H55" s="7"/>
      <x:c r="I55" s="10"/>
      <x:c r="J55" s="9"/>
      <x:c r="K55" s="10"/>
      <x:c r="L55" s="10"/>
      <x:c r="M55" s="10"/>
      <x:c r="N55" s="9"/>
      <x:c r="O55" s="9"/>
      <x:c r="P55" s="7"/>
      <x:c r="Q55" s="9"/>
      <x:c r="R55" s="8"/>
      <x:c r="S55" s="9"/>
      <x:c r="T55" s="8"/>
      <x:c r="U55" s="13"/>
      <x:c r="V55" s="7"/>
      <x:c r="W55" s="7"/>
      <x:c r="X55" s="9" t="str">
        <x:f>IF($A55="","",SUMIF(Purchase_Items!$A$2:$A$501,$A55,Purchase_Items!$P$2:$P$501))</x:f>
      </x:c>
      <x:c r="Y55" s="9" t="str">
        <x:f>IF($A55="","",$X55*$I55/100)</x:f>
      </x:c>
      <x:c r="Z55" s="9" t="str">
        <x:f>IF($A55="","",MAX(0,($X55-$Y55)*$K55/100))</x:f>
      </x:c>
      <x:c r="AA55" s="9" t="str">
        <x:f>IF($A55="","",MAX(0,($X55-$Y55)*$L55/100))</x:f>
      </x:c>
      <x:c r="AB55" s="9" t="str">
        <x:f>IF($A55="","",MAX(0,($X55-$Y55)*$M55/100))</x:f>
      </x:c>
      <x:c r="AC55" s="9" t="str">
        <x:f>IF($A55="","",MAX(0,($X55-$Y55)+$J55+$Z55+$N55-$AA55-$AB55-$O55))</x:f>
      </x:c>
    </x:row>
    <x:row r="56">
      <x:c r="A56" s="13"/>
      <x:c r="B56" s="14"/>
      <x:c r="C56" s="8"/>
      <x:c r="D56" s="13"/>
      <x:c r="E56" s="7"/>
      <x:c r="F56" s="13"/>
      <x:c r="G56" s="7"/>
      <x:c r="H56" s="7"/>
      <x:c r="I56" s="10"/>
      <x:c r="J56" s="9"/>
      <x:c r="K56" s="10"/>
      <x:c r="L56" s="10"/>
      <x:c r="M56" s="10"/>
      <x:c r="N56" s="9"/>
      <x:c r="O56" s="9"/>
      <x:c r="P56" s="7"/>
      <x:c r="Q56" s="9"/>
      <x:c r="R56" s="8"/>
      <x:c r="S56" s="9"/>
      <x:c r="T56" s="8"/>
      <x:c r="U56" s="13"/>
      <x:c r="V56" s="7"/>
      <x:c r="W56" s="7"/>
      <x:c r="X56" s="9" t="str">
        <x:f>IF($A56="","",SUMIF(Purchase_Items!$A$2:$A$501,$A56,Purchase_Items!$P$2:$P$501))</x:f>
      </x:c>
      <x:c r="Y56" s="9" t="str">
        <x:f>IF($A56="","",$X56*$I56/100)</x:f>
      </x:c>
      <x:c r="Z56" s="9" t="str">
        <x:f>IF($A56="","",MAX(0,($X56-$Y56)*$K56/100))</x:f>
      </x:c>
      <x:c r="AA56" s="9" t="str">
        <x:f>IF($A56="","",MAX(0,($X56-$Y56)*$L56/100))</x:f>
      </x:c>
      <x:c r="AB56" s="9" t="str">
        <x:f>IF($A56="","",MAX(0,($X56-$Y56)*$M56/100))</x:f>
      </x:c>
      <x:c r="AC56" s="9" t="str">
        <x:f>IF($A56="","",MAX(0,($X56-$Y56)+$J56+$Z56+$N56-$AA56-$AB56-$O56))</x:f>
      </x:c>
    </x:row>
    <x:row r="57">
      <x:c r="A57" s="13"/>
      <x:c r="B57" s="14"/>
      <x:c r="C57" s="8"/>
      <x:c r="D57" s="13"/>
      <x:c r="E57" s="7"/>
      <x:c r="F57" s="13"/>
      <x:c r="G57" s="7"/>
      <x:c r="H57" s="7"/>
      <x:c r="I57" s="10"/>
      <x:c r="J57" s="9"/>
      <x:c r="K57" s="10"/>
      <x:c r="L57" s="10"/>
      <x:c r="M57" s="10"/>
      <x:c r="N57" s="9"/>
      <x:c r="O57" s="9"/>
      <x:c r="P57" s="7"/>
      <x:c r="Q57" s="9"/>
      <x:c r="R57" s="8"/>
      <x:c r="S57" s="9"/>
      <x:c r="T57" s="8"/>
      <x:c r="U57" s="13"/>
      <x:c r="V57" s="7"/>
      <x:c r="W57" s="7"/>
      <x:c r="X57" s="9" t="str">
        <x:f>IF($A57="","",SUMIF(Purchase_Items!$A$2:$A$501,$A57,Purchase_Items!$P$2:$P$501))</x:f>
      </x:c>
      <x:c r="Y57" s="9" t="str">
        <x:f>IF($A57="","",$X57*$I57/100)</x:f>
      </x:c>
      <x:c r="Z57" s="9" t="str">
        <x:f>IF($A57="","",MAX(0,($X57-$Y57)*$K57/100))</x:f>
      </x:c>
      <x:c r="AA57" s="9" t="str">
        <x:f>IF($A57="","",MAX(0,($X57-$Y57)*$L57/100))</x:f>
      </x:c>
      <x:c r="AB57" s="9" t="str">
        <x:f>IF($A57="","",MAX(0,($X57-$Y57)*$M57/100))</x:f>
      </x:c>
      <x:c r="AC57" s="9" t="str">
        <x:f>IF($A57="","",MAX(0,($X57-$Y57)+$J57+$Z57+$N57-$AA57-$AB57-$O57))</x:f>
      </x:c>
    </x:row>
    <x:row r="58">
      <x:c r="A58" s="13"/>
      <x:c r="B58" s="14"/>
      <x:c r="C58" s="8"/>
      <x:c r="D58" s="13"/>
      <x:c r="E58" s="7"/>
      <x:c r="F58" s="13"/>
      <x:c r="G58" s="7"/>
      <x:c r="H58" s="7"/>
      <x:c r="I58" s="10"/>
      <x:c r="J58" s="9"/>
      <x:c r="K58" s="10"/>
      <x:c r="L58" s="10"/>
      <x:c r="M58" s="10"/>
      <x:c r="N58" s="9"/>
      <x:c r="O58" s="9"/>
      <x:c r="P58" s="7"/>
      <x:c r="Q58" s="9"/>
      <x:c r="R58" s="8"/>
      <x:c r="S58" s="9"/>
      <x:c r="T58" s="8"/>
      <x:c r="U58" s="13"/>
      <x:c r="V58" s="7"/>
      <x:c r="W58" s="7"/>
      <x:c r="X58" s="9" t="str">
        <x:f>IF($A58="","",SUMIF(Purchase_Items!$A$2:$A$501,$A58,Purchase_Items!$P$2:$P$501))</x:f>
      </x:c>
      <x:c r="Y58" s="9" t="str">
        <x:f>IF($A58="","",$X58*$I58/100)</x:f>
      </x:c>
      <x:c r="Z58" s="9" t="str">
        <x:f>IF($A58="","",MAX(0,($X58-$Y58)*$K58/100))</x:f>
      </x:c>
      <x:c r="AA58" s="9" t="str">
        <x:f>IF($A58="","",MAX(0,($X58-$Y58)*$L58/100))</x:f>
      </x:c>
      <x:c r="AB58" s="9" t="str">
        <x:f>IF($A58="","",MAX(0,($X58-$Y58)*$M58/100))</x:f>
      </x:c>
      <x:c r="AC58" s="9" t="str">
        <x:f>IF($A58="","",MAX(0,($X58-$Y58)+$J58+$Z58+$N58-$AA58-$AB58-$O58))</x:f>
      </x:c>
    </x:row>
    <x:row r="59">
      <x:c r="A59" s="13"/>
      <x:c r="B59" s="14"/>
      <x:c r="C59" s="8"/>
      <x:c r="D59" s="13"/>
      <x:c r="E59" s="7"/>
      <x:c r="F59" s="13"/>
      <x:c r="G59" s="7"/>
      <x:c r="H59" s="7"/>
      <x:c r="I59" s="10"/>
      <x:c r="J59" s="9"/>
      <x:c r="K59" s="10"/>
      <x:c r="L59" s="10"/>
      <x:c r="M59" s="10"/>
      <x:c r="N59" s="9"/>
      <x:c r="O59" s="9"/>
      <x:c r="P59" s="7"/>
      <x:c r="Q59" s="9"/>
      <x:c r="R59" s="8"/>
      <x:c r="S59" s="9"/>
      <x:c r="T59" s="8"/>
      <x:c r="U59" s="13"/>
      <x:c r="V59" s="7"/>
      <x:c r="W59" s="7"/>
      <x:c r="X59" s="9" t="str">
        <x:f>IF($A59="","",SUMIF(Purchase_Items!$A$2:$A$501,$A59,Purchase_Items!$P$2:$P$501))</x:f>
      </x:c>
      <x:c r="Y59" s="9" t="str">
        <x:f>IF($A59="","",$X59*$I59/100)</x:f>
      </x:c>
      <x:c r="Z59" s="9" t="str">
        <x:f>IF($A59="","",MAX(0,($X59-$Y59)*$K59/100))</x:f>
      </x:c>
      <x:c r="AA59" s="9" t="str">
        <x:f>IF($A59="","",MAX(0,($X59-$Y59)*$L59/100))</x:f>
      </x:c>
      <x:c r="AB59" s="9" t="str">
        <x:f>IF($A59="","",MAX(0,($X59-$Y59)*$M59/100))</x:f>
      </x:c>
      <x:c r="AC59" s="9" t="str">
        <x:f>IF($A59="","",MAX(0,($X59-$Y59)+$J59+$Z59+$N59-$AA59-$AB59-$O59))</x:f>
      </x:c>
    </x:row>
    <x:row r="60">
      <x:c r="A60" s="13"/>
      <x:c r="B60" s="14"/>
      <x:c r="C60" s="8"/>
      <x:c r="D60" s="13"/>
      <x:c r="E60" s="7"/>
      <x:c r="F60" s="13"/>
      <x:c r="G60" s="7"/>
      <x:c r="H60" s="7"/>
      <x:c r="I60" s="10"/>
      <x:c r="J60" s="9"/>
      <x:c r="K60" s="10"/>
      <x:c r="L60" s="10"/>
      <x:c r="M60" s="10"/>
      <x:c r="N60" s="9"/>
      <x:c r="O60" s="9"/>
      <x:c r="P60" s="7"/>
      <x:c r="Q60" s="9"/>
      <x:c r="R60" s="8"/>
      <x:c r="S60" s="9"/>
      <x:c r="T60" s="8"/>
      <x:c r="U60" s="13"/>
      <x:c r="V60" s="7"/>
      <x:c r="W60" s="7"/>
      <x:c r="X60" s="9" t="str">
        <x:f>IF($A60="","",SUMIF(Purchase_Items!$A$2:$A$501,$A60,Purchase_Items!$P$2:$P$501))</x:f>
      </x:c>
      <x:c r="Y60" s="9" t="str">
        <x:f>IF($A60="","",$X60*$I60/100)</x:f>
      </x:c>
      <x:c r="Z60" s="9" t="str">
        <x:f>IF($A60="","",MAX(0,($X60-$Y60)*$K60/100))</x:f>
      </x:c>
      <x:c r="AA60" s="9" t="str">
        <x:f>IF($A60="","",MAX(0,($X60-$Y60)*$L60/100))</x:f>
      </x:c>
      <x:c r="AB60" s="9" t="str">
        <x:f>IF($A60="","",MAX(0,($X60-$Y60)*$M60/100))</x:f>
      </x:c>
      <x:c r="AC60" s="9" t="str">
        <x:f>IF($A60="","",MAX(0,($X60-$Y60)+$J60+$Z60+$N60-$AA60-$AB60-$O60))</x:f>
      </x:c>
    </x:row>
    <x:row r="61">
      <x:c r="A61" s="13"/>
      <x:c r="B61" s="14"/>
      <x:c r="C61" s="8"/>
      <x:c r="D61" s="13"/>
      <x:c r="E61" s="7"/>
      <x:c r="F61" s="13"/>
      <x:c r="G61" s="7"/>
      <x:c r="H61" s="7"/>
      <x:c r="I61" s="10"/>
      <x:c r="J61" s="9"/>
      <x:c r="K61" s="10"/>
      <x:c r="L61" s="10"/>
      <x:c r="M61" s="10"/>
      <x:c r="N61" s="9"/>
      <x:c r="O61" s="9"/>
      <x:c r="P61" s="7"/>
      <x:c r="Q61" s="9"/>
      <x:c r="R61" s="8"/>
      <x:c r="S61" s="9"/>
      <x:c r="T61" s="8"/>
      <x:c r="U61" s="13"/>
      <x:c r="V61" s="7"/>
      <x:c r="W61" s="7"/>
      <x:c r="X61" s="9" t="str">
        <x:f>IF($A61="","",SUMIF(Purchase_Items!$A$2:$A$501,$A61,Purchase_Items!$P$2:$P$501))</x:f>
      </x:c>
      <x:c r="Y61" s="9" t="str">
        <x:f>IF($A61="","",$X61*$I61/100)</x:f>
      </x:c>
      <x:c r="Z61" s="9" t="str">
        <x:f>IF($A61="","",MAX(0,($X61-$Y61)*$K61/100))</x:f>
      </x:c>
      <x:c r="AA61" s="9" t="str">
        <x:f>IF($A61="","",MAX(0,($X61-$Y61)*$L61/100))</x:f>
      </x:c>
      <x:c r="AB61" s="9" t="str">
        <x:f>IF($A61="","",MAX(0,($X61-$Y61)*$M61/100))</x:f>
      </x:c>
      <x:c r="AC61" s="9" t="str">
        <x:f>IF($A61="","",MAX(0,($X61-$Y61)+$J61+$Z61+$N61-$AA61-$AB61-$O61))</x:f>
      </x:c>
    </x:row>
    <x:row r="62">
      <x:c r="A62" s="13"/>
      <x:c r="B62" s="14"/>
      <x:c r="C62" s="8"/>
      <x:c r="D62" s="13"/>
      <x:c r="E62" s="7"/>
      <x:c r="F62" s="13"/>
      <x:c r="G62" s="7"/>
      <x:c r="H62" s="7"/>
      <x:c r="I62" s="10"/>
      <x:c r="J62" s="9"/>
      <x:c r="K62" s="10"/>
      <x:c r="L62" s="10"/>
      <x:c r="M62" s="10"/>
      <x:c r="N62" s="9"/>
      <x:c r="O62" s="9"/>
      <x:c r="P62" s="7"/>
      <x:c r="Q62" s="9"/>
      <x:c r="R62" s="8"/>
      <x:c r="S62" s="9"/>
      <x:c r="T62" s="8"/>
      <x:c r="U62" s="13"/>
      <x:c r="V62" s="7"/>
      <x:c r="W62" s="7"/>
      <x:c r="X62" s="9" t="str">
        <x:f>IF($A62="","",SUMIF(Purchase_Items!$A$2:$A$501,$A62,Purchase_Items!$P$2:$P$501))</x:f>
      </x:c>
      <x:c r="Y62" s="9" t="str">
        <x:f>IF($A62="","",$X62*$I62/100)</x:f>
      </x:c>
      <x:c r="Z62" s="9" t="str">
        <x:f>IF($A62="","",MAX(0,($X62-$Y62)*$K62/100))</x:f>
      </x:c>
      <x:c r="AA62" s="9" t="str">
        <x:f>IF($A62="","",MAX(0,($X62-$Y62)*$L62/100))</x:f>
      </x:c>
      <x:c r="AB62" s="9" t="str">
        <x:f>IF($A62="","",MAX(0,($X62-$Y62)*$M62/100))</x:f>
      </x:c>
      <x:c r="AC62" s="9" t="str">
        <x:f>IF($A62="","",MAX(0,($X62-$Y62)+$J62+$Z62+$N62-$AA62-$AB62-$O62))</x:f>
      </x:c>
    </x:row>
    <x:row r="63">
      <x:c r="A63" s="13"/>
      <x:c r="B63" s="14"/>
      <x:c r="C63" s="8"/>
      <x:c r="D63" s="13"/>
      <x:c r="E63" s="7"/>
      <x:c r="F63" s="13"/>
      <x:c r="G63" s="7"/>
      <x:c r="H63" s="7"/>
      <x:c r="I63" s="10"/>
      <x:c r="J63" s="9"/>
      <x:c r="K63" s="10"/>
      <x:c r="L63" s="10"/>
      <x:c r="M63" s="10"/>
      <x:c r="N63" s="9"/>
      <x:c r="O63" s="9"/>
      <x:c r="P63" s="7"/>
      <x:c r="Q63" s="9"/>
      <x:c r="R63" s="8"/>
      <x:c r="S63" s="9"/>
      <x:c r="T63" s="8"/>
      <x:c r="U63" s="13"/>
      <x:c r="V63" s="7"/>
      <x:c r="W63" s="7"/>
      <x:c r="X63" s="9" t="str">
        <x:f>IF($A63="","",SUMIF(Purchase_Items!$A$2:$A$501,$A63,Purchase_Items!$P$2:$P$501))</x:f>
      </x:c>
      <x:c r="Y63" s="9" t="str">
        <x:f>IF($A63="","",$X63*$I63/100)</x:f>
      </x:c>
      <x:c r="Z63" s="9" t="str">
        <x:f>IF($A63="","",MAX(0,($X63-$Y63)*$K63/100))</x:f>
      </x:c>
      <x:c r="AA63" s="9" t="str">
        <x:f>IF($A63="","",MAX(0,($X63-$Y63)*$L63/100))</x:f>
      </x:c>
      <x:c r="AB63" s="9" t="str">
        <x:f>IF($A63="","",MAX(0,($X63-$Y63)*$M63/100))</x:f>
      </x:c>
      <x:c r="AC63" s="9" t="str">
        <x:f>IF($A63="","",MAX(0,($X63-$Y63)+$J63+$Z63+$N63-$AA63-$AB63-$O63))</x:f>
      </x:c>
    </x:row>
    <x:row r="64">
      <x:c r="A64" s="13"/>
      <x:c r="B64" s="14"/>
      <x:c r="C64" s="8"/>
      <x:c r="D64" s="13"/>
      <x:c r="E64" s="7"/>
      <x:c r="F64" s="13"/>
      <x:c r="G64" s="7"/>
      <x:c r="H64" s="7"/>
      <x:c r="I64" s="10"/>
      <x:c r="J64" s="9"/>
      <x:c r="K64" s="10"/>
      <x:c r="L64" s="10"/>
      <x:c r="M64" s="10"/>
      <x:c r="N64" s="9"/>
      <x:c r="O64" s="9"/>
      <x:c r="P64" s="7"/>
      <x:c r="Q64" s="9"/>
      <x:c r="R64" s="8"/>
      <x:c r="S64" s="9"/>
      <x:c r="T64" s="8"/>
      <x:c r="U64" s="13"/>
      <x:c r="V64" s="7"/>
      <x:c r="W64" s="7"/>
      <x:c r="X64" s="9" t="str">
        <x:f>IF($A64="","",SUMIF(Purchase_Items!$A$2:$A$501,$A64,Purchase_Items!$P$2:$P$501))</x:f>
      </x:c>
      <x:c r="Y64" s="9" t="str">
        <x:f>IF($A64="","",$X64*$I64/100)</x:f>
      </x:c>
      <x:c r="Z64" s="9" t="str">
        <x:f>IF($A64="","",MAX(0,($X64-$Y64)*$K64/100))</x:f>
      </x:c>
      <x:c r="AA64" s="9" t="str">
        <x:f>IF($A64="","",MAX(0,($X64-$Y64)*$L64/100))</x:f>
      </x:c>
      <x:c r="AB64" s="9" t="str">
        <x:f>IF($A64="","",MAX(0,($X64-$Y64)*$M64/100))</x:f>
      </x:c>
      <x:c r="AC64" s="9" t="str">
        <x:f>IF($A64="","",MAX(0,($X64-$Y64)+$J64+$Z64+$N64-$AA64-$AB64-$O64))</x:f>
      </x:c>
    </x:row>
    <x:row r="65">
      <x:c r="A65" s="13"/>
      <x:c r="B65" s="14"/>
      <x:c r="C65" s="8"/>
      <x:c r="D65" s="13"/>
      <x:c r="E65" s="7"/>
      <x:c r="F65" s="13"/>
      <x:c r="G65" s="7"/>
      <x:c r="H65" s="7"/>
      <x:c r="I65" s="10"/>
      <x:c r="J65" s="9"/>
      <x:c r="K65" s="10"/>
      <x:c r="L65" s="10"/>
      <x:c r="M65" s="10"/>
      <x:c r="N65" s="9"/>
      <x:c r="O65" s="9"/>
      <x:c r="P65" s="7"/>
      <x:c r="Q65" s="9"/>
      <x:c r="R65" s="8"/>
      <x:c r="S65" s="9"/>
      <x:c r="T65" s="8"/>
      <x:c r="U65" s="13"/>
      <x:c r="V65" s="7"/>
      <x:c r="W65" s="7"/>
      <x:c r="X65" s="9" t="str">
        <x:f>IF($A65="","",SUMIF(Purchase_Items!$A$2:$A$501,$A65,Purchase_Items!$P$2:$P$501))</x:f>
      </x:c>
      <x:c r="Y65" s="9" t="str">
        <x:f>IF($A65="","",$X65*$I65/100)</x:f>
      </x:c>
      <x:c r="Z65" s="9" t="str">
        <x:f>IF($A65="","",MAX(0,($X65-$Y65)*$K65/100))</x:f>
      </x:c>
      <x:c r="AA65" s="9" t="str">
        <x:f>IF($A65="","",MAX(0,($X65-$Y65)*$L65/100))</x:f>
      </x:c>
      <x:c r="AB65" s="9" t="str">
        <x:f>IF($A65="","",MAX(0,($X65-$Y65)*$M65/100))</x:f>
      </x:c>
      <x:c r="AC65" s="9" t="str">
        <x:f>IF($A65="","",MAX(0,($X65-$Y65)+$J65+$Z65+$N65-$AA65-$AB65-$O65))</x:f>
      </x:c>
    </x:row>
    <x:row r="66">
      <x:c r="A66" s="13"/>
      <x:c r="B66" s="14"/>
      <x:c r="C66" s="8"/>
      <x:c r="D66" s="13"/>
      <x:c r="E66" s="7"/>
      <x:c r="F66" s="13"/>
      <x:c r="G66" s="7"/>
      <x:c r="H66" s="7"/>
      <x:c r="I66" s="10"/>
      <x:c r="J66" s="9"/>
      <x:c r="K66" s="10"/>
      <x:c r="L66" s="10"/>
      <x:c r="M66" s="10"/>
      <x:c r="N66" s="9"/>
      <x:c r="O66" s="9"/>
      <x:c r="P66" s="7"/>
      <x:c r="Q66" s="9"/>
      <x:c r="R66" s="8"/>
      <x:c r="S66" s="9"/>
      <x:c r="T66" s="8"/>
      <x:c r="U66" s="13"/>
      <x:c r="V66" s="7"/>
      <x:c r="W66" s="7"/>
      <x:c r="X66" s="9" t="str">
        <x:f>IF($A66="","",SUMIF(Purchase_Items!$A$2:$A$501,$A66,Purchase_Items!$P$2:$P$501))</x:f>
      </x:c>
      <x:c r="Y66" s="9" t="str">
        <x:f>IF($A66="","",$X66*$I66/100)</x:f>
      </x:c>
      <x:c r="Z66" s="9" t="str">
        <x:f>IF($A66="","",MAX(0,($X66-$Y66)*$K66/100))</x:f>
      </x:c>
      <x:c r="AA66" s="9" t="str">
        <x:f>IF($A66="","",MAX(0,($X66-$Y66)*$L66/100))</x:f>
      </x:c>
      <x:c r="AB66" s="9" t="str">
        <x:f>IF($A66="","",MAX(0,($X66-$Y66)*$M66/100))</x:f>
      </x:c>
      <x:c r="AC66" s="9" t="str">
        <x:f>IF($A66="","",MAX(0,($X66-$Y66)+$J66+$Z66+$N66-$AA66-$AB66-$O66))</x:f>
      </x:c>
    </x:row>
    <x:row r="67">
      <x:c r="A67" s="13"/>
      <x:c r="B67" s="14"/>
      <x:c r="C67" s="8"/>
      <x:c r="D67" s="13"/>
      <x:c r="E67" s="7"/>
      <x:c r="F67" s="13"/>
      <x:c r="G67" s="7"/>
      <x:c r="H67" s="7"/>
      <x:c r="I67" s="10"/>
      <x:c r="J67" s="9"/>
      <x:c r="K67" s="10"/>
      <x:c r="L67" s="10"/>
      <x:c r="M67" s="10"/>
      <x:c r="N67" s="9"/>
      <x:c r="O67" s="9"/>
      <x:c r="P67" s="7"/>
      <x:c r="Q67" s="9"/>
      <x:c r="R67" s="8"/>
      <x:c r="S67" s="9"/>
      <x:c r="T67" s="8"/>
      <x:c r="U67" s="13"/>
      <x:c r="V67" s="7"/>
      <x:c r="W67" s="7"/>
      <x:c r="X67" s="9" t="str">
        <x:f>IF($A67="","",SUMIF(Purchase_Items!$A$2:$A$501,$A67,Purchase_Items!$P$2:$P$501))</x:f>
      </x:c>
      <x:c r="Y67" s="9" t="str">
        <x:f>IF($A67="","",$X67*$I67/100)</x:f>
      </x:c>
      <x:c r="Z67" s="9" t="str">
        <x:f>IF($A67="","",MAX(0,($X67-$Y67)*$K67/100))</x:f>
      </x:c>
      <x:c r="AA67" s="9" t="str">
        <x:f>IF($A67="","",MAX(0,($X67-$Y67)*$L67/100))</x:f>
      </x:c>
      <x:c r="AB67" s="9" t="str">
        <x:f>IF($A67="","",MAX(0,($X67-$Y67)*$M67/100))</x:f>
      </x:c>
      <x:c r="AC67" s="9" t="str">
        <x:f>IF($A67="","",MAX(0,($X67-$Y67)+$J67+$Z67+$N67-$AA67-$AB67-$O67))</x:f>
      </x:c>
    </x:row>
    <x:row r="68">
      <x:c r="A68" s="13"/>
      <x:c r="B68" s="14"/>
      <x:c r="C68" s="8"/>
      <x:c r="D68" s="13"/>
      <x:c r="E68" s="7"/>
      <x:c r="F68" s="13"/>
      <x:c r="G68" s="7"/>
      <x:c r="H68" s="7"/>
      <x:c r="I68" s="10"/>
      <x:c r="J68" s="9"/>
      <x:c r="K68" s="10"/>
      <x:c r="L68" s="10"/>
      <x:c r="M68" s="10"/>
      <x:c r="N68" s="9"/>
      <x:c r="O68" s="9"/>
      <x:c r="P68" s="7"/>
      <x:c r="Q68" s="9"/>
      <x:c r="R68" s="8"/>
      <x:c r="S68" s="9"/>
      <x:c r="T68" s="8"/>
      <x:c r="U68" s="13"/>
      <x:c r="V68" s="7"/>
      <x:c r="W68" s="7"/>
      <x:c r="X68" s="9" t="str">
        <x:f>IF($A68="","",SUMIF(Purchase_Items!$A$2:$A$501,$A68,Purchase_Items!$P$2:$P$501))</x:f>
      </x:c>
      <x:c r="Y68" s="9" t="str">
        <x:f>IF($A68="","",$X68*$I68/100)</x:f>
      </x:c>
      <x:c r="Z68" s="9" t="str">
        <x:f>IF($A68="","",MAX(0,($X68-$Y68)*$K68/100))</x:f>
      </x:c>
      <x:c r="AA68" s="9" t="str">
        <x:f>IF($A68="","",MAX(0,($X68-$Y68)*$L68/100))</x:f>
      </x:c>
      <x:c r="AB68" s="9" t="str">
        <x:f>IF($A68="","",MAX(0,($X68-$Y68)*$M68/100))</x:f>
      </x:c>
      <x:c r="AC68" s="9" t="str">
        <x:f>IF($A68="","",MAX(0,($X68-$Y68)+$J68+$Z68+$N68-$AA68-$AB68-$O68))</x:f>
      </x:c>
    </x:row>
    <x:row r="69">
      <x:c r="A69" s="13"/>
      <x:c r="B69" s="14"/>
      <x:c r="C69" s="8"/>
      <x:c r="D69" s="13"/>
      <x:c r="E69" s="7"/>
      <x:c r="F69" s="13"/>
      <x:c r="G69" s="7"/>
      <x:c r="H69" s="7"/>
      <x:c r="I69" s="10"/>
      <x:c r="J69" s="9"/>
      <x:c r="K69" s="10"/>
      <x:c r="L69" s="10"/>
      <x:c r="M69" s="10"/>
      <x:c r="N69" s="9"/>
      <x:c r="O69" s="9"/>
      <x:c r="P69" s="7"/>
      <x:c r="Q69" s="9"/>
      <x:c r="R69" s="8"/>
      <x:c r="S69" s="9"/>
      <x:c r="T69" s="8"/>
      <x:c r="U69" s="13"/>
      <x:c r="V69" s="7"/>
      <x:c r="W69" s="7"/>
      <x:c r="X69" s="9" t="str">
        <x:f>IF($A69="","",SUMIF(Purchase_Items!$A$2:$A$501,$A69,Purchase_Items!$P$2:$P$501))</x:f>
      </x:c>
      <x:c r="Y69" s="9" t="str">
        <x:f>IF($A69="","",$X69*$I69/100)</x:f>
      </x:c>
      <x:c r="Z69" s="9" t="str">
        <x:f>IF($A69="","",MAX(0,($X69-$Y69)*$K69/100))</x:f>
      </x:c>
      <x:c r="AA69" s="9" t="str">
        <x:f>IF($A69="","",MAX(0,($X69-$Y69)*$L69/100))</x:f>
      </x:c>
      <x:c r="AB69" s="9" t="str">
        <x:f>IF($A69="","",MAX(0,($X69-$Y69)*$M69/100))</x:f>
      </x:c>
      <x:c r="AC69" s="9" t="str">
        <x:f>IF($A69="","",MAX(0,($X69-$Y69)+$J69+$Z69+$N69-$AA69-$AB69-$O69))</x:f>
      </x:c>
    </x:row>
    <x:row r="70">
      <x:c r="A70" s="13"/>
      <x:c r="B70" s="14"/>
      <x:c r="C70" s="8"/>
      <x:c r="D70" s="13"/>
      <x:c r="E70" s="7"/>
      <x:c r="F70" s="13"/>
      <x:c r="G70" s="7"/>
      <x:c r="H70" s="7"/>
      <x:c r="I70" s="10"/>
      <x:c r="J70" s="9"/>
      <x:c r="K70" s="10"/>
      <x:c r="L70" s="10"/>
      <x:c r="M70" s="10"/>
      <x:c r="N70" s="9"/>
      <x:c r="O70" s="9"/>
      <x:c r="P70" s="7"/>
      <x:c r="Q70" s="9"/>
      <x:c r="R70" s="8"/>
      <x:c r="S70" s="9"/>
      <x:c r="T70" s="8"/>
      <x:c r="U70" s="13"/>
      <x:c r="V70" s="7"/>
      <x:c r="W70" s="7"/>
      <x:c r="X70" s="9" t="str">
        <x:f>IF($A70="","",SUMIF(Purchase_Items!$A$2:$A$501,$A70,Purchase_Items!$P$2:$P$501))</x:f>
      </x:c>
      <x:c r="Y70" s="9" t="str">
        <x:f>IF($A70="","",$X70*$I70/100)</x:f>
      </x:c>
      <x:c r="Z70" s="9" t="str">
        <x:f>IF($A70="","",MAX(0,($X70-$Y70)*$K70/100))</x:f>
      </x:c>
      <x:c r="AA70" s="9" t="str">
        <x:f>IF($A70="","",MAX(0,($X70-$Y70)*$L70/100))</x:f>
      </x:c>
      <x:c r="AB70" s="9" t="str">
        <x:f>IF($A70="","",MAX(0,($X70-$Y70)*$M70/100))</x:f>
      </x:c>
      <x:c r="AC70" s="9" t="str">
        <x:f>IF($A70="","",MAX(0,($X70-$Y70)+$J70+$Z70+$N70-$AA70-$AB70-$O70))</x:f>
      </x:c>
    </x:row>
    <x:row r="71">
      <x:c r="A71" s="13"/>
      <x:c r="B71" s="14"/>
      <x:c r="C71" s="8"/>
      <x:c r="D71" s="13"/>
      <x:c r="E71" s="7"/>
      <x:c r="F71" s="13"/>
      <x:c r="G71" s="7"/>
      <x:c r="H71" s="7"/>
      <x:c r="I71" s="10"/>
      <x:c r="J71" s="9"/>
      <x:c r="K71" s="10"/>
      <x:c r="L71" s="10"/>
      <x:c r="M71" s="10"/>
      <x:c r="N71" s="9"/>
      <x:c r="O71" s="9"/>
      <x:c r="P71" s="7"/>
      <x:c r="Q71" s="9"/>
      <x:c r="R71" s="8"/>
      <x:c r="S71" s="9"/>
      <x:c r="T71" s="8"/>
      <x:c r="U71" s="13"/>
      <x:c r="V71" s="7"/>
      <x:c r="W71" s="7"/>
      <x:c r="X71" s="9" t="str">
        <x:f>IF($A71="","",SUMIF(Purchase_Items!$A$2:$A$501,$A71,Purchase_Items!$P$2:$P$501))</x:f>
      </x:c>
      <x:c r="Y71" s="9" t="str">
        <x:f>IF($A71="","",$X71*$I71/100)</x:f>
      </x:c>
      <x:c r="Z71" s="9" t="str">
        <x:f>IF($A71="","",MAX(0,($X71-$Y71)*$K71/100))</x:f>
      </x:c>
      <x:c r="AA71" s="9" t="str">
        <x:f>IF($A71="","",MAX(0,($X71-$Y71)*$L71/100))</x:f>
      </x:c>
      <x:c r="AB71" s="9" t="str">
        <x:f>IF($A71="","",MAX(0,($X71-$Y71)*$M71/100))</x:f>
      </x:c>
      <x:c r="AC71" s="9" t="str">
        <x:f>IF($A71="","",MAX(0,($X71-$Y71)+$J71+$Z71+$N71-$AA71-$AB71-$O71))</x:f>
      </x:c>
    </x:row>
    <x:row r="72">
      <x:c r="A72" s="13"/>
      <x:c r="B72" s="14"/>
      <x:c r="C72" s="8"/>
      <x:c r="D72" s="13"/>
      <x:c r="E72" s="7"/>
      <x:c r="F72" s="13"/>
      <x:c r="G72" s="7"/>
      <x:c r="H72" s="7"/>
      <x:c r="I72" s="10"/>
      <x:c r="J72" s="9"/>
      <x:c r="K72" s="10"/>
      <x:c r="L72" s="10"/>
      <x:c r="M72" s="10"/>
      <x:c r="N72" s="9"/>
      <x:c r="O72" s="9"/>
      <x:c r="P72" s="7"/>
      <x:c r="Q72" s="9"/>
      <x:c r="R72" s="8"/>
      <x:c r="S72" s="9"/>
      <x:c r="T72" s="8"/>
      <x:c r="U72" s="13"/>
      <x:c r="V72" s="7"/>
      <x:c r="W72" s="7"/>
      <x:c r="X72" s="9" t="str">
        <x:f>IF($A72="","",SUMIF(Purchase_Items!$A$2:$A$501,$A72,Purchase_Items!$P$2:$P$501))</x:f>
      </x:c>
      <x:c r="Y72" s="9" t="str">
        <x:f>IF($A72="","",$X72*$I72/100)</x:f>
      </x:c>
      <x:c r="Z72" s="9" t="str">
        <x:f>IF($A72="","",MAX(0,($X72-$Y72)*$K72/100))</x:f>
      </x:c>
      <x:c r="AA72" s="9" t="str">
        <x:f>IF($A72="","",MAX(0,($X72-$Y72)*$L72/100))</x:f>
      </x:c>
      <x:c r="AB72" s="9" t="str">
        <x:f>IF($A72="","",MAX(0,($X72-$Y72)*$M72/100))</x:f>
      </x:c>
      <x:c r="AC72" s="9" t="str">
        <x:f>IF($A72="","",MAX(0,($X72-$Y72)+$J72+$Z72+$N72-$AA72-$AB72-$O72))</x:f>
      </x:c>
    </x:row>
    <x:row r="73">
      <x:c r="A73" s="13"/>
      <x:c r="B73" s="14"/>
      <x:c r="C73" s="8"/>
      <x:c r="D73" s="13"/>
      <x:c r="E73" s="7"/>
      <x:c r="F73" s="13"/>
      <x:c r="G73" s="7"/>
      <x:c r="H73" s="7"/>
      <x:c r="I73" s="10"/>
      <x:c r="J73" s="9"/>
      <x:c r="K73" s="10"/>
      <x:c r="L73" s="10"/>
      <x:c r="M73" s="10"/>
      <x:c r="N73" s="9"/>
      <x:c r="O73" s="9"/>
      <x:c r="P73" s="7"/>
      <x:c r="Q73" s="9"/>
      <x:c r="R73" s="8"/>
      <x:c r="S73" s="9"/>
      <x:c r="T73" s="8"/>
      <x:c r="U73" s="13"/>
      <x:c r="V73" s="7"/>
      <x:c r="W73" s="7"/>
      <x:c r="X73" s="9" t="str">
        <x:f>IF($A73="","",SUMIF(Purchase_Items!$A$2:$A$501,$A73,Purchase_Items!$P$2:$P$501))</x:f>
      </x:c>
      <x:c r="Y73" s="9" t="str">
        <x:f>IF($A73="","",$X73*$I73/100)</x:f>
      </x:c>
      <x:c r="Z73" s="9" t="str">
        <x:f>IF($A73="","",MAX(0,($X73-$Y73)*$K73/100))</x:f>
      </x:c>
      <x:c r="AA73" s="9" t="str">
        <x:f>IF($A73="","",MAX(0,($X73-$Y73)*$L73/100))</x:f>
      </x:c>
      <x:c r="AB73" s="9" t="str">
        <x:f>IF($A73="","",MAX(0,($X73-$Y73)*$M73/100))</x:f>
      </x:c>
      <x:c r="AC73" s="9" t="str">
        <x:f>IF($A73="","",MAX(0,($X73-$Y73)+$J73+$Z73+$N73-$AA73-$AB73-$O73))</x:f>
      </x:c>
    </x:row>
    <x:row r="74">
      <x:c r="A74" s="13"/>
      <x:c r="B74" s="14"/>
      <x:c r="C74" s="8"/>
      <x:c r="D74" s="13"/>
      <x:c r="E74" s="7"/>
      <x:c r="F74" s="13"/>
      <x:c r="G74" s="7"/>
      <x:c r="H74" s="7"/>
      <x:c r="I74" s="10"/>
      <x:c r="J74" s="9"/>
      <x:c r="K74" s="10"/>
      <x:c r="L74" s="10"/>
      <x:c r="M74" s="10"/>
      <x:c r="N74" s="9"/>
      <x:c r="O74" s="9"/>
      <x:c r="P74" s="7"/>
      <x:c r="Q74" s="9"/>
      <x:c r="R74" s="8"/>
      <x:c r="S74" s="9"/>
      <x:c r="T74" s="8"/>
      <x:c r="U74" s="13"/>
      <x:c r="V74" s="7"/>
      <x:c r="W74" s="7"/>
      <x:c r="X74" s="9" t="str">
        <x:f>IF($A74="","",SUMIF(Purchase_Items!$A$2:$A$501,$A74,Purchase_Items!$P$2:$P$501))</x:f>
      </x:c>
      <x:c r="Y74" s="9" t="str">
        <x:f>IF($A74="","",$X74*$I74/100)</x:f>
      </x:c>
      <x:c r="Z74" s="9" t="str">
        <x:f>IF($A74="","",MAX(0,($X74-$Y74)*$K74/100))</x:f>
      </x:c>
      <x:c r="AA74" s="9" t="str">
        <x:f>IF($A74="","",MAX(0,($X74-$Y74)*$L74/100))</x:f>
      </x:c>
      <x:c r="AB74" s="9" t="str">
        <x:f>IF($A74="","",MAX(0,($X74-$Y74)*$M74/100))</x:f>
      </x:c>
      <x:c r="AC74" s="9" t="str">
        <x:f>IF($A74="","",MAX(0,($X74-$Y74)+$J74+$Z74+$N74-$AA74-$AB74-$O74))</x:f>
      </x:c>
    </x:row>
    <x:row r="75">
      <x:c r="A75" s="13"/>
      <x:c r="B75" s="14"/>
      <x:c r="C75" s="8"/>
      <x:c r="D75" s="13"/>
      <x:c r="E75" s="7"/>
      <x:c r="F75" s="13"/>
      <x:c r="G75" s="7"/>
      <x:c r="H75" s="7"/>
      <x:c r="I75" s="10"/>
      <x:c r="J75" s="9"/>
      <x:c r="K75" s="10"/>
      <x:c r="L75" s="10"/>
      <x:c r="M75" s="10"/>
      <x:c r="N75" s="9"/>
      <x:c r="O75" s="9"/>
      <x:c r="P75" s="7"/>
      <x:c r="Q75" s="9"/>
      <x:c r="R75" s="8"/>
      <x:c r="S75" s="9"/>
      <x:c r="T75" s="8"/>
      <x:c r="U75" s="13"/>
      <x:c r="V75" s="7"/>
      <x:c r="W75" s="7"/>
      <x:c r="X75" s="9" t="str">
        <x:f>IF($A75="","",SUMIF(Purchase_Items!$A$2:$A$501,$A75,Purchase_Items!$P$2:$P$501))</x:f>
      </x:c>
      <x:c r="Y75" s="9" t="str">
        <x:f>IF($A75="","",$X75*$I75/100)</x:f>
      </x:c>
      <x:c r="Z75" s="9" t="str">
        <x:f>IF($A75="","",MAX(0,($X75-$Y75)*$K75/100))</x:f>
      </x:c>
      <x:c r="AA75" s="9" t="str">
        <x:f>IF($A75="","",MAX(0,($X75-$Y75)*$L75/100))</x:f>
      </x:c>
      <x:c r="AB75" s="9" t="str">
        <x:f>IF($A75="","",MAX(0,($X75-$Y75)*$M75/100))</x:f>
      </x:c>
      <x:c r="AC75" s="9" t="str">
        <x:f>IF($A75="","",MAX(0,($X75-$Y75)+$J75+$Z75+$N75-$AA75-$AB75-$O75))</x:f>
      </x:c>
    </x:row>
    <x:row r="76">
      <x:c r="A76" s="13"/>
      <x:c r="B76" s="14"/>
      <x:c r="C76" s="8"/>
      <x:c r="D76" s="13"/>
      <x:c r="E76" s="7"/>
      <x:c r="F76" s="13"/>
      <x:c r="G76" s="7"/>
      <x:c r="H76" s="7"/>
      <x:c r="I76" s="10"/>
      <x:c r="J76" s="9"/>
      <x:c r="K76" s="10"/>
      <x:c r="L76" s="10"/>
      <x:c r="M76" s="10"/>
      <x:c r="N76" s="9"/>
      <x:c r="O76" s="9"/>
      <x:c r="P76" s="7"/>
      <x:c r="Q76" s="9"/>
      <x:c r="R76" s="8"/>
      <x:c r="S76" s="9"/>
      <x:c r="T76" s="8"/>
      <x:c r="U76" s="13"/>
      <x:c r="V76" s="7"/>
      <x:c r="W76" s="7"/>
      <x:c r="X76" s="9" t="str">
        <x:f>IF($A76="","",SUMIF(Purchase_Items!$A$2:$A$501,$A76,Purchase_Items!$P$2:$P$501))</x:f>
      </x:c>
      <x:c r="Y76" s="9" t="str">
        <x:f>IF($A76="","",$X76*$I76/100)</x:f>
      </x:c>
      <x:c r="Z76" s="9" t="str">
        <x:f>IF($A76="","",MAX(0,($X76-$Y76)*$K76/100))</x:f>
      </x:c>
      <x:c r="AA76" s="9" t="str">
        <x:f>IF($A76="","",MAX(0,($X76-$Y76)*$L76/100))</x:f>
      </x:c>
      <x:c r="AB76" s="9" t="str">
        <x:f>IF($A76="","",MAX(0,($X76-$Y76)*$M76/100))</x:f>
      </x:c>
      <x:c r="AC76" s="9" t="str">
        <x:f>IF($A76="","",MAX(0,($X76-$Y76)+$J76+$Z76+$N76-$AA76-$AB76-$O76))</x:f>
      </x:c>
    </x:row>
    <x:row r="77">
      <x:c r="A77" s="13"/>
      <x:c r="B77" s="14"/>
      <x:c r="C77" s="8"/>
      <x:c r="D77" s="13"/>
      <x:c r="E77" s="7"/>
      <x:c r="F77" s="13"/>
      <x:c r="G77" s="7"/>
      <x:c r="H77" s="7"/>
      <x:c r="I77" s="10"/>
      <x:c r="J77" s="9"/>
      <x:c r="K77" s="10"/>
      <x:c r="L77" s="10"/>
      <x:c r="M77" s="10"/>
      <x:c r="N77" s="9"/>
      <x:c r="O77" s="9"/>
      <x:c r="P77" s="7"/>
      <x:c r="Q77" s="9"/>
      <x:c r="R77" s="8"/>
      <x:c r="S77" s="9"/>
      <x:c r="T77" s="8"/>
      <x:c r="U77" s="13"/>
      <x:c r="V77" s="7"/>
      <x:c r="W77" s="7"/>
      <x:c r="X77" s="9" t="str">
        <x:f>IF($A77="","",SUMIF(Purchase_Items!$A$2:$A$501,$A77,Purchase_Items!$P$2:$P$501))</x:f>
      </x:c>
      <x:c r="Y77" s="9" t="str">
        <x:f>IF($A77="","",$X77*$I77/100)</x:f>
      </x:c>
      <x:c r="Z77" s="9" t="str">
        <x:f>IF($A77="","",MAX(0,($X77-$Y77)*$K77/100))</x:f>
      </x:c>
      <x:c r="AA77" s="9" t="str">
        <x:f>IF($A77="","",MAX(0,($X77-$Y77)*$L77/100))</x:f>
      </x:c>
      <x:c r="AB77" s="9" t="str">
        <x:f>IF($A77="","",MAX(0,($X77-$Y77)*$M77/100))</x:f>
      </x:c>
      <x:c r="AC77" s="9" t="str">
        <x:f>IF($A77="","",MAX(0,($X77-$Y77)+$J77+$Z77+$N77-$AA77-$AB77-$O77))</x:f>
      </x:c>
    </x:row>
    <x:row r="78">
      <x:c r="A78" s="13"/>
      <x:c r="B78" s="14"/>
      <x:c r="C78" s="8"/>
      <x:c r="D78" s="13"/>
      <x:c r="E78" s="7"/>
      <x:c r="F78" s="13"/>
      <x:c r="G78" s="7"/>
      <x:c r="H78" s="7"/>
      <x:c r="I78" s="10"/>
      <x:c r="J78" s="9"/>
      <x:c r="K78" s="10"/>
      <x:c r="L78" s="10"/>
      <x:c r="M78" s="10"/>
      <x:c r="N78" s="9"/>
      <x:c r="O78" s="9"/>
      <x:c r="P78" s="7"/>
      <x:c r="Q78" s="9"/>
      <x:c r="R78" s="8"/>
      <x:c r="S78" s="9"/>
      <x:c r="T78" s="8"/>
      <x:c r="U78" s="13"/>
      <x:c r="V78" s="7"/>
      <x:c r="W78" s="7"/>
      <x:c r="X78" s="9" t="str">
        <x:f>IF($A78="","",SUMIF(Purchase_Items!$A$2:$A$501,$A78,Purchase_Items!$P$2:$P$501))</x:f>
      </x:c>
      <x:c r="Y78" s="9" t="str">
        <x:f>IF($A78="","",$X78*$I78/100)</x:f>
      </x:c>
      <x:c r="Z78" s="9" t="str">
        <x:f>IF($A78="","",MAX(0,($X78-$Y78)*$K78/100))</x:f>
      </x:c>
      <x:c r="AA78" s="9" t="str">
        <x:f>IF($A78="","",MAX(0,($X78-$Y78)*$L78/100))</x:f>
      </x:c>
      <x:c r="AB78" s="9" t="str">
        <x:f>IF($A78="","",MAX(0,($X78-$Y78)*$M78/100))</x:f>
      </x:c>
      <x:c r="AC78" s="9" t="str">
        <x:f>IF($A78="","",MAX(0,($X78-$Y78)+$J78+$Z78+$N78-$AA78-$AB78-$O78))</x:f>
      </x:c>
    </x:row>
    <x:row r="79">
      <x:c r="A79" s="13"/>
      <x:c r="B79" s="14"/>
      <x:c r="C79" s="8"/>
      <x:c r="D79" s="13"/>
      <x:c r="E79" s="7"/>
      <x:c r="F79" s="13"/>
      <x:c r="G79" s="7"/>
      <x:c r="H79" s="7"/>
      <x:c r="I79" s="10"/>
      <x:c r="J79" s="9"/>
      <x:c r="K79" s="10"/>
      <x:c r="L79" s="10"/>
      <x:c r="M79" s="10"/>
      <x:c r="N79" s="9"/>
      <x:c r="O79" s="9"/>
      <x:c r="P79" s="7"/>
      <x:c r="Q79" s="9"/>
      <x:c r="R79" s="8"/>
      <x:c r="S79" s="9"/>
      <x:c r="T79" s="8"/>
      <x:c r="U79" s="13"/>
      <x:c r="V79" s="7"/>
      <x:c r="W79" s="7"/>
      <x:c r="X79" s="9" t="str">
        <x:f>IF($A79="","",SUMIF(Purchase_Items!$A$2:$A$501,$A79,Purchase_Items!$P$2:$P$501))</x:f>
      </x:c>
      <x:c r="Y79" s="9" t="str">
        <x:f>IF($A79="","",$X79*$I79/100)</x:f>
      </x:c>
      <x:c r="Z79" s="9" t="str">
        <x:f>IF($A79="","",MAX(0,($X79-$Y79)*$K79/100))</x:f>
      </x:c>
      <x:c r="AA79" s="9" t="str">
        <x:f>IF($A79="","",MAX(0,($X79-$Y79)*$L79/100))</x:f>
      </x:c>
      <x:c r="AB79" s="9" t="str">
        <x:f>IF($A79="","",MAX(0,($X79-$Y79)*$M79/100))</x:f>
      </x:c>
      <x:c r="AC79" s="9" t="str">
        <x:f>IF($A79="","",MAX(0,($X79-$Y79)+$J79+$Z79+$N79-$AA79-$AB79-$O79))</x:f>
      </x:c>
    </x:row>
    <x:row r="80">
      <x:c r="A80" s="13"/>
      <x:c r="B80" s="14"/>
      <x:c r="C80" s="8"/>
      <x:c r="D80" s="13"/>
      <x:c r="E80" s="7"/>
      <x:c r="F80" s="13"/>
      <x:c r="G80" s="7"/>
      <x:c r="H80" s="7"/>
      <x:c r="I80" s="10"/>
      <x:c r="J80" s="9"/>
      <x:c r="K80" s="10"/>
      <x:c r="L80" s="10"/>
      <x:c r="M80" s="10"/>
      <x:c r="N80" s="9"/>
      <x:c r="O80" s="9"/>
      <x:c r="P80" s="7"/>
      <x:c r="Q80" s="9"/>
      <x:c r="R80" s="8"/>
      <x:c r="S80" s="9"/>
      <x:c r="T80" s="8"/>
      <x:c r="U80" s="13"/>
      <x:c r="V80" s="7"/>
      <x:c r="W80" s="7"/>
      <x:c r="X80" s="9" t="str">
        <x:f>IF($A80="","",SUMIF(Purchase_Items!$A$2:$A$501,$A80,Purchase_Items!$P$2:$P$501))</x:f>
      </x:c>
      <x:c r="Y80" s="9" t="str">
        <x:f>IF($A80="","",$X80*$I80/100)</x:f>
      </x:c>
      <x:c r="Z80" s="9" t="str">
        <x:f>IF($A80="","",MAX(0,($X80-$Y80)*$K80/100))</x:f>
      </x:c>
      <x:c r="AA80" s="9" t="str">
        <x:f>IF($A80="","",MAX(0,($X80-$Y80)*$L80/100))</x:f>
      </x:c>
      <x:c r="AB80" s="9" t="str">
        <x:f>IF($A80="","",MAX(0,($X80-$Y80)*$M80/100))</x:f>
      </x:c>
      <x:c r="AC80" s="9" t="str">
        <x:f>IF($A80="","",MAX(0,($X80-$Y80)+$J80+$Z80+$N80-$AA80-$AB80-$O80))</x:f>
      </x:c>
    </x:row>
    <x:row r="81">
      <x:c r="A81" s="13"/>
      <x:c r="B81" s="14"/>
      <x:c r="C81" s="8"/>
      <x:c r="D81" s="13"/>
      <x:c r="E81" s="7"/>
      <x:c r="F81" s="13"/>
      <x:c r="G81" s="7"/>
      <x:c r="H81" s="7"/>
      <x:c r="I81" s="10"/>
      <x:c r="J81" s="9"/>
      <x:c r="K81" s="10"/>
      <x:c r="L81" s="10"/>
      <x:c r="M81" s="10"/>
      <x:c r="N81" s="9"/>
      <x:c r="O81" s="9"/>
      <x:c r="P81" s="7"/>
      <x:c r="Q81" s="9"/>
      <x:c r="R81" s="8"/>
      <x:c r="S81" s="9"/>
      <x:c r="T81" s="8"/>
      <x:c r="U81" s="13"/>
      <x:c r="V81" s="7"/>
      <x:c r="W81" s="7"/>
      <x:c r="X81" s="9" t="str">
        <x:f>IF($A81="","",SUMIF(Purchase_Items!$A$2:$A$501,$A81,Purchase_Items!$P$2:$P$501))</x:f>
      </x:c>
      <x:c r="Y81" s="9" t="str">
        <x:f>IF($A81="","",$X81*$I81/100)</x:f>
      </x:c>
      <x:c r="Z81" s="9" t="str">
        <x:f>IF($A81="","",MAX(0,($X81-$Y81)*$K81/100))</x:f>
      </x:c>
      <x:c r="AA81" s="9" t="str">
        <x:f>IF($A81="","",MAX(0,($X81-$Y81)*$L81/100))</x:f>
      </x:c>
      <x:c r="AB81" s="9" t="str">
        <x:f>IF($A81="","",MAX(0,($X81-$Y81)*$M81/100))</x:f>
      </x:c>
      <x:c r="AC81" s="9" t="str">
        <x:f>IF($A81="","",MAX(0,($X81-$Y81)+$J81+$Z81+$N81-$AA81-$AB81-$O81))</x:f>
      </x:c>
    </x:row>
    <x:row r="82">
      <x:c r="A82" s="13"/>
      <x:c r="B82" s="14"/>
      <x:c r="C82" s="8"/>
      <x:c r="D82" s="13"/>
      <x:c r="E82" s="7"/>
      <x:c r="F82" s="13"/>
      <x:c r="G82" s="7"/>
      <x:c r="H82" s="7"/>
      <x:c r="I82" s="10"/>
      <x:c r="J82" s="9"/>
      <x:c r="K82" s="10"/>
      <x:c r="L82" s="10"/>
      <x:c r="M82" s="10"/>
      <x:c r="N82" s="9"/>
      <x:c r="O82" s="9"/>
      <x:c r="P82" s="7"/>
      <x:c r="Q82" s="9"/>
      <x:c r="R82" s="8"/>
      <x:c r="S82" s="9"/>
      <x:c r="T82" s="8"/>
      <x:c r="U82" s="13"/>
      <x:c r="V82" s="7"/>
      <x:c r="W82" s="7"/>
      <x:c r="X82" s="9" t="str">
        <x:f>IF($A82="","",SUMIF(Purchase_Items!$A$2:$A$501,$A82,Purchase_Items!$P$2:$P$501))</x:f>
      </x:c>
      <x:c r="Y82" s="9" t="str">
        <x:f>IF($A82="","",$X82*$I82/100)</x:f>
      </x:c>
      <x:c r="Z82" s="9" t="str">
        <x:f>IF($A82="","",MAX(0,($X82-$Y82)*$K82/100))</x:f>
      </x:c>
      <x:c r="AA82" s="9" t="str">
        <x:f>IF($A82="","",MAX(0,($X82-$Y82)*$L82/100))</x:f>
      </x:c>
      <x:c r="AB82" s="9" t="str">
        <x:f>IF($A82="","",MAX(0,($X82-$Y82)*$M82/100))</x:f>
      </x:c>
      <x:c r="AC82" s="9" t="str">
        <x:f>IF($A82="","",MAX(0,($X82-$Y82)+$J82+$Z82+$N82-$AA82-$AB82-$O82))</x:f>
      </x:c>
    </x:row>
    <x:row r="83">
      <x:c r="A83" s="13"/>
      <x:c r="B83" s="14"/>
      <x:c r="C83" s="8"/>
      <x:c r="D83" s="13"/>
      <x:c r="E83" s="7"/>
      <x:c r="F83" s="13"/>
      <x:c r="G83" s="7"/>
      <x:c r="H83" s="7"/>
      <x:c r="I83" s="10"/>
      <x:c r="J83" s="9"/>
      <x:c r="K83" s="10"/>
      <x:c r="L83" s="10"/>
      <x:c r="M83" s="10"/>
      <x:c r="N83" s="9"/>
      <x:c r="O83" s="9"/>
      <x:c r="P83" s="7"/>
      <x:c r="Q83" s="9"/>
      <x:c r="R83" s="8"/>
      <x:c r="S83" s="9"/>
      <x:c r="T83" s="8"/>
      <x:c r="U83" s="13"/>
      <x:c r="V83" s="7"/>
      <x:c r="W83" s="7"/>
      <x:c r="X83" s="9" t="str">
        <x:f>IF($A83="","",SUMIF(Purchase_Items!$A$2:$A$501,$A83,Purchase_Items!$P$2:$P$501))</x:f>
      </x:c>
      <x:c r="Y83" s="9" t="str">
        <x:f>IF($A83="","",$X83*$I83/100)</x:f>
      </x:c>
      <x:c r="Z83" s="9" t="str">
        <x:f>IF($A83="","",MAX(0,($X83-$Y83)*$K83/100))</x:f>
      </x:c>
      <x:c r="AA83" s="9" t="str">
        <x:f>IF($A83="","",MAX(0,($X83-$Y83)*$L83/100))</x:f>
      </x:c>
      <x:c r="AB83" s="9" t="str">
        <x:f>IF($A83="","",MAX(0,($X83-$Y83)*$M83/100))</x:f>
      </x:c>
      <x:c r="AC83" s="9" t="str">
        <x:f>IF($A83="","",MAX(0,($X83-$Y83)+$J83+$Z83+$N83-$AA83-$AB83-$O83))</x:f>
      </x:c>
    </x:row>
    <x:row r="84">
      <x:c r="A84" s="13"/>
      <x:c r="B84" s="14"/>
      <x:c r="C84" s="8"/>
      <x:c r="D84" s="13"/>
      <x:c r="E84" s="7"/>
      <x:c r="F84" s="13"/>
      <x:c r="G84" s="7"/>
      <x:c r="H84" s="7"/>
      <x:c r="I84" s="10"/>
      <x:c r="J84" s="9"/>
      <x:c r="K84" s="10"/>
      <x:c r="L84" s="10"/>
      <x:c r="M84" s="10"/>
      <x:c r="N84" s="9"/>
      <x:c r="O84" s="9"/>
      <x:c r="P84" s="7"/>
      <x:c r="Q84" s="9"/>
      <x:c r="R84" s="8"/>
      <x:c r="S84" s="9"/>
      <x:c r="T84" s="8"/>
      <x:c r="U84" s="13"/>
      <x:c r="V84" s="7"/>
      <x:c r="W84" s="7"/>
      <x:c r="X84" s="9" t="str">
        <x:f>IF($A84="","",SUMIF(Purchase_Items!$A$2:$A$501,$A84,Purchase_Items!$P$2:$P$501))</x:f>
      </x:c>
      <x:c r="Y84" s="9" t="str">
        <x:f>IF($A84="","",$X84*$I84/100)</x:f>
      </x:c>
      <x:c r="Z84" s="9" t="str">
        <x:f>IF($A84="","",MAX(0,($X84-$Y84)*$K84/100))</x:f>
      </x:c>
      <x:c r="AA84" s="9" t="str">
        <x:f>IF($A84="","",MAX(0,($X84-$Y84)*$L84/100))</x:f>
      </x:c>
      <x:c r="AB84" s="9" t="str">
        <x:f>IF($A84="","",MAX(0,($X84-$Y84)*$M84/100))</x:f>
      </x:c>
      <x:c r="AC84" s="9" t="str">
        <x:f>IF($A84="","",MAX(0,($X84-$Y84)+$J84+$Z84+$N84-$AA84-$AB84-$O84))</x:f>
      </x:c>
    </x:row>
    <x:row r="85">
      <x:c r="A85" s="13"/>
      <x:c r="B85" s="14"/>
      <x:c r="C85" s="8"/>
      <x:c r="D85" s="13"/>
      <x:c r="E85" s="7"/>
      <x:c r="F85" s="13"/>
      <x:c r="G85" s="7"/>
      <x:c r="H85" s="7"/>
      <x:c r="I85" s="10"/>
      <x:c r="J85" s="9"/>
      <x:c r="K85" s="10"/>
      <x:c r="L85" s="10"/>
      <x:c r="M85" s="10"/>
      <x:c r="N85" s="9"/>
      <x:c r="O85" s="9"/>
      <x:c r="P85" s="7"/>
      <x:c r="Q85" s="9"/>
      <x:c r="R85" s="8"/>
      <x:c r="S85" s="9"/>
      <x:c r="T85" s="8"/>
      <x:c r="U85" s="13"/>
      <x:c r="V85" s="7"/>
      <x:c r="W85" s="7"/>
      <x:c r="X85" s="9" t="str">
        <x:f>IF($A85="","",SUMIF(Purchase_Items!$A$2:$A$501,$A85,Purchase_Items!$P$2:$P$501))</x:f>
      </x:c>
      <x:c r="Y85" s="9" t="str">
        <x:f>IF($A85="","",$X85*$I85/100)</x:f>
      </x:c>
      <x:c r="Z85" s="9" t="str">
        <x:f>IF($A85="","",MAX(0,($X85-$Y85)*$K85/100))</x:f>
      </x:c>
      <x:c r="AA85" s="9" t="str">
        <x:f>IF($A85="","",MAX(0,($X85-$Y85)*$L85/100))</x:f>
      </x:c>
      <x:c r="AB85" s="9" t="str">
        <x:f>IF($A85="","",MAX(0,($X85-$Y85)*$M85/100))</x:f>
      </x:c>
      <x:c r="AC85" s="9" t="str">
        <x:f>IF($A85="","",MAX(0,($X85-$Y85)+$J85+$Z85+$N85-$AA85-$AB85-$O85))</x:f>
      </x:c>
    </x:row>
    <x:row r="86">
      <x:c r="A86" s="13"/>
      <x:c r="B86" s="14"/>
      <x:c r="C86" s="8"/>
      <x:c r="D86" s="13"/>
      <x:c r="E86" s="7"/>
      <x:c r="F86" s="13"/>
      <x:c r="G86" s="7"/>
      <x:c r="H86" s="7"/>
      <x:c r="I86" s="10"/>
      <x:c r="J86" s="9"/>
      <x:c r="K86" s="10"/>
      <x:c r="L86" s="10"/>
      <x:c r="M86" s="10"/>
      <x:c r="N86" s="9"/>
      <x:c r="O86" s="9"/>
      <x:c r="P86" s="7"/>
      <x:c r="Q86" s="9"/>
      <x:c r="R86" s="8"/>
      <x:c r="S86" s="9"/>
      <x:c r="T86" s="8"/>
      <x:c r="U86" s="13"/>
      <x:c r="V86" s="7"/>
      <x:c r="W86" s="7"/>
      <x:c r="X86" s="9" t="str">
        <x:f>IF($A86="","",SUMIF(Purchase_Items!$A$2:$A$501,$A86,Purchase_Items!$P$2:$P$501))</x:f>
      </x:c>
      <x:c r="Y86" s="9" t="str">
        <x:f>IF($A86="","",$X86*$I86/100)</x:f>
      </x:c>
      <x:c r="Z86" s="9" t="str">
        <x:f>IF($A86="","",MAX(0,($X86-$Y86)*$K86/100))</x:f>
      </x:c>
      <x:c r="AA86" s="9" t="str">
        <x:f>IF($A86="","",MAX(0,($X86-$Y86)*$L86/100))</x:f>
      </x:c>
      <x:c r="AB86" s="9" t="str">
        <x:f>IF($A86="","",MAX(0,($X86-$Y86)*$M86/100))</x:f>
      </x:c>
      <x:c r="AC86" s="9" t="str">
        <x:f>IF($A86="","",MAX(0,($X86-$Y86)+$J86+$Z86+$N86-$AA86-$AB86-$O86))</x:f>
      </x:c>
    </x:row>
    <x:row r="87">
      <x:c r="A87" s="13"/>
      <x:c r="B87" s="14"/>
      <x:c r="C87" s="8"/>
      <x:c r="D87" s="13"/>
      <x:c r="E87" s="7"/>
      <x:c r="F87" s="13"/>
      <x:c r="G87" s="7"/>
      <x:c r="H87" s="7"/>
      <x:c r="I87" s="10"/>
      <x:c r="J87" s="9"/>
      <x:c r="K87" s="10"/>
      <x:c r="L87" s="10"/>
      <x:c r="M87" s="10"/>
      <x:c r="N87" s="9"/>
      <x:c r="O87" s="9"/>
      <x:c r="P87" s="7"/>
      <x:c r="Q87" s="9"/>
      <x:c r="R87" s="8"/>
      <x:c r="S87" s="9"/>
      <x:c r="T87" s="8"/>
      <x:c r="U87" s="13"/>
      <x:c r="V87" s="7"/>
      <x:c r="W87" s="7"/>
      <x:c r="X87" s="9" t="str">
        <x:f>IF($A87="","",SUMIF(Purchase_Items!$A$2:$A$501,$A87,Purchase_Items!$P$2:$P$501))</x:f>
      </x:c>
      <x:c r="Y87" s="9" t="str">
        <x:f>IF($A87="","",$X87*$I87/100)</x:f>
      </x:c>
      <x:c r="Z87" s="9" t="str">
        <x:f>IF($A87="","",MAX(0,($X87-$Y87)*$K87/100))</x:f>
      </x:c>
      <x:c r="AA87" s="9" t="str">
        <x:f>IF($A87="","",MAX(0,($X87-$Y87)*$L87/100))</x:f>
      </x:c>
      <x:c r="AB87" s="9" t="str">
        <x:f>IF($A87="","",MAX(0,($X87-$Y87)*$M87/100))</x:f>
      </x:c>
      <x:c r="AC87" s="9" t="str">
        <x:f>IF($A87="","",MAX(0,($X87-$Y87)+$J87+$Z87+$N87-$AA87-$AB87-$O87))</x:f>
      </x:c>
    </x:row>
    <x:row r="88">
      <x:c r="A88" s="13"/>
      <x:c r="B88" s="14"/>
      <x:c r="C88" s="8"/>
      <x:c r="D88" s="13"/>
      <x:c r="E88" s="7"/>
      <x:c r="F88" s="13"/>
      <x:c r="G88" s="7"/>
      <x:c r="H88" s="7"/>
      <x:c r="I88" s="10"/>
      <x:c r="J88" s="9"/>
      <x:c r="K88" s="10"/>
      <x:c r="L88" s="10"/>
      <x:c r="M88" s="10"/>
      <x:c r="N88" s="9"/>
      <x:c r="O88" s="9"/>
      <x:c r="P88" s="7"/>
      <x:c r="Q88" s="9"/>
      <x:c r="R88" s="8"/>
      <x:c r="S88" s="9"/>
      <x:c r="T88" s="8"/>
      <x:c r="U88" s="13"/>
      <x:c r="V88" s="7"/>
      <x:c r="W88" s="7"/>
      <x:c r="X88" s="9" t="str">
        <x:f>IF($A88="","",SUMIF(Purchase_Items!$A$2:$A$501,$A88,Purchase_Items!$P$2:$P$501))</x:f>
      </x:c>
      <x:c r="Y88" s="9" t="str">
        <x:f>IF($A88="","",$X88*$I88/100)</x:f>
      </x:c>
      <x:c r="Z88" s="9" t="str">
        <x:f>IF($A88="","",MAX(0,($X88-$Y88)*$K88/100))</x:f>
      </x:c>
      <x:c r="AA88" s="9" t="str">
        <x:f>IF($A88="","",MAX(0,($X88-$Y88)*$L88/100))</x:f>
      </x:c>
      <x:c r="AB88" s="9" t="str">
        <x:f>IF($A88="","",MAX(0,($X88-$Y88)*$M88/100))</x:f>
      </x:c>
      <x:c r="AC88" s="9" t="str">
        <x:f>IF($A88="","",MAX(0,($X88-$Y88)+$J88+$Z88+$N88-$AA88-$AB88-$O88))</x:f>
      </x:c>
    </x:row>
    <x:row r="89">
      <x:c r="A89" s="13"/>
      <x:c r="B89" s="14"/>
      <x:c r="C89" s="8"/>
      <x:c r="D89" s="13"/>
      <x:c r="E89" s="7"/>
      <x:c r="F89" s="13"/>
      <x:c r="G89" s="7"/>
      <x:c r="H89" s="7"/>
      <x:c r="I89" s="10"/>
      <x:c r="J89" s="9"/>
      <x:c r="K89" s="10"/>
      <x:c r="L89" s="10"/>
      <x:c r="M89" s="10"/>
      <x:c r="N89" s="9"/>
      <x:c r="O89" s="9"/>
      <x:c r="P89" s="7"/>
      <x:c r="Q89" s="9"/>
      <x:c r="R89" s="8"/>
      <x:c r="S89" s="9"/>
      <x:c r="T89" s="8"/>
      <x:c r="U89" s="13"/>
      <x:c r="V89" s="7"/>
      <x:c r="W89" s="7"/>
      <x:c r="X89" s="9" t="str">
        <x:f>IF($A89="","",SUMIF(Purchase_Items!$A$2:$A$501,$A89,Purchase_Items!$P$2:$P$501))</x:f>
      </x:c>
      <x:c r="Y89" s="9" t="str">
        <x:f>IF($A89="","",$X89*$I89/100)</x:f>
      </x:c>
      <x:c r="Z89" s="9" t="str">
        <x:f>IF($A89="","",MAX(0,($X89-$Y89)*$K89/100))</x:f>
      </x:c>
      <x:c r="AA89" s="9" t="str">
        <x:f>IF($A89="","",MAX(0,($X89-$Y89)*$L89/100))</x:f>
      </x:c>
      <x:c r="AB89" s="9" t="str">
        <x:f>IF($A89="","",MAX(0,($X89-$Y89)*$M89/100))</x:f>
      </x:c>
      <x:c r="AC89" s="9" t="str">
        <x:f>IF($A89="","",MAX(0,($X89-$Y89)+$J89+$Z89+$N89-$AA89-$AB89-$O89))</x:f>
      </x:c>
    </x:row>
    <x:row r="90">
      <x:c r="A90" s="13"/>
      <x:c r="B90" s="14"/>
      <x:c r="C90" s="8"/>
      <x:c r="D90" s="13"/>
      <x:c r="E90" s="7"/>
      <x:c r="F90" s="13"/>
      <x:c r="G90" s="7"/>
      <x:c r="H90" s="7"/>
      <x:c r="I90" s="10"/>
      <x:c r="J90" s="9"/>
      <x:c r="K90" s="10"/>
      <x:c r="L90" s="10"/>
      <x:c r="M90" s="10"/>
      <x:c r="N90" s="9"/>
      <x:c r="O90" s="9"/>
      <x:c r="P90" s="7"/>
      <x:c r="Q90" s="9"/>
      <x:c r="R90" s="8"/>
      <x:c r="S90" s="9"/>
      <x:c r="T90" s="8"/>
      <x:c r="U90" s="13"/>
      <x:c r="V90" s="7"/>
      <x:c r="W90" s="7"/>
      <x:c r="X90" s="9" t="str">
        <x:f>IF($A90="","",SUMIF(Purchase_Items!$A$2:$A$501,$A90,Purchase_Items!$P$2:$P$501))</x:f>
      </x:c>
      <x:c r="Y90" s="9" t="str">
        <x:f>IF($A90="","",$X90*$I90/100)</x:f>
      </x:c>
      <x:c r="Z90" s="9" t="str">
        <x:f>IF($A90="","",MAX(0,($X90-$Y90)*$K90/100))</x:f>
      </x:c>
      <x:c r="AA90" s="9" t="str">
        <x:f>IF($A90="","",MAX(0,($X90-$Y90)*$L90/100))</x:f>
      </x:c>
      <x:c r="AB90" s="9" t="str">
        <x:f>IF($A90="","",MAX(0,($X90-$Y90)*$M90/100))</x:f>
      </x:c>
      <x:c r="AC90" s="9" t="str">
        <x:f>IF($A90="","",MAX(0,($X90-$Y90)+$J90+$Z90+$N90-$AA90-$AB90-$O90))</x:f>
      </x:c>
    </x:row>
    <x:row r="91">
      <x:c r="A91" s="13"/>
      <x:c r="B91" s="14"/>
      <x:c r="C91" s="8"/>
      <x:c r="D91" s="13"/>
      <x:c r="E91" s="7"/>
      <x:c r="F91" s="13"/>
      <x:c r="G91" s="7"/>
      <x:c r="H91" s="7"/>
      <x:c r="I91" s="10"/>
      <x:c r="J91" s="9"/>
      <x:c r="K91" s="10"/>
      <x:c r="L91" s="10"/>
      <x:c r="M91" s="10"/>
      <x:c r="N91" s="9"/>
      <x:c r="O91" s="9"/>
      <x:c r="P91" s="7"/>
      <x:c r="Q91" s="9"/>
      <x:c r="R91" s="8"/>
      <x:c r="S91" s="9"/>
      <x:c r="T91" s="8"/>
      <x:c r="U91" s="13"/>
      <x:c r="V91" s="7"/>
      <x:c r="W91" s="7"/>
      <x:c r="X91" s="9" t="str">
        <x:f>IF($A91="","",SUMIF(Purchase_Items!$A$2:$A$501,$A91,Purchase_Items!$P$2:$P$501))</x:f>
      </x:c>
      <x:c r="Y91" s="9" t="str">
        <x:f>IF($A91="","",$X91*$I91/100)</x:f>
      </x:c>
      <x:c r="Z91" s="9" t="str">
        <x:f>IF($A91="","",MAX(0,($X91-$Y91)*$K91/100))</x:f>
      </x:c>
      <x:c r="AA91" s="9" t="str">
        <x:f>IF($A91="","",MAX(0,($X91-$Y91)*$L91/100))</x:f>
      </x:c>
      <x:c r="AB91" s="9" t="str">
        <x:f>IF($A91="","",MAX(0,($X91-$Y91)*$M91/100))</x:f>
      </x:c>
      <x:c r="AC91" s="9" t="str">
        <x:f>IF($A91="","",MAX(0,($X91-$Y91)+$J91+$Z91+$N91-$AA91-$AB91-$O91))</x:f>
      </x:c>
    </x:row>
    <x:row r="92">
      <x:c r="A92" s="13"/>
      <x:c r="B92" s="14"/>
      <x:c r="C92" s="8"/>
      <x:c r="D92" s="13"/>
      <x:c r="E92" s="7"/>
      <x:c r="F92" s="13"/>
      <x:c r="G92" s="7"/>
      <x:c r="H92" s="7"/>
      <x:c r="I92" s="10"/>
      <x:c r="J92" s="9"/>
      <x:c r="K92" s="10"/>
      <x:c r="L92" s="10"/>
      <x:c r="M92" s="10"/>
      <x:c r="N92" s="9"/>
      <x:c r="O92" s="9"/>
      <x:c r="P92" s="7"/>
      <x:c r="Q92" s="9"/>
      <x:c r="R92" s="8"/>
      <x:c r="S92" s="9"/>
      <x:c r="T92" s="8"/>
      <x:c r="U92" s="13"/>
      <x:c r="V92" s="7"/>
      <x:c r="W92" s="7"/>
      <x:c r="X92" s="9" t="str">
        <x:f>IF($A92="","",SUMIF(Purchase_Items!$A$2:$A$501,$A92,Purchase_Items!$P$2:$P$501))</x:f>
      </x:c>
      <x:c r="Y92" s="9" t="str">
        <x:f>IF($A92="","",$X92*$I92/100)</x:f>
      </x:c>
      <x:c r="Z92" s="9" t="str">
        <x:f>IF($A92="","",MAX(0,($X92-$Y92)*$K92/100))</x:f>
      </x:c>
      <x:c r="AA92" s="9" t="str">
        <x:f>IF($A92="","",MAX(0,($X92-$Y92)*$L92/100))</x:f>
      </x:c>
      <x:c r="AB92" s="9" t="str">
        <x:f>IF($A92="","",MAX(0,($X92-$Y92)*$M92/100))</x:f>
      </x:c>
      <x:c r="AC92" s="9" t="str">
        <x:f>IF($A92="","",MAX(0,($X92-$Y92)+$J92+$Z92+$N92-$AA92-$AB92-$O92))</x:f>
      </x:c>
    </x:row>
    <x:row r="93">
      <x:c r="A93" s="13"/>
      <x:c r="B93" s="14"/>
      <x:c r="C93" s="8"/>
      <x:c r="D93" s="13"/>
      <x:c r="E93" s="7"/>
      <x:c r="F93" s="13"/>
      <x:c r="G93" s="7"/>
      <x:c r="H93" s="7"/>
      <x:c r="I93" s="10"/>
      <x:c r="J93" s="9"/>
      <x:c r="K93" s="10"/>
      <x:c r="L93" s="10"/>
      <x:c r="M93" s="10"/>
      <x:c r="N93" s="9"/>
      <x:c r="O93" s="9"/>
      <x:c r="P93" s="7"/>
      <x:c r="Q93" s="9"/>
      <x:c r="R93" s="8"/>
      <x:c r="S93" s="9"/>
      <x:c r="T93" s="8"/>
      <x:c r="U93" s="13"/>
      <x:c r="V93" s="7"/>
      <x:c r="W93" s="7"/>
      <x:c r="X93" s="9" t="str">
        <x:f>IF($A93="","",SUMIF(Purchase_Items!$A$2:$A$501,$A93,Purchase_Items!$P$2:$P$501))</x:f>
      </x:c>
      <x:c r="Y93" s="9" t="str">
        <x:f>IF($A93="","",$X93*$I93/100)</x:f>
      </x:c>
      <x:c r="Z93" s="9" t="str">
        <x:f>IF($A93="","",MAX(0,($X93-$Y93)*$K93/100))</x:f>
      </x:c>
      <x:c r="AA93" s="9" t="str">
        <x:f>IF($A93="","",MAX(0,($X93-$Y93)*$L93/100))</x:f>
      </x:c>
      <x:c r="AB93" s="9" t="str">
        <x:f>IF($A93="","",MAX(0,($X93-$Y93)*$M93/100))</x:f>
      </x:c>
      <x:c r="AC93" s="9" t="str">
        <x:f>IF($A93="","",MAX(0,($X93-$Y93)+$J93+$Z93+$N93-$AA93-$AB93-$O93))</x:f>
      </x:c>
    </x:row>
    <x:row r="94">
      <x:c r="A94" s="13"/>
      <x:c r="B94" s="14"/>
      <x:c r="C94" s="8"/>
      <x:c r="D94" s="13"/>
      <x:c r="E94" s="7"/>
      <x:c r="F94" s="13"/>
      <x:c r="G94" s="7"/>
      <x:c r="H94" s="7"/>
      <x:c r="I94" s="10"/>
      <x:c r="J94" s="9"/>
      <x:c r="K94" s="10"/>
      <x:c r="L94" s="10"/>
      <x:c r="M94" s="10"/>
      <x:c r="N94" s="9"/>
      <x:c r="O94" s="9"/>
      <x:c r="P94" s="7"/>
      <x:c r="Q94" s="9"/>
      <x:c r="R94" s="8"/>
      <x:c r="S94" s="9"/>
      <x:c r="T94" s="8"/>
      <x:c r="U94" s="13"/>
      <x:c r="V94" s="7"/>
      <x:c r="W94" s="7"/>
      <x:c r="X94" s="9" t="str">
        <x:f>IF($A94="","",SUMIF(Purchase_Items!$A$2:$A$501,$A94,Purchase_Items!$P$2:$P$501))</x:f>
      </x:c>
      <x:c r="Y94" s="9" t="str">
        <x:f>IF($A94="","",$X94*$I94/100)</x:f>
      </x:c>
      <x:c r="Z94" s="9" t="str">
        <x:f>IF($A94="","",MAX(0,($X94-$Y94)*$K94/100))</x:f>
      </x:c>
      <x:c r="AA94" s="9" t="str">
        <x:f>IF($A94="","",MAX(0,($X94-$Y94)*$L94/100))</x:f>
      </x:c>
      <x:c r="AB94" s="9" t="str">
        <x:f>IF($A94="","",MAX(0,($X94-$Y94)*$M94/100))</x:f>
      </x:c>
      <x:c r="AC94" s="9" t="str">
        <x:f>IF($A94="","",MAX(0,($X94-$Y94)+$J94+$Z94+$N94-$AA94-$AB94-$O94))</x:f>
      </x:c>
    </x:row>
    <x:row r="95">
      <x:c r="A95" s="13"/>
      <x:c r="B95" s="14"/>
      <x:c r="C95" s="8"/>
      <x:c r="D95" s="13"/>
      <x:c r="E95" s="7"/>
      <x:c r="F95" s="13"/>
      <x:c r="G95" s="7"/>
      <x:c r="H95" s="7"/>
      <x:c r="I95" s="10"/>
      <x:c r="J95" s="9"/>
      <x:c r="K95" s="10"/>
      <x:c r="L95" s="10"/>
      <x:c r="M95" s="10"/>
      <x:c r="N95" s="9"/>
      <x:c r="O95" s="9"/>
      <x:c r="P95" s="7"/>
      <x:c r="Q95" s="9"/>
      <x:c r="R95" s="8"/>
      <x:c r="S95" s="9"/>
      <x:c r="T95" s="8"/>
      <x:c r="U95" s="13"/>
      <x:c r="V95" s="7"/>
      <x:c r="W95" s="7"/>
      <x:c r="X95" s="9" t="str">
        <x:f>IF($A95="","",SUMIF(Purchase_Items!$A$2:$A$501,$A95,Purchase_Items!$P$2:$P$501))</x:f>
      </x:c>
      <x:c r="Y95" s="9" t="str">
        <x:f>IF($A95="","",$X95*$I95/100)</x:f>
      </x:c>
      <x:c r="Z95" s="9" t="str">
        <x:f>IF($A95="","",MAX(0,($X95-$Y95)*$K95/100))</x:f>
      </x:c>
      <x:c r="AA95" s="9" t="str">
        <x:f>IF($A95="","",MAX(0,($X95-$Y95)*$L95/100))</x:f>
      </x:c>
      <x:c r="AB95" s="9" t="str">
        <x:f>IF($A95="","",MAX(0,($X95-$Y95)*$M95/100))</x:f>
      </x:c>
      <x:c r="AC95" s="9" t="str">
        <x:f>IF($A95="","",MAX(0,($X95-$Y95)+$J95+$Z95+$N95-$AA95-$AB95-$O95))</x:f>
      </x:c>
    </x:row>
    <x:row r="96">
      <x:c r="A96" s="13"/>
      <x:c r="B96" s="14"/>
      <x:c r="C96" s="8"/>
      <x:c r="D96" s="13"/>
      <x:c r="E96" s="7"/>
      <x:c r="F96" s="13"/>
      <x:c r="G96" s="7"/>
      <x:c r="H96" s="7"/>
      <x:c r="I96" s="10"/>
      <x:c r="J96" s="9"/>
      <x:c r="K96" s="10"/>
      <x:c r="L96" s="10"/>
      <x:c r="M96" s="10"/>
      <x:c r="N96" s="9"/>
      <x:c r="O96" s="9"/>
      <x:c r="P96" s="7"/>
      <x:c r="Q96" s="9"/>
      <x:c r="R96" s="8"/>
      <x:c r="S96" s="9"/>
      <x:c r="T96" s="8"/>
      <x:c r="U96" s="13"/>
      <x:c r="V96" s="7"/>
      <x:c r="W96" s="7"/>
      <x:c r="X96" s="9" t="str">
        <x:f>IF($A96="","",SUMIF(Purchase_Items!$A$2:$A$501,$A96,Purchase_Items!$P$2:$P$501))</x:f>
      </x:c>
      <x:c r="Y96" s="9" t="str">
        <x:f>IF($A96="","",$X96*$I96/100)</x:f>
      </x:c>
      <x:c r="Z96" s="9" t="str">
        <x:f>IF($A96="","",MAX(0,($X96-$Y96)*$K96/100))</x:f>
      </x:c>
      <x:c r="AA96" s="9" t="str">
        <x:f>IF($A96="","",MAX(0,($X96-$Y96)*$L96/100))</x:f>
      </x:c>
      <x:c r="AB96" s="9" t="str">
        <x:f>IF($A96="","",MAX(0,($X96-$Y96)*$M96/100))</x:f>
      </x:c>
      <x:c r="AC96" s="9" t="str">
        <x:f>IF($A96="","",MAX(0,($X96-$Y96)+$J96+$Z96+$N96-$AA96-$AB96-$O96))</x:f>
      </x:c>
    </x:row>
    <x:row r="97">
      <x:c r="A97" s="13"/>
      <x:c r="B97" s="14"/>
      <x:c r="C97" s="8"/>
      <x:c r="D97" s="13"/>
      <x:c r="E97" s="7"/>
      <x:c r="F97" s="13"/>
      <x:c r="G97" s="7"/>
      <x:c r="H97" s="7"/>
      <x:c r="I97" s="10"/>
      <x:c r="J97" s="9"/>
      <x:c r="K97" s="10"/>
      <x:c r="L97" s="10"/>
      <x:c r="M97" s="10"/>
      <x:c r="N97" s="9"/>
      <x:c r="O97" s="9"/>
      <x:c r="P97" s="7"/>
      <x:c r="Q97" s="9"/>
      <x:c r="R97" s="8"/>
      <x:c r="S97" s="9"/>
      <x:c r="T97" s="8"/>
      <x:c r="U97" s="13"/>
      <x:c r="V97" s="7"/>
      <x:c r="W97" s="7"/>
      <x:c r="X97" s="9" t="str">
        <x:f>IF($A97="","",SUMIF(Purchase_Items!$A$2:$A$501,$A97,Purchase_Items!$P$2:$P$501))</x:f>
      </x:c>
      <x:c r="Y97" s="9" t="str">
        <x:f>IF($A97="","",$X97*$I97/100)</x:f>
      </x:c>
      <x:c r="Z97" s="9" t="str">
        <x:f>IF($A97="","",MAX(0,($X97-$Y97)*$K97/100))</x:f>
      </x:c>
      <x:c r="AA97" s="9" t="str">
        <x:f>IF($A97="","",MAX(0,($X97-$Y97)*$L97/100))</x:f>
      </x:c>
      <x:c r="AB97" s="9" t="str">
        <x:f>IF($A97="","",MAX(0,($X97-$Y97)*$M97/100))</x:f>
      </x:c>
      <x:c r="AC97" s="9" t="str">
        <x:f>IF($A97="","",MAX(0,($X97-$Y97)+$J97+$Z97+$N97-$AA97-$AB97-$O97))</x:f>
      </x:c>
    </x:row>
    <x:row r="98">
      <x:c r="A98" s="13"/>
      <x:c r="B98" s="14"/>
      <x:c r="C98" s="8"/>
      <x:c r="D98" s="13"/>
      <x:c r="E98" s="7"/>
      <x:c r="F98" s="13"/>
      <x:c r="G98" s="7"/>
      <x:c r="H98" s="7"/>
      <x:c r="I98" s="10"/>
      <x:c r="J98" s="9"/>
      <x:c r="K98" s="10"/>
      <x:c r="L98" s="10"/>
      <x:c r="M98" s="10"/>
      <x:c r="N98" s="9"/>
      <x:c r="O98" s="9"/>
      <x:c r="P98" s="7"/>
      <x:c r="Q98" s="9"/>
      <x:c r="R98" s="8"/>
      <x:c r="S98" s="9"/>
      <x:c r="T98" s="8"/>
      <x:c r="U98" s="13"/>
      <x:c r="V98" s="7"/>
      <x:c r="W98" s="7"/>
      <x:c r="X98" s="9" t="str">
        <x:f>IF($A98="","",SUMIF(Purchase_Items!$A$2:$A$501,$A98,Purchase_Items!$P$2:$P$501))</x:f>
      </x:c>
      <x:c r="Y98" s="9" t="str">
        <x:f>IF($A98="","",$X98*$I98/100)</x:f>
      </x:c>
      <x:c r="Z98" s="9" t="str">
        <x:f>IF($A98="","",MAX(0,($X98-$Y98)*$K98/100))</x:f>
      </x:c>
      <x:c r="AA98" s="9" t="str">
        <x:f>IF($A98="","",MAX(0,($X98-$Y98)*$L98/100))</x:f>
      </x:c>
      <x:c r="AB98" s="9" t="str">
        <x:f>IF($A98="","",MAX(0,($X98-$Y98)*$M98/100))</x:f>
      </x:c>
      <x:c r="AC98" s="9" t="str">
        <x:f>IF($A98="","",MAX(0,($X98-$Y98)+$J98+$Z98+$N98-$AA98-$AB98-$O98))</x:f>
      </x:c>
    </x:row>
    <x:row r="99">
      <x:c r="A99" s="13"/>
      <x:c r="B99" s="14"/>
      <x:c r="C99" s="8"/>
      <x:c r="D99" s="13"/>
      <x:c r="E99" s="7"/>
      <x:c r="F99" s="13"/>
      <x:c r="G99" s="7"/>
      <x:c r="H99" s="7"/>
      <x:c r="I99" s="10"/>
      <x:c r="J99" s="9"/>
      <x:c r="K99" s="10"/>
      <x:c r="L99" s="10"/>
      <x:c r="M99" s="10"/>
      <x:c r="N99" s="9"/>
      <x:c r="O99" s="9"/>
      <x:c r="P99" s="7"/>
      <x:c r="Q99" s="9"/>
      <x:c r="R99" s="8"/>
      <x:c r="S99" s="9"/>
      <x:c r="T99" s="8"/>
      <x:c r="U99" s="13"/>
      <x:c r="V99" s="7"/>
      <x:c r="W99" s="7"/>
      <x:c r="X99" s="9" t="str">
        <x:f>IF($A99="","",SUMIF(Purchase_Items!$A$2:$A$501,$A99,Purchase_Items!$P$2:$P$501))</x:f>
      </x:c>
      <x:c r="Y99" s="9" t="str">
        <x:f>IF($A99="","",$X99*$I99/100)</x:f>
      </x:c>
      <x:c r="Z99" s="9" t="str">
        <x:f>IF($A99="","",MAX(0,($X99-$Y99)*$K99/100))</x:f>
      </x:c>
      <x:c r="AA99" s="9" t="str">
        <x:f>IF($A99="","",MAX(0,($X99-$Y99)*$L99/100))</x:f>
      </x:c>
      <x:c r="AB99" s="9" t="str">
        <x:f>IF($A99="","",MAX(0,($X99-$Y99)*$M99/100))</x:f>
      </x:c>
      <x:c r="AC99" s="9" t="str">
        <x:f>IF($A99="","",MAX(0,($X99-$Y99)+$J99+$Z99+$N99-$AA99-$AB99-$O99))</x:f>
      </x:c>
    </x:row>
    <x:row r="100">
      <x:c r="A100" s="13"/>
      <x:c r="B100" s="14"/>
      <x:c r="C100" s="8"/>
      <x:c r="D100" s="13"/>
      <x:c r="E100" s="7"/>
      <x:c r="F100" s="13"/>
      <x:c r="G100" s="7"/>
      <x:c r="H100" s="7"/>
      <x:c r="I100" s="10"/>
      <x:c r="J100" s="9"/>
      <x:c r="K100" s="10"/>
      <x:c r="L100" s="10"/>
      <x:c r="M100" s="10"/>
      <x:c r="N100" s="9"/>
      <x:c r="O100" s="9"/>
      <x:c r="P100" s="7"/>
      <x:c r="Q100" s="9"/>
      <x:c r="R100" s="8"/>
      <x:c r="S100" s="9"/>
      <x:c r="T100" s="8"/>
      <x:c r="U100" s="13"/>
      <x:c r="V100" s="7"/>
      <x:c r="W100" s="7"/>
      <x:c r="X100" s="9" t="str">
        <x:f>IF($A100="","",SUMIF(Purchase_Items!$A$2:$A$501,$A100,Purchase_Items!$P$2:$P$501))</x:f>
      </x:c>
      <x:c r="Y100" s="9" t="str">
        <x:f>IF($A100="","",$X100*$I100/100)</x:f>
      </x:c>
      <x:c r="Z100" s="9" t="str">
        <x:f>IF($A100="","",MAX(0,($X100-$Y100)*$K100/100))</x:f>
      </x:c>
      <x:c r="AA100" s="9" t="str">
        <x:f>IF($A100="","",MAX(0,($X100-$Y100)*$L100/100))</x:f>
      </x:c>
      <x:c r="AB100" s="9" t="str">
        <x:f>IF($A100="","",MAX(0,($X100-$Y100)*$M100/100))</x:f>
      </x:c>
      <x:c r="AC100" s="9" t="str">
        <x:f>IF($A100="","",MAX(0,($X100-$Y100)+$J100+$Z100+$N100-$AA100-$AB100-$O100))</x:f>
      </x:c>
    </x:row>
    <x:row r="101">
      <x:c r="A101" s="13"/>
      <x:c r="B101" s="14"/>
      <x:c r="C101" s="8"/>
      <x:c r="D101" s="13"/>
      <x:c r="E101" s="7"/>
      <x:c r="F101" s="13"/>
      <x:c r="G101" s="7"/>
      <x:c r="H101" s="7"/>
      <x:c r="I101" s="10"/>
      <x:c r="J101" s="9"/>
      <x:c r="K101" s="10"/>
      <x:c r="L101" s="10"/>
      <x:c r="M101" s="10"/>
      <x:c r="N101" s="9"/>
      <x:c r="O101" s="9"/>
      <x:c r="P101" s="7"/>
      <x:c r="Q101" s="9"/>
      <x:c r="R101" s="8"/>
      <x:c r="S101" s="9"/>
      <x:c r="T101" s="8"/>
      <x:c r="U101" s="13"/>
      <x:c r="V101" s="7"/>
      <x:c r="W101" s="7"/>
      <x:c r="X101" s="9" t="str">
        <x:f>IF($A101="","",SUMIF(Purchase_Items!$A$2:$A$501,$A101,Purchase_Items!$P$2:$P$501))</x:f>
      </x:c>
      <x:c r="Y101" s="9" t="str">
        <x:f>IF($A101="","",$X101*$I101/100)</x:f>
      </x:c>
      <x:c r="Z101" s="9" t="str">
        <x:f>IF($A101="","",MAX(0,($X101-$Y101)*$K101/100))</x:f>
      </x:c>
      <x:c r="AA101" s="9" t="str">
        <x:f>IF($A101="","",MAX(0,($X101-$Y101)*$L101/100))</x:f>
      </x:c>
      <x:c r="AB101" s="9" t="str">
        <x:f>IF($A101="","",MAX(0,($X101-$Y101)*$M101/100))</x:f>
      </x:c>
      <x:c r="AC101" s="9" t="str">
        <x:f>IF($A101="","",MAX(0,($X101-$Y101)+$J101+$Z101+$N101-$AA101-$AB101-$O101))</x:f>
      </x:c>
    </x:row>
    <x:row r="102">
      <x:c r="A102" s="13"/>
      <x:c r="B102" s="14"/>
      <x:c r="C102" s="8"/>
      <x:c r="D102" s="13"/>
      <x:c r="E102" s="7"/>
      <x:c r="F102" s="13"/>
      <x:c r="G102" s="7"/>
      <x:c r="H102" s="7"/>
      <x:c r="I102" s="10"/>
      <x:c r="J102" s="9"/>
      <x:c r="K102" s="10"/>
      <x:c r="L102" s="10"/>
      <x:c r="M102" s="10"/>
      <x:c r="N102" s="9"/>
      <x:c r="O102" s="9"/>
      <x:c r="P102" s="7"/>
      <x:c r="Q102" s="9"/>
      <x:c r="R102" s="8"/>
      <x:c r="S102" s="9"/>
      <x:c r="T102" s="8"/>
      <x:c r="U102" s="13"/>
      <x:c r="V102" s="7"/>
      <x:c r="W102" s="7"/>
      <x:c r="X102" s="9" t="str">
        <x:f>IF($A102="","",SUMIF(Purchase_Items!$A$2:$A$501,$A102,Purchase_Items!$P$2:$P$501))</x:f>
      </x:c>
      <x:c r="Y102" s="9" t="str">
        <x:f>IF($A102="","",$X102*$I102/100)</x:f>
      </x:c>
      <x:c r="Z102" s="9" t="str">
        <x:f>IF($A102="","",MAX(0,($X102-$Y102)*$K102/100))</x:f>
      </x:c>
      <x:c r="AA102" s="9" t="str">
        <x:f>IF($A102="","",MAX(0,($X102-$Y102)*$L102/100))</x:f>
      </x:c>
      <x:c r="AB102" s="9" t="str">
        <x:f>IF($A102="","",MAX(0,($X102-$Y102)*$M102/100))</x:f>
      </x:c>
      <x:c r="AC102" s="9" t="str">
        <x:f>IF($A102="","",MAX(0,($X102-$Y102)+$J102+$Z102+$N102-$AA102-$AB102-$O102))</x:f>
      </x:c>
    </x:row>
    <x:row r="103">
      <x:c r="A103" s="13"/>
      <x:c r="B103" s="14"/>
      <x:c r="C103" s="8"/>
      <x:c r="D103" s="13"/>
      <x:c r="E103" s="7"/>
      <x:c r="F103" s="13"/>
      <x:c r="G103" s="7"/>
      <x:c r="H103" s="7"/>
      <x:c r="I103" s="10"/>
      <x:c r="J103" s="9"/>
      <x:c r="K103" s="10"/>
      <x:c r="L103" s="10"/>
      <x:c r="M103" s="10"/>
      <x:c r="N103" s="9"/>
      <x:c r="O103" s="9"/>
      <x:c r="P103" s="7"/>
      <x:c r="Q103" s="9"/>
      <x:c r="R103" s="8"/>
      <x:c r="S103" s="9"/>
      <x:c r="T103" s="8"/>
      <x:c r="U103" s="13"/>
      <x:c r="V103" s="7"/>
      <x:c r="W103" s="7"/>
      <x:c r="X103" s="9" t="str">
        <x:f>IF($A103="","",SUMIF(Purchase_Items!$A$2:$A$501,$A103,Purchase_Items!$P$2:$P$501))</x:f>
      </x:c>
      <x:c r="Y103" s="9" t="str">
        <x:f>IF($A103="","",$X103*$I103/100)</x:f>
      </x:c>
      <x:c r="Z103" s="9" t="str">
        <x:f>IF($A103="","",MAX(0,($X103-$Y103)*$K103/100))</x:f>
      </x:c>
      <x:c r="AA103" s="9" t="str">
        <x:f>IF($A103="","",MAX(0,($X103-$Y103)*$L103/100))</x:f>
      </x:c>
      <x:c r="AB103" s="9" t="str">
        <x:f>IF($A103="","",MAX(0,($X103-$Y103)*$M103/100))</x:f>
      </x:c>
      <x:c r="AC103" s="9" t="str">
        <x:f>IF($A103="","",MAX(0,($X103-$Y103)+$J103+$Z103+$N103-$AA103-$AB103-$O103))</x:f>
      </x:c>
    </x:row>
    <x:row r="104">
      <x:c r="A104" s="13"/>
      <x:c r="B104" s="14"/>
      <x:c r="C104" s="8"/>
      <x:c r="D104" s="13"/>
      <x:c r="E104" s="7"/>
      <x:c r="F104" s="13"/>
      <x:c r="G104" s="7"/>
      <x:c r="H104" s="7"/>
      <x:c r="I104" s="10"/>
      <x:c r="J104" s="9"/>
      <x:c r="K104" s="10"/>
      <x:c r="L104" s="10"/>
      <x:c r="M104" s="10"/>
      <x:c r="N104" s="9"/>
      <x:c r="O104" s="9"/>
      <x:c r="P104" s="7"/>
      <x:c r="Q104" s="9"/>
      <x:c r="R104" s="8"/>
      <x:c r="S104" s="9"/>
      <x:c r="T104" s="8"/>
      <x:c r="U104" s="13"/>
      <x:c r="V104" s="7"/>
      <x:c r="W104" s="7"/>
      <x:c r="X104" s="9" t="str">
        <x:f>IF($A104="","",SUMIF(Purchase_Items!$A$2:$A$501,$A104,Purchase_Items!$P$2:$P$501))</x:f>
      </x:c>
      <x:c r="Y104" s="9" t="str">
        <x:f>IF($A104="","",$X104*$I104/100)</x:f>
      </x:c>
      <x:c r="Z104" s="9" t="str">
        <x:f>IF($A104="","",MAX(0,($X104-$Y104)*$K104/100))</x:f>
      </x:c>
      <x:c r="AA104" s="9" t="str">
        <x:f>IF($A104="","",MAX(0,($X104-$Y104)*$L104/100))</x:f>
      </x:c>
      <x:c r="AB104" s="9" t="str">
        <x:f>IF($A104="","",MAX(0,($X104-$Y104)*$M104/100))</x:f>
      </x:c>
      <x:c r="AC104" s="9" t="str">
        <x:f>IF($A104="","",MAX(0,($X104-$Y104)+$J104+$Z104+$N104-$AA104-$AB104-$O104))</x:f>
      </x:c>
    </x:row>
    <x:row r="105">
      <x:c r="A105" s="13"/>
      <x:c r="B105" s="14"/>
      <x:c r="C105" s="8"/>
      <x:c r="D105" s="13"/>
      <x:c r="E105" s="7"/>
      <x:c r="F105" s="13"/>
      <x:c r="G105" s="7"/>
      <x:c r="H105" s="7"/>
      <x:c r="I105" s="10"/>
      <x:c r="J105" s="9"/>
      <x:c r="K105" s="10"/>
      <x:c r="L105" s="10"/>
      <x:c r="M105" s="10"/>
      <x:c r="N105" s="9"/>
      <x:c r="O105" s="9"/>
      <x:c r="P105" s="7"/>
      <x:c r="Q105" s="9"/>
      <x:c r="R105" s="8"/>
      <x:c r="S105" s="9"/>
      <x:c r="T105" s="8"/>
      <x:c r="U105" s="13"/>
      <x:c r="V105" s="7"/>
      <x:c r="W105" s="7"/>
      <x:c r="X105" s="9" t="str">
        <x:f>IF($A105="","",SUMIF(Purchase_Items!$A$2:$A$501,$A105,Purchase_Items!$P$2:$P$501))</x:f>
      </x:c>
      <x:c r="Y105" s="9" t="str">
        <x:f>IF($A105="","",$X105*$I105/100)</x:f>
      </x:c>
      <x:c r="Z105" s="9" t="str">
        <x:f>IF($A105="","",MAX(0,($X105-$Y105)*$K105/100))</x:f>
      </x:c>
      <x:c r="AA105" s="9" t="str">
        <x:f>IF($A105="","",MAX(0,($X105-$Y105)*$L105/100))</x:f>
      </x:c>
      <x:c r="AB105" s="9" t="str">
        <x:f>IF($A105="","",MAX(0,($X105-$Y105)*$M105/100))</x:f>
      </x:c>
      <x:c r="AC105" s="9" t="str">
        <x:f>IF($A105="","",MAX(0,($X105-$Y105)+$J105+$Z105+$N105-$AA105-$AB105-$O105))</x:f>
      </x:c>
    </x:row>
    <x:row r="106">
      <x:c r="A106" s="13"/>
      <x:c r="B106" s="14"/>
      <x:c r="C106" s="8"/>
      <x:c r="D106" s="13"/>
      <x:c r="E106" s="7"/>
      <x:c r="F106" s="13"/>
      <x:c r="G106" s="7"/>
      <x:c r="H106" s="7"/>
      <x:c r="I106" s="10"/>
      <x:c r="J106" s="9"/>
      <x:c r="K106" s="10"/>
      <x:c r="L106" s="10"/>
      <x:c r="M106" s="10"/>
      <x:c r="N106" s="9"/>
      <x:c r="O106" s="9"/>
      <x:c r="P106" s="7"/>
      <x:c r="Q106" s="9"/>
      <x:c r="R106" s="8"/>
      <x:c r="S106" s="9"/>
      <x:c r="T106" s="8"/>
      <x:c r="U106" s="13"/>
      <x:c r="V106" s="7"/>
      <x:c r="W106" s="7"/>
      <x:c r="X106" s="9" t="str">
        <x:f>IF($A106="","",SUMIF(Purchase_Items!$A$2:$A$501,$A106,Purchase_Items!$P$2:$P$501))</x:f>
      </x:c>
      <x:c r="Y106" s="9" t="str">
        <x:f>IF($A106="","",$X106*$I106/100)</x:f>
      </x:c>
      <x:c r="Z106" s="9" t="str">
        <x:f>IF($A106="","",MAX(0,($X106-$Y106)*$K106/100))</x:f>
      </x:c>
      <x:c r="AA106" s="9" t="str">
        <x:f>IF($A106="","",MAX(0,($X106-$Y106)*$L106/100))</x:f>
      </x:c>
      <x:c r="AB106" s="9" t="str">
        <x:f>IF($A106="","",MAX(0,($X106-$Y106)*$M106/100))</x:f>
      </x:c>
      <x:c r="AC106" s="9" t="str">
        <x:f>IF($A106="","",MAX(0,($X106-$Y106)+$J106+$Z106+$N106-$AA106-$AB106-$O106))</x:f>
      </x:c>
    </x:row>
    <x:row r="107">
      <x:c r="A107" s="13"/>
      <x:c r="B107" s="14"/>
      <x:c r="C107" s="8"/>
      <x:c r="D107" s="13"/>
      <x:c r="E107" s="7"/>
      <x:c r="F107" s="13"/>
      <x:c r="G107" s="7"/>
      <x:c r="H107" s="7"/>
      <x:c r="I107" s="10"/>
      <x:c r="J107" s="9"/>
      <x:c r="K107" s="10"/>
      <x:c r="L107" s="10"/>
      <x:c r="M107" s="10"/>
      <x:c r="N107" s="9"/>
      <x:c r="O107" s="9"/>
      <x:c r="P107" s="7"/>
      <x:c r="Q107" s="9"/>
      <x:c r="R107" s="8"/>
      <x:c r="S107" s="9"/>
      <x:c r="T107" s="8"/>
      <x:c r="U107" s="13"/>
      <x:c r="V107" s="7"/>
      <x:c r="W107" s="7"/>
      <x:c r="X107" s="9" t="str">
        <x:f>IF($A107="","",SUMIF(Purchase_Items!$A$2:$A$501,$A107,Purchase_Items!$P$2:$P$501))</x:f>
      </x:c>
      <x:c r="Y107" s="9" t="str">
        <x:f>IF($A107="","",$X107*$I107/100)</x:f>
      </x:c>
      <x:c r="Z107" s="9" t="str">
        <x:f>IF($A107="","",MAX(0,($X107-$Y107)*$K107/100))</x:f>
      </x:c>
      <x:c r="AA107" s="9" t="str">
        <x:f>IF($A107="","",MAX(0,($X107-$Y107)*$L107/100))</x:f>
      </x:c>
      <x:c r="AB107" s="9" t="str">
        <x:f>IF($A107="","",MAX(0,($X107-$Y107)*$M107/100))</x:f>
      </x:c>
      <x:c r="AC107" s="9" t="str">
        <x:f>IF($A107="","",MAX(0,($X107-$Y107)+$J107+$Z107+$N107-$AA107-$AB107-$O107))</x:f>
      </x:c>
    </x:row>
    <x:row r="108">
      <x:c r="A108" s="13"/>
      <x:c r="B108" s="14"/>
      <x:c r="C108" s="8"/>
      <x:c r="D108" s="13"/>
      <x:c r="E108" s="7"/>
      <x:c r="F108" s="13"/>
      <x:c r="G108" s="7"/>
      <x:c r="H108" s="7"/>
      <x:c r="I108" s="10"/>
      <x:c r="J108" s="9"/>
      <x:c r="K108" s="10"/>
      <x:c r="L108" s="10"/>
      <x:c r="M108" s="10"/>
      <x:c r="N108" s="9"/>
      <x:c r="O108" s="9"/>
      <x:c r="P108" s="7"/>
      <x:c r="Q108" s="9"/>
      <x:c r="R108" s="8"/>
      <x:c r="S108" s="9"/>
      <x:c r="T108" s="8"/>
      <x:c r="U108" s="13"/>
      <x:c r="V108" s="7"/>
      <x:c r="W108" s="7"/>
      <x:c r="X108" s="9" t="str">
        <x:f>IF($A108="","",SUMIF(Purchase_Items!$A$2:$A$501,$A108,Purchase_Items!$P$2:$P$501))</x:f>
      </x:c>
      <x:c r="Y108" s="9" t="str">
        <x:f>IF($A108="","",$X108*$I108/100)</x:f>
      </x:c>
      <x:c r="Z108" s="9" t="str">
        <x:f>IF($A108="","",MAX(0,($X108-$Y108)*$K108/100))</x:f>
      </x:c>
      <x:c r="AA108" s="9" t="str">
        <x:f>IF($A108="","",MAX(0,($X108-$Y108)*$L108/100))</x:f>
      </x:c>
      <x:c r="AB108" s="9" t="str">
        <x:f>IF($A108="","",MAX(0,($X108-$Y108)*$M108/100))</x:f>
      </x:c>
      <x:c r="AC108" s="9" t="str">
        <x:f>IF($A108="","",MAX(0,($X108-$Y108)+$J108+$Z108+$N108-$AA108-$AB108-$O108))</x:f>
      </x:c>
    </x:row>
    <x:row r="109">
      <x:c r="A109" s="13"/>
      <x:c r="B109" s="14"/>
      <x:c r="C109" s="8"/>
      <x:c r="D109" s="13"/>
      <x:c r="E109" s="7"/>
      <x:c r="F109" s="13"/>
      <x:c r="G109" s="7"/>
      <x:c r="H109" s="7"/>
      <x:c r="I109" s="10"/>
      <x:c r="J109" s="9"/>
      <x:c r="K109" s="10"/>
      <x:c r="L109" s="10"/>
      <x:c r="M109" s="10"/>
      <x:c r="N109" s="9"/>
      <x:c r="O109" s="9"/>
      <x:c r="P109" s="7"/>
      <x:c r="Q109" s="9"/>
      <x:c r="R109" s="8"/>
      <x:c r="S109" s="9"/>
      <x:c r="T109" s="8"/>
      <x:c r="U109" s="13"/>
      <x:c r="V109" s="7"/>
      <x:c r="W109" s="7"/>
      <x:c r="X109" s="9" t="str">
        <x:f>IF($A109="","",SUMIF(Purchase_Items!$A$2:$A$501,$A109,Purchase_Items!$P$2:$P$501))</x:f>
      </x:c>
      <x:c r="Y109" s="9" t="str">
        <x:f>IF($A109="","",$X109*$I109/100)</x:f>
      </x:c>
      <x:c r="Z109" s="9" t="str">
        <x:f>IF($A109="","",MAX(0,($X109-$Y109)*$K109/100))</x:f>
      </x:c>
      <x:c r="AA109" s="9" t="str">
        <x:f>IF($A109="","",MAX(0,($X109-$Y109)*$L109/100))</x:f>
      </x:c>
      <x:c r="AB109" s="9" t="str">
        <x:f>IF($A109="","",MAX(0,($X109-$Y109)*$M109/100))</x:f>
      </x:c>
      <x:c r="AC109" s="9" t="str">
        <x:f>IF($A109="","",MAX(0,($X109-$Y109)+$J109+$Z109+$N109-$AA109-$AB109-$O109))</x:f>
      </x:c>
    </x:row>
    <x:row r="110">
      <x:c r="A110" s="13"/>
      <x:c r="B110" s="14"/>
      <x:c r="C110" s="8"/>
      <x:c r="D110" s="13"/>
      <x:c r="E110" s="7"/>
      <x:c r="F110" s="13"/>
      <x:c r="G110" s="7"/>
      <x:c r="H110" s="7"/>
      <x:c r="I110" s="10"/>
      <x:c r="J110" s="9"/>
      <x:c r="K110" s="10"/>
      <x:c r="L110" s="10"/>
      <x:c r="M110" s="10"/>
      <x:c r="N110" s="9"/>
      <x:c r="O110" s="9"/>
      <x:c r="P110" s="7"/>
      <x:c r="Q110" s="9"/>
      <x:c r="R110" s="8"/>
      <x:c r="S110" s="9"/>
      <x:c r="T110" s="8"/>
      <x:c r="U110" s="13"/>
      <x:c r="V110" s="7"/>
      <x:c r="W110" s="7"/>
      <x:c r="X110" s="9" t="str">
        <x:f>IF($A110="","",SUMIF(Purchase_Items!$A$2:$A$501,$A110,Purchase_Items!$P$2:$P$501))</x:f>
      </x:c>
      <x:c r="Y110" s="9" t="str">
        <x:f>IF($A110="","",$X110*$I110/100)</x:f>
      </x:c>
      <x:c r="Z110" s="9" t="str">
        <x:f>IF($A110="","",MAX(0,($X110-$Y110)*$K110/100))</x:f>
      </x:c>
      <x:c r="AA110" s="9" t="str">
        <x:f>IF($A110="","",MAX(0,($X110-$Y110)*$L110/100))</x:f>
      </x:c>
      <x:c r="AB110" s="9" t="str">
        <x:f>IF($A110="","",MAX(0,($X110-$Y110)*$M110/100))</x:f>
      </x:c>
      <x:c r="AC110" s="9" t="str">
        <x:f>IF($A110="","",MAX(0,($X110-$Y110)+$J110+$Z110+$N110-$AA110-$AB110-$O110))</x:f>
      </x:c>
    </x:row>
    <x:row r="111">
      <x:c r="A111" s="13"/>
      <x:c r="B111" s="14"/>
      <x:c r="C111" s="8"/>
      <x:c r="D111" s="13"/>
      <x:c r="E111" s="7"/>
      <x:c r="F111" s="13"/>
      <x:c r="G111" s="7"/>
      <x:c r="H111" s="7"/>
      <x:c r="I111" s="10"/>
      <x:c r="J111" s="9"/>
      <x:c r="K111" s="10"/>
      <x:c r="L111" s="10"/>
      <x:c r="M111" s="10"/>
      <x:c r="N111" s="9"/>
      <x:c r="O111" s="9"/>
      <x:c r="P111" s="7"/>
      <x:c r="Q111" s="9"/>
      <x:c r="R111" s="8"/>
      <x:c r="S111" s="9"/>
      <x:c r="T111" s="8"/>
      <x:c r="U111" s="13"/>
      <x:c r="V111" s="7"/>
      <x:c r="W111" s="7"/>
      <x:c r="X111" s="9" t="str">
        <x:f>IF($A111="","",SUMIF(Purchase_Items!$A$2:$A$501,$A111,Purchase_Items!$P$2:$P$501))</x:f>
      </x:c>
      <x:c r="Y111" s="9" t="str">
        <x:f>IF($A111="","",$X111*$I111/100)</x:f>
      </x:c>
      <x:c r="Z111" s="9" t="str">
        <x:f>IF($A111="","",MAX(0,($X111-$Y111)*$K111/100))</x:f>
      </x:c>
      <x:c r="AA111" s="9" t="str">
        <x:f>IF($A111="","",MAX(0,($X111-$Y111)*$L111/100))</x:f>
      </x:c>
      <x:c r="AB111" s="9" t="str">
        <x:f>IF($A111="","",MAX(0,($X111-$Y111)*$M111/100))</x:f>
      </x:c>
      <x:c r="AC111" s="9" t="str">
        <x:f>IF($A111="","",MAX(0,($X111-$Y111)+$J111+$Z111+$N111-$AA111-$AB111-$O111))</x:f>
      </x:c>
    </x:row>
    <x:row r="112">
      <x:c r="A112" s="13"/>
      <x:c r="B112" s="14"/>
      <x:c r="C112" s="8"/>
      <x:c r="D112" s="13"/>
      <x:c r="E112" s="7"/>
      <x:c r="F112" s="13"/>
      <x:c r="G112" s="7"/>
      <x:c r="H112" s="7"/>
      <x:c r="I112" s="10"/>
      <x:c r="J112" s="9"/>
      <x:c r="K112" s="10"/>
      <x:c r="L112" s="10"/>
      <x:c r="M112" s="10"/>
      <x:c r="N112" s="9"/>
      <x:c r="O112" s="9"/>
      <x:c r="P112" s="7"/>
      <x:c r="Q112" s="9"/>
      <x:c r="R112" s="8"/>
      <x:c r="S112" s="9"/>
      <x:c r="T112" s="8"/>
      <x:c r="U112" s="13"/>
      <x:c r="V112" s="7"/>
      <x:c r="W112" s="7"/>
      <x:c r="X112" s="9" t="str">
        <x:f>IF($A112="","",SUMIF(Purchase_Items!$A$2:$A$501,$A112,Purchase_Items!$P$2:$P$501))</x:f>
      </x:c>
      <x:c r="Y112" s="9" t="str">
        <x:f>IF($A112="","",$X112*$I112/100)</x:f>
      </x:c>
      <x:c r="Z112" s="9" t="str">
        <x:f>IF($A112="","",MAX(0,($X112-$Y112)*$K112/100))</x:f>
      </x:c>
      <x:c r="AA112" s="9" t="str">
        <x:f>IF($A112="","",MAX(0,($X112-$Y112)*$L112/100))</x:f>
      </x:c>
      <x:c r="AB112" s="9" t="str">
        <x:f>IF($A112="","",MAX(0,($X112-$Y112)*$M112/100))</x:f>
      </x:c>
      <x:c r="AC112" s="9" t="str">
        <x:f>IF($A112="","",MAX(0,($X112-$Y112)+$J112+$Z112+$N112-$AA112-$AB112-$O112))</x:f>
      </x:c>
    </x:row>
    <x:row r="113">
      <x:c r="A113" s="13"/>
      <x:c r="B113" s="14"/>
      <x:c r="C113" s="8"/>
      <x:c r="D113" s="13"/>
      <x:c r="E113" s="7"/>
      <x:c r="F113" s="13"/>
      <x:c r="G113" s="7"/>
      <x:c r="H113" s="7"/>
      <x:c r="I113" s="10"/>
      <x:c r="J113" s="9"/>
      <x:c r="K113" s="10"/>
      <x:c r="L113" s="10"/>
      <x:c r="M113" s="10"/>
      <x:c r="N113" s="9"/>
      <x:c r="O113" s="9"/>
      <x:c r="P113" s="7"/>
      <x:c r="Q113" s="9"/>
      <x:c r="R113" s="8"/>
      <x:c r="S113" s="9"/>
      <x:c r="T113" s="8"/>
      <x:c r="U113" s="13"/>
      <x:c r="V113" s="7"/>
      <x:c r="W113" s="7"/>
      <x:c r="X113" s="9" t="str">
        <x:f>IF($A113="","",SUMIF(Purchase_Items!$A$2:$A$501,$A113,Purchase_Items!$P$2:$P$501))</x:f>
      </x:c>
      <x:c r="Y113" s="9" t="str">
        <x:f>IF($A113="","",$X113*$I113/100)</x:f>
      </x:c>
      <x:c r="Z113" s="9" t="str">
        <x:f>IF($A113="","",MAX(0,($X113-$Y113)*$K113/100))</x:f>
      </x:c>
      <x:c r="AA113" s="9" t="str">
        <x:f>IF($A113="","",MAX(0,($X113-$Y113)*$L113/100))</x:f>
      </x:c>
      <x:c r="AB113" s="9" t="str">
        <x:f>IF($A113="","",MAX(0,($X113-$Y113)*$M113/100))</x:f>
      </x:c>
      <x:c r="AC113" s="9" t="str">
        <x:f>IF($A113="","",MAX(0,($X113-$Y113)+$J113+$Z113+$N113-$AA113-$AB113-$O113))</x:f>
      </x:c>
    </x:row>
    <x:row r="114">
      <x:c r="A114" s="13"/>
      <x:c r="B114" s="14"/>
      <x:c r="C114" s="8"/>
      <x:c r="D114" s="13"/>
      <x:c r="E114" s="7"/>
      <x:c r="F114" s="13"/>
      <x:c r="G114" s="7"/>
      <x:c r="H114" s="7"/>
      <x:c r="I114" s="10"/>
      <x:c r="J114" s="9"/>
      <x:c r="K114" s="10"/>
      <x:c r="L114" s="10"/>
      <x:c r="M114" s="10"/>
      <x:c r="N114" s="9"/>
      <x:c r="O114" s="9"/>
      <x:c r="P114" s="7"/>
      <x:c r="Q114" s="9"/>
      <x:c r="R114" s="8"/>
      <x:c r="S114" s="9"/>
      <x:c r="T114" s="8"/>
      <x:c r="U114" s="13"/>
      <x:c r="V114" s="7"/>
      <x:c r="W114" s="7"/>
      <x:c r="X114" s="9" t="str">
        <x:f>IF($A114="","",SUMIF(Purchase_Items!$A$2:$A$501,$A114,Purchase_Items!$P$2:$P$501))</x:f>
      </x:c>
      <x:c r="Y114" s="9" t="str">
        <x:f>IF($A114="","",$X114*$I114/100)</x:f>
      </x:c>
      <x:c r="Z114" s="9" t="str">
        <x:f>IF($A114="","",MAX(0,($X114-$Y114)*$K114/100))</x:f>
      </x:c>
      <x:c r="AA114" s="9" t="str">
        <x:f>IF($A114="","",MAX(0,($X114-$Y114)*$L114/100))</x:f>
      </x:c>
      <x:c r="AB114" s="9" t="str">
        <x:f>IF($A114="","",MAX(0,($X114-$Y114)*$M114/100))</x:f>
      </x:c>
      <x:c r="AC114" s="9" t="str">
        <x:f>IF($A114="","",MAX(0,($X114-$Y114)+$J114+$Z114+$N114-$AA114-$AB114-$O114))</x:f>
      </x:c>
    </x:row>
    <x:row r="115">
      <x:c r="A115" s="13"/>
      <x:c r="B115" s="14"/>
      <x:c r="C115" s="8"/>
      <x:c r="D115" s="13"/>
      <x:c r="E115" s="7"/>
      <x:c r="F115" s="13"/>
      <x:c r="G115" s="7"/>
      <x:c r="H115" s="7"/>
      <x:c r="I115" s="10"/>
      <x:c r="J115" s="9"/>
      <x:c r="K115" s="10"/>
      <x:c r="L115" s="10"/>
      <x:c r="M115" s="10"/>
      <x:c r="N115" s="9"/>
      <x:c r="O115" s="9"/>
      <x:c r="P115" s="7"/>
      <x:c r="Q115" s="9"/>
      <x:c r="R115" s="8"/>
      <x:c r="S115" s="9"/>
      <x:c r="T115" s="8"/>
      <x:c r="U115" s="13"/>
      <x:c r="V115" s="7"/>
      <x:c r="W115" s="7"/>
      <x:c r="X115" s="9" t="str">
        <x:f>IF($A115="","",SUMIF(Purchase_Items!$A$2:$A$501,$A115,Purchase_Items!$P$2:$P$501))</x:f>
      </x:c>
      <x:c r="Y115" s="9" t="str">
        <x:f>IF($A115="","",$X115*$I115/100)</x:f>
      </x:c>
      <x:c r="Z115" s="9" t="str">
        <x:f>IF($A115="","",MAX(0,($X115-$Y115)*$K115/100))</x:f>
      </x:c>
      <x:c r="AA115" s="9" t="str">
        <x:f>IF($A115="","",MAX(0,($X115-$Y115)*$L115/100))</x:f>
      </x:c>
      <x:c r="AB115" s="9" t="str">
        <x:f>IF($A115="","",MAX(0,($X115-$Y115)*$M115/100))</x:f>
      </x:c>
      <x:c r="AC115" s="9" t="str">
        <x:f>IF($A115="","",MAX(0,($X115-$Y115)+$J115+$Z115+$N115-$AA115-$AB115-$O115))</x:f>
      </x:c>
    </x:row>
    <x:row r="116">
      <x:c r="A116" s="13"/>
      <x:c r="B116" s="14"/>
      <x:c r="C116" s="8"/>
      <x:c r="D116" s="13"/>
      <x:c r="E116" s="7"/>
      <x:c r="F116" s="13"/>
      <x:c r="G116" s="7"/>
      <x:c r="H116" s="7"/>
      <x:c r="I116" s="10"/>
      <x:c r="J116" s="9"/>
      <x:c r="K116" s="10"/>
      <x:c r="L116" s="10"/>
      <x:c r="M116" s="10"/>
      <x:c r="N116" s="9"/>
      <x:c r="O116" s="9"/>
      <x:c r="P116" s="7"/>
      <x:c r="Q116" s="9"/>
      <x:c r="R116" s="8"/>
      <x:c r="S116" s="9"/>
      <x:c r="T116" s="8"/>
      <x:c r="U116" s="13"/>
      <x:c r="V116" s="7"/>
      <x:c r="W116" s="7"/>
      <x:c r="X116" s="9" t="str">
        <x:f>IF($A116="","",SUMIF(Purchase_Items!$A$2:$A$501,$A116,Purchase_Items!$P$2:$P$501))</x:f>
      </x:c>
      <x:c r="Y116" s="9" t="str">
        <x:f>IF($A116="","",$X116*$I116/100)</x:f>
      </x:c>
      <x:c r="Z116" s="9" t="str">
        <x:f>IF($A116="","",MAX(0,($X116-$Y116)*$K116/100))</x:f>
      </x:c>
      <x:c r="AA116" s="9" t="str">
        <x:f>IF($A116="","",MAX(0,($X116-$Y116)*$L116/100))</x:f>
      </x:c>
      <x:c r="AB116" s="9" t="str">
        <x:f>IF($A116="","",MAX(0,($X116-$Y116)*$M116/100))</x:f>
      </x:c>
      <x:c r="AC116" s="9" t="str">
        <x:f>IF($A116="","",MAX(0,($X116-$Y116)+$J116+$Z116+$N116-$AA116-$AB116-$O116))</x:f>
      </x:c>
    </x:row>
    <x:row r="117">
      <x:c r="A117" s="13"/>
      <x:c r="B117" s="14"/>
      <x:c r="C117" s="8"/>
      <x:c r="D117" s="13"/>
      <x:c r="E117" s="7"/>
      <x:c r="F117" s="13"/>
      <x:c r="G117" s="7"/>
      <x:c r="H117" s="7"/>
      <x:c r="I117" s="10"/>
      <x:c r="J117" s="9"/>
      <x:c r="K117" s="10"/>
      <x:c r="L117" s="10"/>
      <x:c r="M117" s="10"/>
      <x:c r="N117" s="9"/>
      <x:c r="O117" s="9"/>
      <x:c r="P117" s="7"/>
      <x:c r="Q117" s="9"/>
      <x:c r="R117" s="8"/>
      <x:c r="S117" s="9"/>
      <x:c r="T117" s="8"/>
      <x:c r="U117" s="13"/>
      <x:c r="V117" s="7"/>
      <x:c r="W117" s="7"/>
      <x:c r="X117" s="9" t="str">
        <x:f>IF($A117="","",SUMIF(Purchase_Items!$A$2:$A$501,$A117,Purchase_Items!$P$2:$P$501))</x:f>
      </x:c>
      <x:c r="Y117" s="9" t="str">
        <x:f>IF($A117="","",$X117*$I117/100)</x:f>
      </x:c>
      <x:c r="Z117" s="9" t="str">
        <x:f>IF($A117="","",MAX(0,($X117-$Y117)*$K117/100))</x:f>
      </x:c>
      <x:c r="AA117" s="9" t="str">
        <x:f>IF($A117="","",MAX(0,($X117-$Y117)*$L117/100))</x:f>
      </x:c>
      <x:c r="AB117" s="9" t="str">
        <x:f>IF($A117="","",MAX(0,($X117-$Y117)*$M117/100))</x:f>
      </x:c>
      <x:c r="AC117" s="9" t="str">
        <x:f>IF($A117="","",MAX(0,($X117-$Y117)+$J117+$Z117+$N117-$AA117-$AB117-$O117))</x:f>
      </x:c>
    </x:row>
    <x:row r="118">
      <x:c r="A118" s="13"/>
      <x:c r="B118" s="14"/>
      <x:c r="C118" s="8"/>
      <x:c r="D118" s="13"/>
      <x:c r="E118" s="7"/>
      <x:c r="F118" s="13"/>
      <x:c r="G118" s="7"/>
      <x:c r="H118" s="7"/>
      <x:c r="I118" s="10"/>
      <x:c r="J118" s="9"/>
      <x:c r="K118" s="10"/>
      <x:c r="L118" s="10"/>
      <x:c r="M118" s="10"/>
      <x:c r="N118" s="9"/>
      <x:c r="O118" s="9"/>
      <x:c r="P118" s="7"/>
      <x:c r="Q118" s="9"/>
      <x:c r="R118" s="8"/>
      <x:c r="S118" s="9"/>
      <x:c r="T118" s="8"/>
      <x:c r="U118" s="13"/>
      <x:c r="V118" s="7"/>
      <x:c r="W118" s="7"/>
      <x:c r="X118" s="9" t="str">
        <x:f>IF($A118="","",SUMIF(Purchase_Items!$A$2:$A$501,$A118,Purchase_Items!$P$2:$P$501))</x:f>
      </x:c>
      <x:c r="Y118" s="9" t="str">
        <x:f>IF($A118="","",$X118*$I118/100)</x:f>
      </x:c>
      <x:c r="Z118" s="9" t="str">
        <x:f>IF($A118="","",MAX(0,($X118-$Y118)*$K118/100))</x:f>
      </x:c>
      <x:c r="AA118" s="9" t="str">
        <x:f>IF($A118="","",MAX(0,($X118-$Y118)*$L118/100))</x:f>
      </x:c>
      <x:c r="AB118" s="9" t="str">
        <x:f>IF($A118="","",MAX(0,($X118-$Y118)*$M118/100))</x:f>
      </x:c>
      <x:c r="AC118" s="9" t="str">
        <x:f>IF($A118="","",MAX(0,($X118-$Y118)+$J118+$Z118+$N118-$AA118-$AB118-$O118))</x:f>
      </x:c>
    </x:row>
    <x:row r="119">
      <x:c r="A119" s="13"/>
      <x:c r="B119" s="14"/>
      <x:c r="C119" s="8"/>
      <x:c r="D119" s="13"/>
      <x:c r="E119" s="7"/>
      <x:c r="F119" s="13"/>
      <x:c r="G119" s="7"/>
      <x:c r="H119" s="7"/>
      <x:c r="I119" s="10"/>
      <x:c r="J119" s="9"/>
      <x:c r="K119" s="10"/>
      <x:c r="L119" s="10"/>
      <x:c r="M119" s="10"/>
      <x:c r="N119" s="9"/>
      <x:c r="O119" s="9"/>
      <x:c r="P119" s="7"/>
      <x:c r="Q119" s="9"/>
      <x:c r="R119" s="8"/>
      <x:c r="S119" s="9"/>
      <x:c r="T119" s="8"/>
      <x:c r="U119" s="13"/>
      <x:c r="V119" s="7"/>
      <x:c r="W119" s="7"/>
      <x:c r="X119" s="9" t="str">
        <x:f>IF($A119="","",SUMIF(Purchase_Items!$A$2:$A$501,$A119,Purchase_Items!$P$2:$P$501))</x:f>
      </x:c>
      <x:c r="Y119" s="9" t="str">
        <x:f>IF($A119="","",$X119*$I119/100)</x:f>
      </x:c>
      <x:c r="Z119" s="9" t="str">
        <x:f>IF($A119="","",MAX(0,($X119-$Y119)*$K119/100))</x:f>
      </x:c>
      <x:c r="AA119" s="9" t="str">
        <x:f>IF($A119="","",MAX(0,($X119-$Y119)*$L119/100))</x:f>
      </x:c>
      <x:c r="AB119" s="9" t="str">
        <x:f>IF($A119="","",MAX(0,($X119-$Y119)*$M119/100))</x:f>
      </x:c>
      <x:c r="AC119" s="9" t="str">
        <x:f>IF($A119="","",MAX(0,($X119-$Y119)+$J119+$Z119+$N119-$AA119-$AB119-$O119))</x:f>
      </x:c>
    </x:row>
    <x:row r="120">
      <x:c r="A120" s="13"/>
      <x:c r="B120" s="14"/>
      <x:c r="C120" s="8"/>
      <x:c r="D120" s="13"/>
      <x:c r="E120" s="7"/>
      <x:c r="F120" s="13"/>
      <x:c r="G120" s="7"/>
      <x:c r="H120" s="7"/>
      <x:c r="I120" s="10"/>
      <x:c r="J120" s="9"/>
      <x:c r="K120" s="10"/>
      <x:c r="L120" s="10"/>
      <x:c r="M120" s="10"/>
      <x:c r="N120" s="9"/>
      <x:c r="O120" s="9"/>
      <x:c r="P120" s="7"/>
      <x:c r="Q120" s="9"/>
      <x:c r="R120" s="8"/>
      <x:c r="S120" s="9"/>
      <x:c r="T120" s="8"/>
      <x:c r="U120" s="13"/>
      <x:c r="V120" s="7"/>
      <x:c r="W120" s="7"/>
      <x:c r="X120" s="9" t="str">
        <x:f>IF($A120="","",SUMIF(Purchase_Items!$A$2:$A$501,$A120,Purchase_Items!$P$2:$P$501))</x:f>
      </x:c>
      <x:c r="Y120" s="9" t="str">
        <x:f>IF($A120="","",$X120*$I120/100)</x:f>
      </x:c>
      <x:c r="Z120" s="9" t="str">
        <x:f>IF($A120="","",MAX(0,($X120-$Y120)*$K120/100))</x:f>
      </x:c>
      <x:c r="AA120" s="9" t="str">
        <x:f>IF($A120="","",MAX(0,($X120-$Y120)*$L120/100))</x:f>
      </x:c>
      <x:c r="AB120" s="9" t="str">
        <x:f>IF($A120="","",MAX(0,($X120-$Y120)*$M120/100))</x:f>
      </x:c>
      <x:c r="AC120" s="9" t="str">
        <x:f>IF($A120="","",MAX(0,($X120-$Y120)+$J120+$Z120+$N120-$AA120-$AB120-$O120))</x:f>
      </x:c>
    </x:row>
    <x:row r="121">
      <x:c r="A121" s="13"/>
      <x:c r="B121" s="14"/>
      <x:c r="C121" s="8"/>
      <x:c r="D121" s="13"/>
      <x:c r="E121" s="7"/>
      <x:c r="F121" s="13"/>
      <x:c r="G121" s="7"/>
      <x:c r="H121" s="7"/>
      <x:c r="I121" s="10"/>
      <x:c r="J121" s="9"/>
      <x:c r="K121" s="10"/>
      <x:c r="L121" s="10"/>
      <x:c r="M121" s="10"/>
      <x:c r="N121" s="9"/>
      <x:c r="O121" s="9"/>
      <x:c r="P121" s="7"/>
      <x:c r="Q121" s="9"/>
      <x:c r="R121" s="8"/>
      <x:c r="S121" s="9"/>
      <x:c r="T121" s="8"/>
      <x:c r="U121" s="13"/>
      <x:c r="V121" s="7"/>
      <x:c r="W121" s="7"/>
      <x:c r="X121" s="9" t="str">
        <x:f>IF($A121="","",SUMIF(Purchase_Items!$A$2:$A$501,$A121,Purchase_Items!$P$2:$P$501))</x:f>
      </x:c>
      <x:c r="Y121" s="9" t="str">
        <x:f>IF($A121="","",$X121*$I121/100)</x:f>
      </x:c>
      <x:c r="Z121" s="9" t="str">
        <x:f>IF($A121="","",MAX(0,($X121-$Y121)*$K121/100))</x:f>
      </x:c>
      <x:c r="AA121" s="9" t="str">
        <x:f>IF($A121="","",MAX(0,($X121-$Y121)*$L121/100))</x:f>
      </x:c>
      <x:c r="AB121" s="9" t="str">
        <x:f>IF($A121="","",MAX(0,($X121-$Y121)*$M121/100))</x:f>
      </x:c>
      <x:c r="AC121" s="9" t="str">
        <x:f>IF($A121="","",MAX(0,($X121-$Y121)+$J121+$Z121+$N121-$AA121-$AB121-$O121))</x:f>
      </x:c>
    </x:row>
    <x:row r="122">
      <x:c r="A122" s="13"/>
      <x:c r="B122" s="14"/>
      <x:c r="C122" s="8"/>
      <x:c r="D122" s="13"/>
      <x:c r="E122" s="7"/>
      <x:c r="F122" s="13"/>
      <x:c r="G122" s="7"/>
      <x:c r="H122" s="7"/>
      <x:c r="I122" s="10"/>
      <x:c r="J122" s="9"/>
      <x:c r="K122" s="10"/>
      <x:c r="L122" s="10"/>
      <x:c r="M122" s="10"/>
      <x:c r="N122" s="9"/>
      <x:c r="O122" s="9"/>
      <x:c r="P122" s="7"/>
      <x:c r="Q122" s="9"/>
      <x:c r="R122" s="8"/>
      <x:c r="S122" s="9"/>
      <x:c r="T122" s="8"/>
      <x:c r="U122" s="13"/>
      <x:c r="V122" s="7"/>
      <x:c r="W122" s="7"/>
      <x:c r="X122" s="9" t="str">
        <x:f>IF($A122="","",SUMIF(Purchase_Items!$A$2:$A$501,$A122,Purchase_Items!$P$2:$P$501))</x:f>
      </x:c>
      <x:c r="Y122" s="9" t="str">
        <x:f>IF($A122="","",$X122*$I122/100)</x:f>
      </x:c>
      <x:c r="Z122" s="9" t="str">
        <x:f>IF($A122="","",MAX(0,($X122-$Y122)*$K122/100))</x:f>
      </x:c>
      <x:c r="AA122" s="9" t="str">
        <x:f>IF($A122="","",MAX(0,($X122-$Y122)*$L122/100))</x:f>
      </x:c>
      <x:c r="AB122" s="9" t="str">
        <x:f>IF($A122="","",MAX(0,($X122-$Y122)*$M122/100))</x:f>
      </x:c>
      <x:c r="AC122" s="9" t="str">
        <x:f>IF($A122="","",MAX(0,($X122-$Y122)+$J122+$Z122+$N122-$AA122-$AB122-$O122))</x:f>
      </x:c>
    </x:row>
    <x:row r="123">
      <x:c r="A123" s="13"/>
      <x:c r="B123" s="14"/>
      <x:c r="C123" s="8"/>
      <x:c r="D123" s="13"/>
      <x:c r="E123" s="7"/>
      <x:c r="F123" s="13"/>
      <x:c r="G123" s="7"/>
      <x:c r="H123" s="7"/>
      <x:c r="I123" s="10"/>
      <x:c r="J123" s="9"/>
      <x:c r="K123" s="10"/>
      <x:c r="L123" s="10"/>
      <x:c r="M123" s="10"/>
      <x:c r="N123" s="9"/>
      <x:c r="O123" s="9"/>
      <x:c r="P123" s="7"/>
      <x:c r="Q123" s="9"/>
      <x:c r="R123" s="8"/>
      <x:c r="S123" s="9"/>
      <x:c r="T123" s="8"/>
      <x:c r="U123" s="13"/>
      <x:c r="V123" s="7"/>
      <x:c r="W123" s="7"/>
      <x:c r="X123" s="9" t="str">
        <x:f>IF($A123="","",SUMIF(Purchase_Items!$A$2:$A$501,$A123,Purchase_Items!$P$2:$P$501))</x:f>
      </x:c>
      <x:c r="Y123" s="9" t="str">
        <x:f>IF($A123="","",$X123*$I123/100)</x:f>
      </x:c>
      <x:c r="Z123" s="9" t="str">
        <x:f>IF($A123="","",MAX(0,($X123-$Y123)*$K123/100))</x:f>
      </x:c>
      <x:c r="AA123" s="9" t="str">
        <x:f>IF($A123="","",MAX(0,($X123-$Y123)*$L123/100))</x:f>
      </x:c>
      <x:c r="AB123" s="9" t="str">
        <x:f>IF($A123="","",MAX(0,($X123-$Y123)*$M123/100))</x:f>
      </x:c>
      <x:c r="AC123" s="9" t="str">
        <x:f>IF($A123="","",MAX(0,($X123-$Y123)+$J123+$Z123+$N123-$AA123-$AB123-$O123))</x:f>
      </x:c>
    </x:row>
    <x:row r="124">
      <x:c r="A124" s="13"/>
      <x:c r="B124" s="14"/>
      <x:c r="C124" s="8"/>
      <x:c r="D124" s="13"/>
      <x:c r="E124" s="7"/>
      <x:c r="F124" s="13"/>
      <x:c r="G124" s="7"/>
      <x:c r="H124" s="7"/>
      <x:c r="I124" s="10"/>
      <x:c r="J124" s="9"/>
      <x:c r="K124" s="10"/>
      <x:c r="L124" s="10"/>
      <x:c r="M124" s="10"/>
      <x:c r="N124" s="9"/>
      <x:c r="O124" s="9"/>
      <x:c r="P124" s="7"/>
      <x:c r="Q124" s="9"/>
      <x:c r="R124" s="8"/>
      <x:c r="S124" s="9"/>
      <x:c r="T124" s="8"/>
      <x:c r="U124" s="13"/>
      <x:c r="V124" s="7"/>
      <x:c r="W124" s="7"/>
      <x:c r="X124" s="9" t="str">
        <x:f>IF($A124="","",SUMIF(Purchase_Items!$A$2:$A$501,$A124,Purchase_Items!$P$2:$P$501))</x:f>
      </x:c>
      <x:c r="Y124" s="9" t="str">
        <x:f>IF($A124="","",$X124*$I124/100)</x:f>
      </x:c>
      <x:c r="Z124" s="9" t="str">
        <x:f>IF($A124="","",MAX(0,($X124-$Y124)*$K124/100))</x:f>
      </x:c>
      <x:c r="AA124" s="9" t="str">
        <x:f>IF($A124="","",MAX(0,($X124-$Y124)*$L124/100))</x:f>
      </x:c>
      <x:c r="AB124" s="9" t="str">
        <x:f>IF($A124="","",MAX(0,($X124-$Y124)*$M124/100))</x:f>
      </x:c>
      <x:c r="AC124" s="9" t="str">
        <x:f>IF($A124="","",MAX(0,($X124-$Y124)+$J124+$Z124+$N124-$AA124-$AB124-$O124))</x:f>
      </x:c>
    </x:row>
    <x:row r="125">
      <x:c r="A125" s="13"/>
      <x:c r="B125" s="14"/>
      <x:c r="C125" s="8"/>
      <x:c r="D125" s="13"/>
      <x:c r="E125" s="7"/>
      <x:c r="F125" s="13"/>
      <x:c r="G125" s="7"/>
      <x:c r="H125" s="7"/>
      <x:c r="I125" s="10"/>
      <x:c r="J125" s="9"/>
      <x:c r="K125" s="10"/>
      <x:c r="L125" s="10"/>
      <x:c r="M125" s="10"/>
      <x:c r="N125" s="9"/>
      <x:c r="O125" s="9"/>
      <x:c r="P125" s="7"/>
      <x:c r="Q125" s="9"/>
      <x:c r="R125" s="8"/>
      <x:c r="S125" s="9"/>
      <x:c r="T125" s="8"/>
      <x:c r="U125" s="13"/>
      <x:c r="V125" s="7"/>
      <x:c r="W125" s="7"/>
      <x:c r="X125" s="9" t="str">
        <x:f>IF($A125="","",SUMIF(Purchase_Items!$A$2:$A$501,$A125,Purchase_Items!$P$2:$P$501))</x:f>
      </x:c>
      <x:c r="Y125" s="9" t="str">
        <x:f>IF($A125="","",$X125*$I125/100)</x:f>
      </x:c>
      <x:c r="Z125" s="9" t="str">
        <x:f>IF($A125="","",MAX(0,($X125-$Y125)*$K125/100))</x:f>
      </x:c>
      <x:c r="AA125" s="9" t="str">
        <x:f>IF($A125="","",MAX(0,($X125-$Y125)*$L125/100))</x:f>
      </x:c>
      <x:c r="AB125" s="9" t="str">
        <x:f>IF($A125="","",MAX(0,($X125-$Y125)*$M125/100))</x:f>
      </x:c>
      <x:c r="AC125" s="9" t="str">
        <x:f>IF($A125="","",MAX(0,($X125-$Y125)+$J125+$Z125+$N125-$AA125-$AB125-$O125))</x:f>
      </x:c>
    </x:row>
    <x:row r="126">
      <x:c r="A126" s="13"/>
      <x:c r="B126" s="14"/>
      <x:c r="C126" s="8"/>
      <x:c r="D126" s="13"/>
      <x:c r="E126" s="7"/>
      <x:c r="F126" s="13"/>
      <x:c r="G126" s="7"/>
      <x:c r="H126" s="7"/>
      <x:c r="I126" s="10"/>
      <x:c r="J126" s="9"/>
      <x:c r="K126" s="10"/>
      <x:c r="L126" s="10"/>
      <x:c r="M126" s="10"/>
      <x:c r="N126" s="9"/>
      <x:c r="O126" s="9"/>
      <x:c r="P126" s="7"/>
      <x:c r="Q126" s="9"/>
      <x:c r="R126" s="8"/>
      <x:c r="S126" s="9"/>
      <x:c r="T126" s="8"/>
      <x:c r="U126" s="13"/>
      <x:c r="V126" s="7"/>
      <x:c r="W126" s="7"/>
      <x:c r="X126" s="9" t="str">
        <x:f>IF($A126="","",SUMIF(Purchase_Items!$A$2:$A$501,$A126,Purchase_Items!$P$2:$P$501))</x:f>
      </x:c>
      <x:c r="Y126" s="9" t="str">
        <x:f>IF($A126="","",$X126*$I126/100)</x:f>
      </x:c>
      <x:c r="Z126" s="9" t="str">
        <x:f>IF($A126="","",MAX(0,($X126-$Y126)*$K126/100))</x:f>
      </x:c>
      <x:c r="AA126" s="9" t="str">
        <x:f>IF($A126="","",MAX(0,($X126-$Y126)*$L126/100))</x:f>
      </x:c>
      <x:c r="AB126" s="9" t="str">
        <x:f>IF($A126="","",MAX(0,($X126-$Y126)*$M126/100))</x:f>
      </x:c>
      <x:c r="AC126" s="9" t="str">
        <x:f>IF($A126="","",MAX(0,($X126-$Y126)+$J126+$Z126+$N126-$AA126-$AB126-$O126))</x:f>
      </x:c>
    </x:row>
    <x:row r="127">
      <x:c r="A127" s="13"/>
      <x:c r="B127" s="14"/>
      <x:c r="C127" s="8"/>
      <x:c r="D127" s="13"/>
      <x:c r="E127" s="7"/>
      <x:c r="F127" s="13"/>
      <x:c r="G127" s="7"/>
      <x:c r="H127" s="7"/>
      <x:c r="I127" s="10"/>
      <x:c r="J127" s="9"/>
      <x:c r="K127" s="10"/>
      <x:c r="L127" s="10"/>
      <x:c r="M127" s="10"/>
      <x:c r="N127" s="9"/>
      <x:c r="O127" s="9"/>
      <x:c r="P127" s="7"/>
      <x:c r="Q127" s="9"/>
      <x:c r="R127" s="8"/>
      <x:c r="S127" s="9"/>
      <x:c r="T127" s="8"/>
      <x:c r="U127" s="13"/>
      <x:c r="V127" s="7"/>
      <x:c r="W127" s="7"/>
      <x:c r="X127" s="9" t="str">
        <x:f>IF($A127="","",SUMIF(Purchase_Items!$A$2:$A$501,$A127,Purchase_Items!$P$2:$P$501))</x:f>
      </x:c>
      <x:c r="Y127" s="9" t="str">
        <x:f>IF($A127="","",$X127*$I127/100)</x:f>
      </x:c>
      <x:c r="Z127" s="9" t="str">
        <x:f>IF($A127="","",MAX(0,($X127-$Y127)*$K127/100))</x:f>
      </x:c>
      <x:c r="AA127" s="9" t="str">
        <x:f>IF($A127="","",MAX(0,($X127-$Y127)*$L127/100))</x:f>
      </x:c>
      <x:c r="AB127" s="9" t="str">
        <x:f>IF($A127="","",MAX(0,($X127-$Y127)*$M127/100))</x:f>
      </x:c>
      <x:c r="AC127" s="9" t="str">
        <x:f>IF($A127="","",MAX(0,($X127-$Y127)+$J127+$Z127+$N127-$AA127-$AB127-$O127))</x:f>
      </x:c>
    </x:row>
    <x:row r="128">
      <x:c r="A128" s="13"/>
      <x:c r="B128" s="14"/>
      <x:c r="C128" s="8"/>
      <x:c r="D128" s="13"/>
      <x:c r="E128" s="7"/>
      <x:c r="F128" s="13"/>
      <x:c r="G128" s="7"/>
      <x:c r="H128" s="7"/>
      <x:c r="I128" s="10"/>
      <x:c r="J128" s="9"/>
      <x:c r="K128" s="10"/>
      <x:c r="L128" s="10"/>
      <x:c r="M128" s="10"/>
      <x:c r="N128" s="9"/>
      <x:c r="O128" s="9"/>
      <x:c r="P128" s="7"/>
      <x:c r="Q128" s="9"/>
      <x:c r="R128" s="8"/>
      <x:c r="S128" s="9"/>
      <x:c r="T128" s="8"/>
      <x:c r="U128" s="13"/>
      <x:c r="V128" s="7"/>
      <x:c r="W128" s="7"/>
      <x:c r="X128" s="9" t="str">
        <x:f>IF($A128="","",SUMIF(Purchase_Items!$A$2:$A$501,$A128,Purchase_Items!$P$2:$P$501))</x:f>
      </x:c>
      <x:c r="Y128" s="9" t="str">
        <x:f>IF($A128="","",$X128*$I128/100)</x:f>
      </x:c>
      <x:c r="Z128" s="9" t="str">
        <x:f>IF($A128="","",MAX(0,($X128-$Y128)*$K128/100))</x:f>
      </x:c>
      <x:c r="AA128" s="9" t="str">
        <x:f>IF($A128="","",MAX(0,($X128-$Y128)*$L128/100))</x:f>
      </x:c>
      <x:c r="AB128" s="9" t="str">
        <x:f>IF($A128="","",MAX(0,($X128-$Y128)*$M128/100))</x:f>
      </x:c>
      <x:c r="AC128" s="9" t="str">
        <x:f>IF($A128="","",MAX(0,($X128-$Y128)+$J128+$Z128+$N128-$AA128-$AB128-$O128))</x:f>
      </x:c>
    </x:row>
    <x:row r="129">
      <x:c r="A129" s="13"/>
      <x:c r="B129" s="14"/>
      <x:c r="C129" s="8"/>
      <x:c r="D129" s="13"/>
      <x:c r="E129" s="7"/>
      <x:c r="F129" s="13"/>
      <x:c r="G129" s="7"/>
      <x:c r="H129" s="7"/>
      <x:c r="I129" s="10"/>
      <x:c r="J129" s="9"/>
      <x:c r="K129" s="10"/>
      <x:c r="L129" s="10"/>
      <x:c r="M129" s="10"/>
      <x:c r="N129" s="9"/>
      <x:c r="O129" s="9"/>
      <x:c r="P129" s="7"/>
      <x:c r="Q129" s="9"/>
      <x:c r="R129" s="8"/>
      <x:c r="S129" s="9"/>
      <x:c r="T129" s="8"/>
      <x:c r="U129" s="13"/>
      <x:c r="V129" s="7"/>
      <x:c r="W129" s="7"/>
      <x:c r="X129" s="9" t="str">
        <x:f>IF($A129="","",SUMIF(Purchase_Items!$A$2:$A$501,$A129,Purchase_Items!$P$2:$P$501))</x:f>
      </x:c>
      <x:c r="Y129" s="9" t="str">
        <x:f>IF($A129="","",$X129*$I129/100)</x:f>
      </x:c>
      <x:c r="Z129" s="9" t="str">
        <x:f>IF($A129="","",MAX(0,($X129-$Y129)*$K129/100))</x:f>
      </x:c>
      <x:c r="AA129" s="9" t="str">
        <x:f>IF($A129="","",MAX(0,($X129-$Y129)*$L129/100))</x:f>
      </x:c>
      <x:c r="AB129" s="9" t="str">
        <x:f>IF($A129="","",MAX(0,($X129-$Y129)*$M129/100))</x:f>
      </x:c>
      <x:c r="AC129" s="9" t="str">
        <x:f>IF($A129="","",MAX(0,($X129-$Y129)+$J129+$Z129+$N129-$AA129-$AB129-$O129))</x:f>
      </x:c>
    </x:row>
    <x:row r="130">
      <x:c r="A130" s="13"/>
      <x:c r="B130" s="14"/>
      <x:c r="C130" s="8"/>
      <x:c r="D130" s="13"/>
      <x:c r="E130" s="7"/>
      <x:c r="F130" s="13"/>
      <x:c r="G130" s="7"/>
      <x:c r="H130" s="7"/>
      <x:c r="I130" s="10"/>
      <x:c r="J130" s="9"/>
      <x:c r="K130" s="10"/>
      <x:c r="L130" s="10"/>
      <x:c r="M130" s="10"/>
      <x:c r="N130" s="9"/>
      <x:c r="O130" s="9"/>
      <x:c r="P130" s="7"/>
      <x:c r="Q130" s="9"/>
      <x:c r="R130" s="8"/>
      <x:c r="S130" s="9"/>
      <x:c r="T130" s="8"/>
      <x:c r="U130" s="13"/>
      <x:c r="V130" s="7"/>
      <x:c r="W130" s="7"/>
      <x:c r="X130" s="9" t="str">
        <x:f>IF($A130="","",SUMIF(Purchase_Items!$A$2:$A$501,$A130,Purchase_Items!$P$2:$P$501))</x:f>
      </x:c>
      <x:c r="Y130" s="9" t="str">
        <x:f>IF($A130="","",$X130*$I130/100)</x:f>
      </x:c>
      <x:c r="Z130" s="9" t="str">
        <x:f>IF($A130="","",MAX(0,($X130-$Y130)*$K130/100))</x:f>
      </x:c>
      <x:c r="AA130" s="9" t="str">
        <x:f>IF($A130="","",MAX(0,($X130-$Y130)*$L130/100))</x:f>
      </x:c>
      <x:c r="AB130" s="9" t="str">
        <x:f>IF($A130="","",MAX(0,($X130-$Y130)*$M130/100))</x:f>
      </x:c>
      <x:c r="AC130" s="9" t="str">
        <x:f>IF($A130="","",MAX(0,($X130-$Y130)+$J130+$Z130+$N130-$AA130-$AB130-$O130))</x:f>
      </x:c>
    </x:row>
    <x:row r="131">
      <x:c r="A131" s="13"/>
      <x:c r="B131" s="14"/>
      <x:c r="C131" s="8"/>
      <x:c r="D131" s="13"/>
      <x:c r="E131" s="7"/>
      <x:c r="F131" s="13"/>
      <x:c r="G131" s="7"/>
      <x:c r="H131" s="7"/>
      <x:c r="I131" s="10"/>
      <x:c r="J131" s="9"/>
      <x:c r="K131" s="10"/>
      <x:c r="L131" s="10"/>
      <x:c r="M131" s="10"/>
      <x:c r="N131" s="9"/>
      <x:c r="O131" s="9"/>
      <x:c r="P131" s="7"/>
      <x:c r="Q131" s="9"/>
      <x:c r="R131" s="8"/>
      <x:c r="S131" s="9"/>
      <x:c r="T131" s="8"/>
      <x:c r="U131" s="13"/>
      <x:c r="V131" s="7"/>
      <x:c r="W131" s="7"/>
      <x:c r="X131" s="9" t="str">
        <x:f>IF($A131="","",SUMIF(Purchase_Items!$A$2:$A$501,$A131,Purchase_Items!$P$2:$P$501))</x:f>
      </x:c>
      <x:c r="Y131" s="9" t="str">
        <x:f>IF($A131="","",$X131*$I131/100)</x:f>
      </x:c>
      <x:c r="Z131" s="9" t="str">
        <x:f>IF($A131="","",MAX(0,($X131-$Y131)*$K131/100))</x:f>
      </x:c>
      <x:c r="AA131" s="9" t="str">
        <x:f>IF($A131="","",MAX(0,($X131-$Y131)*$L131/100))</x:f>
      </x:c>
      <x:c r="AB131" s="9" t="str">
        <x:f>IF($A131="","",MAX(0,($X131-$Y131)*$M131/100))</x:f>
      </x:c>
      <x:c r="AC131" s="9" t="str">
        <x:f>IF($A131="","",MAX(0,($X131-$Y131)+$J131+$Z131+$N131-$AA131-$AB131-$O131))</x:f>
      </x:c>
    </x:row>
    <x:row r="132">
      <x:c r="A132" s="13"/>
      <x:c r="B132" s="14"/>
      <x:c r="C132" s="8"/>
      <x:c r="D132" s="13"/>
      <x:c r="E132" s="7"/>
      <x:c r="F132" s="13"/>
      <x:c r="G132" s="7"/>
      <x:c r="H132" s="7"/>
      <x:c r="I132" s="10"/>
      <x:c r="J132" s="9"/>
      <x:c r="K132" s="10"/>
      <x:c r="L132" s="10"/>
      <x:c r="M132" s="10"/>
      <x:c r="N132" s="9"/>
      <x:c r="O132" s="9"/>
      <x:c r="P132" s="7"/>
      <x:c r="Q132" s="9"/>
      <x:c r="R132" s="8"/>
      <x:c r="S132" s="9"/>
      <x:c r="T132" s="8"/>
      <x:c r="U132" s="13"/>
      <x:c r="V132" s="7"/>
      <x:c r="W132" s="7"/>
      <x:c r="X132" s="9" t="str">
        <x:f>IF($A132="","",SUMIF(Purchase_Items!$A$2:$A$501,$A132,Purchase_Items!$P$2:$P$501))</x:f>
      </x:c>
      <x:c r="Y132" s="9" t="str">
        <x:f>IF($A132="","",$X132*$I132/100)</x:f>
      </x:c>
      <x:c r="Z132" s="9" t="str">
        <x:f>IF($A132="","",MAX(0,($X132-$Y132)*$K132/100))</x:f>
      </x:c>
      <x:c r="AA132" s="9" t="str">
        <x:f>IF($A132="","",MAX(0,($X132-$Y132)*$L132/100))</x:f>
      </x:c>
      <x:c r="AB132" s="9" t="str">
        <x:f>IF($A132="","",MAX(0,($X132-$Y132)*$M132/100))</x:f>
      </x:c>
      <x:c r="AC132" s="9" t="str">
        <x:f>IF($A132="","",MAX(0,($X132-$Y132)+$J132+$Z132+$N132-$AA132-$AB132-$O132))</x:f>
      </x:c>
    </x:row>
    <x:row r="133">
      <x:c r="A133" s="13"/>
      <x:c r="B133" s="14"/>
      <x:c r="C133" s="8"/>
      <x:c r="D133" s="13"/>
      <x:c r="E133" s="7"/>
      <x:c r="F133" s="13"/>
      <x:c r="G133" s="7"/>
      <x:c r="H133" s="7"/>
      <x:c r="I133" s="10"/>
      <x:c r="J133" s="9"/>
      <x:c r="K133" s="10"/>
      <x:c r="L133" s="10"/>
      <x:c r="M133" s="10"/>
      <x:c r="N133" s="9"/>
      <x:c r="O133" s="9"/>
      <x:c r="P133" s="7"/>
      <x:c r="Q133" s="9"/>
      <x:c r="R133" s="8"/>
      <x:c r="S133" s="9"/>
      <x:c r="T133" s="8"/>
      <x:c r="U133" s="13"/>
      <x:c r="V133" s="7"/>
      <x:c r="W133" s="7"/>
      <x:c r="X133" s="9" t="str">
        <x:f>IF($A133="","",SUMIF(Purchase_Items!$A$2:$A$501,$A133,Purchase_Items!$P$2:$P$501))</x:f>
      </x:c>
      <x:c r="Y133" s="9" t="str">
        <x:f>IF($A133="","",$X133*$I133/100)</x:f>
      </x:c>
      <x:c r="Z133" s="9" t="str">
        <x:f>IF($A133="","",MAX(0,($X133-$Y133)*$K133/100))</x:f>
      </x:c>
      <x:c r="AA133" s="9" t="str">
        <x:f>IF($A133="","",MAX(0,($X133-$Y133)*$L133/100))</x:f>
      </x:c>
      <x:c r="AB133" s="9" t="str">
        <x:f>IF($A133="","",MAX(0,($X133-$Y133)*$M133/100))</x:f>
      </x:c>
      <x:c r="AC133" s="9" t="str">
        <x:f>IF($A133="","",MAX(0,($X133-$Y133)+$J133+$Z133+$N133-$AA133-$AB133-$O133))</x:f>
      </x:c>
    </x:row>
    <x:row r="134">
      <x:c r="A134" s="13"/>
      <x:c r="B134" s="14"/>
      <x:c r="C134" s="8"/>
      <x:c r="D134" s="13"/>
      <x:c r="E134" s="7"/>
      <x:c r="F134" s="13"/>
      <x:c r="G134" s="7"/>
      <x:c r="H134" s="7"/>
      <x:c r="I134" s="10"/>
      <x:c r="J134" s="9"/>
      <x:c r="K134" s="10"/>
      <x:c r="L134" s="10"/>
      <x:c r="M134" s="10"/>
      <x:c r="N134" s="9"/>
      <x:c r="O134" s="9"/>
      <x:c r="P134" s="7"/>
      <x:c r="Q134" s="9"/>
      <x:c r="R134" s="8"/>
      <x:c r="S134" s="9"/>
      <x:c r="T134" s="8"/>
      <x:c r="U134" s="13"/>
      <x:c r="V134" s="7"/>
      <x:c r="W134" s="7"/>
      <x:c r="X134" s="9" t="str">
        <x:f>IF($A134="","",SUMIF(Purchase_Items!$A$2:$A$501,$A134,Purchase_Items!$P$2:$P$501))</x:f>
      </x:c>
      <x:c r="Y134" s="9" t="str">
        <x:f>IF($A134="","",$X134*$I134/100)</x:f>
      </x:c>
      <x:c r="Z134" s="9" t="str">
        <x:f>IF($A134="","",MAX(0,($X134-$Y134)*$K134/100))</x:f>
      </x:c>
      <x:c r="AA134" s="9" t="str">
        <x:f>IF($A134="","",MAX(0,($X134-$Y134)*$L134/100))</x:f>
      </x:c>
      <x:c r="AB134" s="9" t="str">
        <x:f>IF($A134="","",MAX(0,($X134-$Y134)*$M134/100))</x:f>
      </x:c>
      <x:c r="AC134" s="9" t="str">
        <x:f>IF($A134="","",MAX(0,($X134-$Y134)+$J134+$Z134+$N134-$AA134-$AB134-$O134))</x:f>
      </x:c>
    </x:row>
    <x:row r="135">
      <x:c r="A135" s="13"/>
      <x:c r="B135" s="14"/>
      <x:c r="C135" s="8"/>
      <x:c r="D135" s="13"/>
      <x:c r="E135" s="7"/>
      <x:c r="F135" s="13"/>
      <x:c r="G135" s="7"/>
      <x:c r="H135" s="7"/>
      <x:c r="I135" s="10"/>
      <x:c r="J135" s="9"/>
      <x:c r="K135" s="10"/>
      <x:c r="L135" s="10"/>
      <x:c r="M135" s="10"/>
      <x:c r="N135" s="9"/>
      <x:c r="O135" s="9"/>
      <x:c r="P135" s="7"/>
      <x:c r="Q135" s="9"/>
      <x:c r="R135" s="8"/>
      <x:c r="S135" s="9"/>
      <x:c r="T135" s="8"/>
      <x:c r="U135" s="13"/>
      <x:c r="V135" s="7"/>
      <x:c r="W135" s="7"/>
      <x:c r="X135" s="9" t="str">
        <x:f>IF($A135="","",SUMIF(Purchase_Items!$A$2:$A$501,$A135,Purchase_Items!$P$2:$P$501))</x:f>
      </x:c>
      <x:c r="Y135" s="9" t="str">
        <x:f>IF($A135="","",$X135*$I135/100)</x:f>
      </x:c>
      <x:c r="Z135" s="9" t="str">
        <x:f>IF($A135="","",MAX(0,($X135-$Y135)*$K135/100))</x:f>
      </x:c>
      <x:c r="AA135" s="9" t="str">
        <x:f>IF($A135="","",MAX(0,($X135-$Y135)*$L135/100))</x:f>
      </x:c>
      <x:c r="AB135" s="9" t="str">
        <x:f>IF($A135="","",MAX(0,($X135-$Y135)*$M135/100))</x:f>
      </x:c>
      <x:c r="AC135" s="9" t="str">
        <x:f>IF($A135="","",MAX(0,($X135-$Y135)+$J135+$Z135+$N135-$AA135-$AB135-$O135))</x:f>
      </x:c>
    </x:row>
    <x:row r="136">
      <x:c r="A136" s="13"/>
      <x:c r="B136" s="14"/>
      <x:c r="C136" s="8"/>
      <x:c r="D136" s="13"/>
      <x:c r="E136" s="7"/>
      <x:c r="F136" s="13"/>
      <x:c r="G136" s="7"/>
      <x:c r="H136" s="7"/>
      <x:c r="I136" s="10"/>
      <x:c r="J136" s="9"/>
      <x:c r="K136" s="10"/>
      <x:c r="L136" s="10"/>
      <x:c r="M136" s="10"/>
      <x:c r="N136" s="9"/>
      <x:c r="O136" s="9"/>
      <x:c r="P136" s="7"/>
      <x:c r="Q136" s="9"/>
      <x:c r="R136" s="8"/>
      <x:c r="S136" s="9"/>
      <x:c r="T136" s="8"/>
      <x:c r="U136" s="13"/>
      <x:c r="V136" s="7"/>
      <x:c r="W136" s="7"/>
      <x:c r="X136" s="9" t="str">
        <x:f>IF($A136="","",SUMIF(Purchase_Items!$A$2:$A$501,$A136,Purchase_Items!$P$2:$P$501))</x:f>
      </x:c>
      <x:c r="Y136" s="9" t="str">
        <x:f>IF($A136="","",$X136*$I136/100)</x:f>
      </x:c>
      <x:c r="Z136" s="9" t="str">
        <x:f>IF($A136="","",MAX(0,($X136-$Y136)*$K136/100))</x:f>
      </x:c>
      <x:c r="AA136" s="9" t="str">
        <x:f>IF($A136="","",MAX(0,($X136-$Y136)*$L136/100))</x:f>
      </x:c>
      <x:c r="AB136" s="9" t="str">
        <x:f>IF($A136="","",MAX(0,($X136-$Y136)*$M136/100))</x:f>
      </x:c>
      <x:c r="AC136" s="9" t="str">
        <x:f>IF($A136="","",MAX(0,($X136-$Y136)+$J136+$Z136+$N136-$AA136-$AB136-$O136))</x:f>
      </x:c>
    </x:row>
    <x:row r="137">
      <x:c r="A137" s="13"/>
      <x:c r="B137" s="14"/>
      <x:c r="C137" s="8"/>
      <x:c r="D137" s="13"/>
      <x:c r="E137" s="7"/>
      <x:c r="F137" s="13"/>
      <x:c r="G137" s="7"/>
      <x:c r="H137" s="7"/>
      <x:c r="I137" s="10"/>
      <x:c r="J137" s="9"/>
      <x:c r="K137" s="10"/>
      <x:c r="L137" s="10"/>
      <x:c r="M137" s="10"/>
      <x:c r="N137" s="9"/>
      <x:c r="O137" s="9"/>
      <x:c r="P137" s="7"/>
      <x:c r="Q137" s="9"/>
      <x:c r="R137" s="8"/>
      <x:c r="S137" s="9"/>
      <x:c r="T137" s="8"/>
      <x:c r="U137" s="13"/>
      <x:c r="V137" s="7"/>
      <x:c r="W137" s="7"/>
      <x:c r="X137" s="9" t="str">
        <x:f>IF($A137="","",SUMIF(Purchase_Items!$A$2:$A$501,$A137,Purchase_Items!$P$2:$P$501))</x:f>
      </x:c>
      <x:c r="Y137" s="9" t="str">
        <x:f>IF($A137="","",$X137*$I137/100)</x:f>
      </x:c>
      <x:c r="Z137" s="9" t="str">
        <x:f>IF($A137="","",MAX(0,($X137-$Y137)*$K137/100))</x:f>
      </x:c>
      <x:c r="AA137" s="9" t="str">
        <x:f>IF($A137="","",MAX(0,($X137-$Y137)*$L137/100))</x:f>
      </x:c>
      <x:c r="AB137" s="9" t="str">
        <x:f>IF($A137="","",MAX(0,($X137-$Y137)*$M137/100))</x:f>
      </x:c>
      <x:c r="AC137" s="9" t="str">
        <x:f>IF($A137="","",MAX(0,($X137-$Y137)+$J137+$Z137+$N137-$AA137-$AB137-$O137))</x:f>
      </x:c>
    </x:row>
    <x:row r="138">
      <x:c r="A138" s="13"/>
      <x:c r="B138" s="14"/>
      <x:c r="C138" s="8"/>
      <x:c r="D138" s="13"/>
      <x:c r="E138" s="7"/>
      <x:c r="F138" s="13"/>
      <x:c r="G138" s="7"/>
      <x:c r="H138" s="7"/>
      <x:c r="I138" s="10"/>
      <x:c r="J138" s="9"/>
      <x:c r="K138" s="10"/>
      <x:c r="L138" s="10"/>
      <x:c r="M138" s="10"/>
      <x:c r="N138" s="9"/>
      <x:c r="O138" s="9"/>
      <x:c r="P138" s="7"/>
      <x:c r="Q138" s="9"/>
      <x:c r="R138" s="8"/>
      <x:c r="S138" s="9"/>
      <x:c r="T138" s="8"/>
      <x:c r="U138" s="13"/>
      <x:c r="V138" s="7"/>
      <x:c r="W138" s="7"/>
      <x:c r="X138" s="9" t="str">
        <x:f>IF($A138="","",SUMIF(Purchase_Items!$A$2:$A$501,$A138,Purchase_Items!$P$2:$P$501))</x:f>
      </x:c>
      <x:c r="Y138" s="9" t="str">
        <x:f>IF($A138="","",$X138*$I138/100)</x:f>
      </x:c>
      <x:c r="Z138" s="9" t="str">
        <x:f>IF($A138="","",MAX(0,($X138-$Y138)*$K138/100))</x:f>
      </x:c>
      <x:c r="AA138" s="9" t="str">
        <x:f>IF($A138="","",MAX(0,($X138-$Y138)*$L138/100))</x:f>
      </x:c>
      <x:c r="AB138" s="9" t="str">
        <x:f>IF($A138="","",MAX(0,($X138-$Y138)*$M138/100))</x:f>
      </x:c>
      <x:c r="AC138" s="9" t="str">
        <x:f>IF($A138="","",MAX(0,($X138-$Y138)+$J138+$Z138+$N138-$AA138-$AB138-$O138))</x:f>
      </x:c>
    </x:row>
    <x:row r="139">
      <x:c r="A139" s="13"/>
      <x:c r="B139" s="14"/>
      <x:c r="C139" s="8"/>
      <x:c r="D139" s="13"/>
      <x:c r="E139" s="7"/>
      <x:c r="F139" s="13"/>
      <x:c r="G139" s="7"/>
      <x:c r="H139" s="7"/>
      <x:c r="I139" s="10"/>
      <x:c r="J139" s="9"/>
      <x:c r="K139" s="10"/>
      <x:c r="L139" s="10"/>
      <x:c r="M139" s="10"/>
      <x:c r="N139" s="9"/>
      <x:c r="O139" s="9"/>
      <x:c r="P139" s="7"/>
      <x:c r="Q139" s="9"/>
      <x:c r="R139" s="8"/>
      <x:c r="S139" s="9"/>
      <x:c r="T139" s="8"/>
      <x:c r="U139" s="13"/>
      <x:c r="V139" s="7"/>
      <x:c r="W139" s="7"/>
      <x:c r="X139" s="9" t="str">
        <x:f>IF($A139="","",SUMIF(Purchase_Items!$A$2:$A$501,$A139,Purchase_Items!$P$2:$P$501))</x:f>
      </x:c>
      <x:c r="Y139" s="9" t="str">
        <x:f>IF($A139="","",$X139*$I139/100)</x:f>
      </x:c>
      <x:c r="Z139" s="9" t="str">
        <x:f>IF($A139="","",MAX(0,($X139-$Y139)*$K139/100))</x:f>
      </x:c>
      <x:c r="AA139" s="9" t="str">
        <x:f>IF($A139="","",MAX(0,($X139-$Y139)*$L139/100))</x:f>
      </x:c>
      <x:c r="AB139" s="9" t="str">
        <x:f>IF($A139="","",MAX(0,($X139-$Y139)*$M139/100))</x:f>
      </x:c>
      <x:c r="AC139" s="9" t="str">
        <x:f>IF($A139="","",MAX(0,($X139-$Y139)+$J139+$Z139+$N139-$AA139-$AB139-$O139))</x:f>
      </x:c>
    </x:row>
    <x:row r="140">
      <x:c r="A140" s="13"/>
      <x:c r="B140" s="14"/>
      <x:c r="C140" s="8"/>
      <x:c r="D140" s="13"/>
      <x:c r="E140" s="7"/>
      <x:c r="F140" s="13"/>
      <x:c r="G140" s="7"/>
      <x:c r="H140" s="7"/>
      <x:c r="I140" s="10"/>
      <x:c r="J140" s="9"/>
      <x:c r="K140" s="10"/>
      <x:c r="L140" s="10"/>
      <x:c r="M140" s="10"/>
      <x:c r="N140" s="9"/>
      <x:c r="O140" s="9"/>
      <x:c r="P140" s="7"/>
      <x:c r="Q140" s="9"/>
      <x:c r="R140" s="8"/>
      <x:c r="S140" s="9"/>
      <x:c r="T140" s="8"/>
      <x:c r="U140" s="13"/>
      <x:c r="V140" s="7"/>
      <x:c r="W140" s="7"/>
      <x:c r="X140" s="9" t="str">
        <x:f>IF($A140="","",SUMIF(Purchase_Items!$A$2:$A$501,$A140,Purchase_Items!$P$2:$P$501))</x:f>
      </x:c>
      <x:c r="Y140" s="9" t="str">
        <x:f>IF($A140="","",$X140*$I140/100)</x:f>
      </x:c>
      <x:c r="Z140" s="9" t="str">
        <x:f>IF($A140="","",MAX(0,($X140-$Y140)*$K140/100))</x:f>
      </x:c>
      <x:c r="AA140" s="9" t="str">
        <x:f>IF($A140="","",MAX(0,($X140-$Y140)*$L140/100))</x:f>
      </x:c>
      <x:c r="AB140" s="9" t="str">
        <x:f>IF($A140="","",MAX(0,($X140-$Y140)*$M140/100))</x:f>
      </x:c>
      <x:c r="AC140" s="9" t="str">
        <x:f>IF($A140="","",MAX(0,($X140-$Y140)+$J140+$Z140+$N140-$AA140-$AB140-$O140))</x:f>
      </x:c>
    </x:row>
    <x:row r="141">
      <x:c r="A141" s="13"/>
      <x:c r="B141" s="14"/>
      <x:c r="C141" s="8"/>
      <x:c r="D141" s="13"/>
      <x:c r="E141" s="7"/>
      <x:c r="F141" s="13"/>
      <x:c r="G141" s="7"/>
      <x:c r="H141" s="7"/>
      <x:c r="I141" s="10"/>
      <x:c r="J141" s="9"/>
      <x:c r="K141" s="10"/>
      <x:c r="L141" s="10"/>
      <x:c r="M141" s="10"/>
      <x:c r="N141" s="9"/>
      <x:c r="O141" s="9"/>
      <x:c r="P141" s="7"/>
      <x:c r="Q141" s="9"/>
      <x:c r="R141" s="8"/>
      <x:c r="S141" s="9"/>
      <x:c r="T141" s="8"/>
      <x:c r="U141" s="13"/>
      <x:c r="V141" s="7"/>
      <x:c r="W141" s="7"/>
      <x:c r="X141" s="9" t="str">
        <x:f>IF($A141="","",SUMIF(Purchase_Items!$A$2:$A$501,$A141,Purchase_Items!$P$2:$P$501))</x:f>
      </x:c>
      <x:c r="Y141" s="9" t="str">
        <x:f>IF($A141="","",$X141*$I141/100)</x:f>
      </x:c>
      <x:c r="Z141" s="9" t="str">
        <x:f>IF($A141="","",MAX(0,($X141-$Y141)*$K141/100))</x:f>
      </x:c>
      <x:c r="AA141" s="9" t="str">
        <x:f>IF($A141="","",MAX(0,($X141-$Y141)*$L141/100))</x:f>
      </x:c>
      <x:c r="AB141" s="9" t="str">
        <x:f>IF($A141="","",MAX(0,($X141-$Y141)*$M141/100))</x:f>
      </x:c>
      <x:c r="AC141" s="9" t="str">
        <x:f>IF($A141="","",MAX(0,($X141-$Y141)+$J141+$Z141+$N141-$AA141-$AB141-$O141))</x:f>
      </x:c>
    </x:row>
    <x:row r="142">
      <x:c r="A142" s="13"/>
      <x:c r="B142" s="14"/>
      <x:c r="C142" s="8"/>
      <x:c r="D142" s="13"/>
      <x:c r="E142" s="7"/>
      <x:c r="F142" s="13"/>
      <x:c r="G142" s="7"/>
      <x:c r="H142" s="7"/>
      <x:c r="I142" s="10"/>
      <x:c r="J142" s="9"/>
      <x:c r="K142" s="10"/>
      <x:c r="L142" s="10"/>
      <x:c r="M142" s="10"/>
      <x:c r="N142" s="9"/>
      <x:c r="O142" s="9"/>
      <x:c r="P142" s="7"/>
      <x:c r="Q142" s="9"/>
      <x:c r="R142" s="8"/>
      <x:c r="S142" s="9"/>
      <x:c r="T142" s="8"/>
      <x:c r="U142" s="13"/>
      <x:c r="V142" s="7"/>
      <x:c r="W142" s="7"/>
      <x:c r="X142" s="9" t="str">
        <x:f>IF($A142="","",SUMIF(Purchase_Items!$A$2:$A$501,$A142,Purchase_Items!$P$2:$P$501))</x:f>
      </x:c>
      <x:c r="Y142" s="9" t="str">
        <x:f>IF($A142="","",$X142*$I142/100)</x:f>
      </x:c>
      <x:c r="Z142" s="9" t="str">
        <x:f>IF($A142="","",MAX(0,($X142-$Y142)*$K142/100))</x:f>
      </x:c>
      <x:c r="AA142" s="9" t="str">
        <x:f>IF($A142="","",MAX(0,($X142-$Y142)*$L142/100))</x:f>
      </x:c>
      <x:c r="AB142" s="9" t="str">
        <x:f>IF($A142="","",MAX(0,($X142-$Y142)*$M142/100))</x:f>
      </x:c>
      <x:c r="AC142" s="9" t="str">
        <x:f>IF($A142="","",MAX(0,($X142-$Y142)+$J142+$Z142+$N142-$AA142-$AB142-$O142))</x:f>
      </x:c>
    </x:row>
    <x:row r="143">
      <x:c r="A143" s="13"/>
      <x:c r="B143" s="14"/>
      <x:c r="C143" s="8"/>
      <x:c r="D143" s="13"/>
      <x:c r="E143" s="7"/>
      <x:c r="F143" s="13"/>
      <x:c r="G143" s="7"/>
      <x:c r="H143" s="7"/>
      <x:c r="I143" s="10"/>
      <x:c r="J143" s="9"/>
      <x:c r="K143" s="10"/>
      <x:c r="L143" s="10"/>
      <x:c r="M143" s="10"/>
      <x:c r="N143" s="9"/>
      <x:c r="O143" s="9"/>
      <x:c r="P143" s="7"/>
      <x:c r="Q143" s="9"/>
      <x:c r="R143" s="8"/>
      <x:c r="S143" s="9"/>
      <x:c r="T143" s="8"/>
      <x:c r="U143" s="13"/>
      <x:c r="V143" s="7"/>
      <x:c r="W143" s="7"/>
      <x:c r="X143" s="9" t="str">
        <x:f>IF($A143="","",SUMIF(Purchase_Items!$A$2:$A$501,$A143,Purchase_Items!$P$2:$P$501))</x:f>
      </x:c>
      <x:c r="Y143" s="9" t="str">
        <x:f>IF($A143="","",$X143*$I143/100)</x:f>
      </x:c>
      <x:c r="Z143" s="9" t="str">
        <x:f>IF($A143="","",MAX(0,($X143-$Y143)*$K143/100))</x:f>
      </x:c>
      <x:c r="AA143" s="9" t="str">
        <x:f>IF($A143="","",MAX(0,($X143-$Y143)*$L143/100))</x:f>
      </x:c>
      <x:c r="AB143" s="9" t="str">
        <x:f>IF($A143="","",MAX(0,($X143-$Y143)*$M143/100))</x:f>
      </x:c>
      <x:c r="AC143" s="9" t="str">
        <x:f>IF($A143="","",MAX(0,($X143-$Y143)+$J143+$Z143+$N143-$AA143-$AB143-$O143))</x:f>
      </x:c>
    </x:row>
    <x:row r="144">
      <x:c r="A144" s="13"/>
      <x:c r="B144" s="14"/>
      <x:c r="C144" s="8"/>
      <x:c r="D144" s="13"/>
      <x:c r="E144" s="7"/>
      <x:c r="F144" s="13"/>
      <x:c r="G144" s="7"/>
      <x:c r="H144" s="7"/>
      <x:c r="I144" s="10"/>
      <x:c r="J144" s="9"/>
      <x:c r="K144" s="10"/>
      <x:c r="L144" s="10"/>
      <x:c r="M144" s="10"/>
      <x:c r="N144" s="9"/>
      <x:c r="O144" s="9"/>
      <x:c r="P144" s="7"/>
      <x:c r="Q144" s="9"/>
      <x:c r="R144" s="8"/>
      <x:c r="S144" s="9"/>
      <x:c r="T144" s="8"/>
      <x:c r="U144" s="13"/>
      <x:c r="V144" s="7"/>
      <x:c r="W144" s="7"/>
      <x:c r="X144" s="9" t="str">
        <x:f>IF($A144="","",SUMIF(Purchase_Items!$A$2:$A$501,$A144,Purchase_Items!$P$2:$P$501))</x:f>
      </x:c>
      <x:c r="Y144" s="9" t="str">
        <x:f>IF($A144="","",$X144*$I144/100)</x:f>
      </x:c>
      <x:c r="Z144" s="9" t="str">
        <x:f>IF($A144="","",MAX(0,($X144-$Y144)*$K144/100))</x:f>
      </x:c>
      <x:c r="AA144" s="9" t="str">
        <x:f>IF($A144="","",MAX(0,($X144-$Y144)*$L144/100))</x:f>
      </x:c>
      <x:c r="AB144" s="9" t="str">
        <x:f>IF($A144="","",MAX(0,($X144-$Y144)*$M144/100))</x:f>
      </x:c>
      <x:c r="AC144" s="9" t="str">
        <x:f>IF($A144="","",MAX(0,($X144-$Y144)+$J144+$Z144+$N144-$AA144-$AB144-$O144))</x:f>
      </x:c>
    </x:row>
    <x:row r="145">
      <x:c r="A145" s="13"/>
      <x:c r="B145" s="14"/>
      <x:c r="C145" s="8"/>
      <x:c r="D145" s="13"/>
      <x:c r="E145" s="7"/>
      <x:c r="F145" s="13"/>
      <x:c r="G145" s="7"/>
      <x:c r="H145" s="7"/>
      <x:c r="I145" s="10"/>
      <x:c r="J145" s="9"/>
      <x:c r="K145" s="10"/>
      <x:c r="L145" s="10"/>
      <x:c r="M145" s="10"/>
      <x:c r="N145" s="9"/>
      <x:c r="O145" s="9"/>
      <x:c r="P145" s="7"/>
      <x:c r="Q145" s="9"/>
      <x:c r="R145" s="8"/>
      <x:c r="S145" s="9"/>
      <x:c r="T145" s="8"/>
      <x:c r="U145" s="13"/>
      <x:c r="V145" s="7"/>
      <x:c r="W145" s="7"/>
      <x:c r="X145" s="9" t="str">
        <x:f>IF($A145="","",SUMIF(Purchase_Items!$A$2:$A$501,$A145,Purchase_Items!$P$2:$P$501))</x:f>
      </x:c>
      <x:c r="Y145" s="9" t="str">
        <x:f>IF($A145="","",$X145*$I145/100)</x:f>
      </x:c>
      <x:c r="Z145" s="9" t="str">
        <x:f>IF($A145="","",MAX(0,($X145-$Y145)*$K145/100))</x:f>
      </x:c>
      <x:c r="AA145" s="9" t="str">
        <x:f>IF($A145="","",MAX(0,($X145-$Y145)*$L145/100))</x:f>
      </x:c>
      <x:c r="AB145" s="9" t="str">
        <x:f>IF($A145="","",MAX(0,($X145-$Y145)*$M145/100))</x:f>
      </x:c>
      <x:c r="AC145" s="9" t="str">
        <x:f>IF($A145="","",MAX(0,($X145-$Y145)+$J145+$Z145+$N145-$AA145-$AB145-$O145))</x:f>
      </x:c>
    </x:row>
    <x:row r="146">
      <x:c r="A146" s="13"/>
      <x:c r="B146" s="14"/>
      <x:c r="C146" s="8"/>
      <x:c r="D146" s="13"/>
      <x:c r="E146" s="7"/>
      <x:c r="F146" s="13"/>
      <x:c r="G146" s="7"/>
      <x:c r="H146" s="7"/>
      <x:c r="I146" s="10"/>
      <x:c r="J146" s="9"/>
      <x:c r="K146" s="10"/>
      <x:c r="L146" s="10"/>
      <x:c r="M146" s="10"/>
      <x:c r="N146" s="9"/>
      <x:c r="O146" s="9"/>
      <x:c r="P146" s="7"/>
      <x:c r="Q146" s="9"/>
      <x:c r="R146" s="8"/>
      <x:c r="S146" s="9"/>
      <x:c r="T146" s="8"/>
      <x:c r="U146" s="13"/>
      <x:c r="V146" s="7"/>
      <x:c r="W146" s="7"/>
      <x:c r="X146" s="9" t="str">
        <x:f>IF($A146="","",SUMIF(Purchase_Items!$A$2:$A$501,$A146,Purchase_Items!$P$2:$P$501))</x:f>
      </x:c>
      <x:c r="Y146" s="9" t="str">
        <x:f>IF($A146="","",$X146*$I146/100)</x:f>
      </x:c>
      <x:c r="Z146" s="9" t="str">
        <x:f>IF($A146="","",MAX(0,($X146-$Y146)*$K146/100))</x:f>
      </x:c>
      <x:c r="AA146" s="9" t="str">
        <x:f>IF($A146="","",MAX(0,($X146-$Y146)*$L146/100))</x:f>
      </x:c>
      <x:c r="AB146" s="9" t="str">
        <x:f>IF($A146="","",MAX(0,($X146-$Y146)*$M146/100))</x:f>
      </x:c>
      <x:c r="AC146" s="9" t="str">
        <x:f>IF($A146="","",MAX(0,($X146-$Y146)+$J146+$Z146+$N146-$AA146-$AB146-$O146))</x:f>
      </x:c>
    </x:row>
    <x:row r="147">
      <x:c r="A147" s="13"/>
      <x:c r="B147" s="14"/>
      <x:c r="C147" s="8"/>
      <x:c r="D147" s="13"/>
      <x:c r="E147" s="7"/>
      <x:c r="F147" s="13"/>
      <x:c r="G147" s="7"/>
      <x:c r="H147" s="7"/>
      <x:c r="I147" s="10"/>
      <x:c r="J147" s="9"/>
      <x:c r="K147" s="10"/>
      <x:c r="L147" s="10"/>
      <x:c r="M147" s="10"/>
      <x:c r="N147" s="9"/>
      <x:c r="O147" s="9"/>
      <x:c r="P147" s="7"/>
      <x:c r="Q147" s="9"/>
      <x:c r="R147" s="8"/>
      <x:c r="S147" s="9"/>
      <x:c r="T147" s="8"/>
      <x:c r="U147" s="13"/>
      <x:c r="V147" s="7"/>
      <x:c r="W147" s="7"/>
      <x:c r="X147" s="9" t="str">
        <x:f>IF($A147="","",SUMIF(Purchase_Items!$A$2:$A$501,$A147,Purchase_Items!$P$2:$P$501))</x:f>
      </x:c>
      <x:c r="Y147" s="9" t="str">
        <x:f>IF($A147="","",$X147*$I147/100)</x:f>
      </x:c>
      <x:c r="Z147" s="9" t="str">
        <x:f>IF($A147="","",MAX(0,($X147-$Y147)*$K147/100))</x:f>
      </x:c>
      <x:c r="AA147" s="9" t="str">
        <x:f>IF($A147="","",MAX(0,($X147-$Y147)*$L147/100))</x:f>
      </x:c>
      <x:c r="AB147" s="9" t="str">
        <x:f>IF($A147="","",MAX(0,($X147-$Y147)*$M147/100))</x:f>
      </x:c>
      <x:c r="AC147" s="9" t="str">
        <x:f>IF($A147="","",MAX(0,($X147-$Y147)+$J147+$Z147+$N147-$AA147-$AB147-$O147))</x:f>
      </x:c>
    </x:row>
    <x:row r="148">
      <x:c r="A148" s="13"/>
      <x:c r="B148" s="14"/>
      <x:c r="C148" s="8"/>
      <x:c r="D148" s="13"/>
      <x:c r="E148" s="7"/>
      <x:c r="F148" s="13"/>
      <x:c r="G148" s="7"/>
      <x:c r="H148" s="7"/>
      <x:c r="I148" s="10"/>
      <x:c r="J148" s="9"/>
      <x:c r="K148" s="10"/>
      <x:c r="L148" s="10"/>
      <x:c r="M148" s="10"/>
      <x:c r="N148" s="9"/>
      <x:c r="O148" s="9"/>
      <x:c r="P148" s="7"/>
      <x:c r="Q148" s="9"/>
      <x:c r="R148" s="8"/>
      <x:c r="S148" s="9"/>
      <x:c r="T148" s="8"/>
      <x:c r="U148" s="13"/>
      <x:c r="V148" s="7"/>
      <x:c r="W148" s="7"/>
      <x:c r="X148" s="9" t="str">
        <x:f>IF($A148="","",SUMIF(Purchase_Items!$A$2:$A$501,$A148,Purchase_Items!$P$2:$P$501))</x:f>
      </x:c>
      <x:c r="Y148" s="9" t="str">
        <x:f>IF($A148="","",$X148*$I148/100)</x:f>
      </x:c>
      <x:c r="Z148" s="9" t="str">
        <x:f>IF($A148="","",MAX(0,($X148-$Y148)*$K148/100))</x:f>
      </x:c>
      <x:c r="AA148" s="9" t="str">
        <x:f>IF($A148="","",MAX(0,($X148-$Y148)*$L148/100))</x:f>
      </x:c>
      <x:c r="AB148" s="9" t="str">
        <x:f>IF($A148="","",MAX(0,($X148-$Y148)*$M148/100))</x:f>
      </x:c>
      <x:c r="AC148" s="9" t="str">
        <x:f>IF($A148="","",MAX(0,($X148-$Y148)+$J148+$Z148+$N148-$AA148-$AB148-$O148))</x:f>
      </x:c>
    </x:row>
    <x:row r="149">
      <x:c r="A149" s="13"/>
      <x:c r="B149" s="14"/>
      <x:c r="C149" s="8"/>
      <x:c r="D149" s="13"/>
      <x:c r="E149" s="7"/>
      <x:c r="F149" s="13"/>
      <x:c r="G149" s="7"/>
      <x:c r="H149" s="7"/>
      <x:c r="I149" s="10"/>
      <x:c r="J149" s="9"/>
      <x:c r="K149" s="10"/>
      <x:c r="L149" s="10"/>
      <x:c r="M149" s="10"/>
      <x:c r="N149" s="9"/>
      <x:c r="O149" s="9"/>
      <x:c r="P149" s="7"/>
      <x:c r="Q149" s="9"/>
      <x:c r="R149" s="8"/>
      <x:c r="S149" s="9"/>
      <x:c r="T149" s="8"/>
      <x:c r="U149" s="13"/>
      <x:c r="V149" s="7"/>
      <x:c r="W149" s="7"/>
      <x:c r="X149" s="9" t="str">
        <x:f>IF($A149="","",SUMIF(Purchase_Items!$A$2:$A$501,$A149,Purchase_Items!$P$2:$P$501))</x:f>
      </x:c>
      <x:c r="Y149" s="9" t="str">
        <x:f>IF($A149="","",$X149*$I149/100)</x:f>
      </x:c>
      <x:c r="Z149" s="9" t="str">
        <x:f>IF($A149="","",MAX(0,($X149-$Y149)*$K149/100))</x:f>
      </x:c>
      <x:c r="AA149" s="9" t="str">
        <x:f>IF($A149="","",MAX(0,($X149-$Y149)*$L149/100))</x:f>
      </x:c>
      <x:c r="AB149" s="9" t="str">
        <x:f>IF($A149="","",MAX(0,($X149-$Y149)*$M149/100))</x:f>
      </x:c>
      <x:c r="AC149" s="9" t="str">
        <x:f>IF($A149="","",MAX(0,($X149-$Y149)+$J149+$Z149+$N149-$AA149-$AB149-$O149))</x:f>
      </x:c>
    </x:row>
    <x:row r="150">
      <x:c r="A150" s="13"/>
      <x:c r="B150" s="14"/>
      <x:c r="C150" s="8"/>
      <x:c r="D150" s="13"/>
      <x:c r="E150" s="7"/>
      <x:c r="F150" s="13"/>
      <x:c r="G150" s="7"/>
      <x:c r="H150" s="7"/>
      <x:c r="I150" s="10"/>
      <x:c r="J150" s="9"/>
      <x:c r="K150" s="10"/>
      <x:c r="L150" s="10"/>
      <x:c r="M150" s="10"/>
      <x:c r="N150" s="9"/>
      <x:c r="O150" s="9"/>
      <x:c r="P150" s="7"/>
      <x:c r="Q150" s="9"/>
      <x:c r="R150" s="8"/>
      <x:c r="S150" s="9"/>
      <x:c r="T150" s="8"/>
      <x:c r="U150" s="13"/>
      <x:c r="V150" s="7"/>
      <x:c r="W150" s="7"/>
      <x:c r="X150" s="9" t="str">
        <x:f>IF($A150="","",SUMIF(Purchase_Items!$A$2:$A$501,$A150,Purchase_Items!$P$2:$P$501))</x:f>
      </x:c>
      <x:c r="Y150" s="9" t="str">
        <x:f>IF($A150="","",$X150*$I150/100)</x:f>
      </x:c>
      <x:c r="Z150" s="9" t="str">
        <x:f>IF($A150="","",MAX(0,($X150-$Y150)*$K150/100))</x:f>
      </x:c>
      <x:c r="AA150" s="9" t="str">
        <x:f>IF($A150="","",MAX(0,($X150-$Y150)*$L150/100))</x:f>
      </x:c>
      <x:c r="AB150" s="9" t="str">
        <x:f>IF($A150="","",MAX(0,($X150-$Y150)*$M150/100))</x:f>
      </x:c>
      <x:c r="AC150" s="9" t="str">
        <x:f>IF($A150="","",MAX(0,($X150-$Y150)+$J150+$Z150+$N150-$AA150-$AB150-$O150))</x:f>
      </x:c>
    </x:row>
    <x:row r="151">
      <x:c r="A151" s="13"/>
      <x:c r="B151" s="14"/>
      <x:c r="C151" s="8"/>
      <x:c r="D151" s="13"/>
      <x:c r="E151" s="7"/>
      <x:c r="F151" s="13"/>
      <x:c r="G151" s="7"/>
      <x:c r="H151" s="7"/>
      <x:c r="I151" s="10"/>
      <x:c r="J151" s="9"/>
      <x:c r="K151" s="10"/>
      <x:c r="L151" s="10"/>
      <x:c r="M151" s="10"/>
      <x:c r="N151" s="9"/>
      <x:c r="O151" s="9"/>
      <x:c r="P151" s="7"/>
      <x:c r="Q151" s="9"/>
      <x:c r="R151" s="8"/>
      <x:c r="S151" s="9"/>
      <x:c r="T151" s="8"/>
      <x:c r="U151" s="13"/>
      <x:c r="V151" s="7"/>
      <x:c r="W151" s="7"/>
      <x:c r="X151" s="9" t="str">
        <x:f>IF($A151="","",SUMIF(Purchase_Items!$A$2:$A$501,$A151,Purchase_Items!$P$2:$P$501))</x:f>
      </x:c>
      <x:c r="Y151" s="9" t="str">
        <x:f>IF($A151="","",$X151*$I151/100)</x:f>
      </x:c>
      <x:c r="Z151" s="9" t="str">
        <x:f>IF($A151="","",MAX(0,($X151-$Y151)*$K151/100))</x:f>
      </x:c>
      <x:c r="AA151" s="9" t="str">
        <x:f>IF($A151="","",MAX(0,($X151-$Y151)*$L151/100))</x:f>
      </x:c>
      <x:c r="AB151" s="9" t="str">
        <x:f>IF($A151="","",MAX(0,($X151-$Y151)*$M151/100))</x:f>
      </x:c>
      <x:c r="AC151" s="9" t="str">
        <x:f>IF($A151="","",MAX(0,($X151-$Y151)+$J151+$Z151+$N151-$AA151-$AB151-$O151))</x:f>
      </x:c>
    </x:row>
    <x:row r="152">
      <x:c r="A152" s="13"/>
      <x:c r="B152" s="14"/>
      <x:c r="C152" s="8"/>
      <x:c r="D152" s="13"/>
      <x:c r="E152" s="7"/>
      <x:c r="F152" s="13"/>
      <x:c r="G152" s="7"/>
      <x:c r="H152" s="7"/>
      <x:c r="I152" s="10"/>
      <x:c r="J152" s="9"/>
      <x:c r="K152" s="10"/>
      <x:c r="L152" s="10"/>
      <x:c r="M152" s="10"/>
      <x:c r="N152" s="9"/>
      <x:c r="O152" s="9"/>
      <x:c r="P152" s="7"/>
      <x:c r="Q152" s="9"/>
      <x:c r="R152" s="8"/>
      <x:c r="S152" s="9"/>
      <x:c r="T152" s="8"/>
      <x:c r="U152" s="13"/>
      <x:c r="V152" s="7"/>
      <x:c r="W152" s="7"/>
      <x:c r="X152" s="9" t="str">
        <x:f>IF($A152="","",SUMIF(Purchase_Items!$A$2:$A$501,$A152,Purchase_Items!$P$2:$P$501))</x:f>
      </x:c>
      <x:c r="Y152" s="9" t="str">
        <x:f>IF($A152="","",$X152*$I152/100)</x:f>
      </x:c>
      <x:c r="Z152" s="9" t="str">
        <x:f>IF($A152="","",MAX(0,($X152-$Y152)*$K152/100))</x:f>
      </x:c>
      <x:c r="AA152" s="9" t="str">
        <x:f>IF($A152="","",MAX(0,($X152-$Y152)*$L152/100))</x:f>
      </x:c>
      <x:c r="AB152" s="9" t="str">
        <x:f>IF($A152="","",MAX(0,($X152-$Y152)*$M152/100))</x:f>
      </x:c>
      <x:c r="AC152" s="9" t="str">
        <x:f>IF($A152="","",MAX(0,($X152-$Y152)+$J152+$Z152+$N152-$AA152-$AB152-$O152))</x:f>
      </x:c>
    </x:row>
    <x:row r="153">
      <x:c r="A153" s="13"/>
      <x:c r="B153" s="14"/>
      <x:c r="C153" s="8"/>
      <x:c r="D153" s="13"/>
      <x:c r="E153" s="7"/>
      <x:c r="F153" s="13"/>
      <x:c r="G153" s="7"/>
      <x:c r="H153" s="7"/>
      <x:c r="I153" s="10"/>
      <x:c r="J153" s="9"/>
      <x:c r="K153" s="10"/>
      <x:c r="L153" s="10"/>
      <x:c r="M153" s="10"/>
      <x:c r="N153" s="9"/>
      <x:c r="O153" s="9"/>
      <x:c r="P153" s="7"/>
      <x:c r="Q153" s="9"/>
      <x:c r="R153" s="8"/>
      <x:c r="S153" s="9"/>
      <x:c r="T153" s="8"/>
      <x:c r="U153" s="13"/>
      <x:c r="V153" s="7"/>
      <x:c r="W153" s="7"/>
      <x:c r="X153" s="9" t="str">
        <x:f>IF($A153="","",SUMIF(Purchase_Items!$A$2:$A$501,$A153,Purchase_Items!$P$2:$P$501))</x:f>
      </x:c>
      <x:c r="Y153" s="9" t="str">
        <x:f>IF($A153="","",$X153*$I153/100)</x:f>
      </x:c>
      <x:c r="Z153" s="9" t="str">
        <x:f>IF($A153="","",MAX(0,($X153-$Y153)*$K153/100))</x:f>
      </x:c>
      <x:c r="AA153" s="9" t="str">
        <x:f>IF($A153="","",MAX(0,($X153-$Y153)*$L153/100))</x:f>
      </x:c>
      <x:c r="AB153" s="9" t="str">
        <x:f>IF($A153="","",MAX(0,($X153-$Y153)*$M153/100))</x:f>
      </x:c>
      <x:c r="AC153" s="9" t="str">
        <x:f>IF($A153="","",MAX(0,($X153-$Y153)+$J153+$Z153+$N153-$AA153-$AB153-$O153))</x:f>
      </x:c>
    </x:row>
    <x:row r="154">
      <x:c r="A154" s="13"/>
      <x:c r="B154" s="14"/>
      <x:c r="C154" s="8"/>
      <x:c r="D154" s="13"/>
      <x:c r="E154" s="7"/>
      <x:c r="F154" s="13"/>
      <x:c r="G154" s="7"/>
      <x:c r="H154" s="7"/>
      <x:c r="I154" s="10"/>
      <x:c r="J154" s="9"/>
      <x:c r="K154" s="10"/>
      <x:c r="L154" s="10"/>
      <x:c r="M154" s="10"/>
      <x:c r="N154" s="9"/>
      <x:c r="O154" s="9"/>
      <x:c r="P154" s="7"/>
      <x:c r="Q154" s="9"/>
      <x:c r="R154" s="8"/>
      <x:c r="S154" s="9"/>
      <x:c r="T154" s="8"/>
      <x:c r="U154" s="13"/>
      <x:c r="V154" s="7"/>
      <x:c r="W154" s="7"/>
      <x:c r="X154" s="9" t="str">
        <x:f>IF($A154="","",SUMIF(Purchase_Items!$A$2:$A$501,$A154,Purchase_Items!$P$2:$P$501))</x:f>
      </x:c>
      <x:c r="Y154" s="9" t="str">
        <x:f>IF($A154="","",$X154*$I154/100)</x:f>
      </x:c>
      <x:c r="Z154" s="9" t="str">
        <x:f>IF($A154="","",MAX(0,($X154-$Y154)*$K154/100))</x:f>
      </x:c>
      <x:c r="AA154" s="9" t="str">
        <x:f>IF($A154="","",MAX(0,($X154-$Y154)*$L154/100))</x:f>
      </x:c>
      <x:c r="AB154" s="9" t="str">
        <x:f>IF($A154="","",MAX(0,($X154-$Y154)*$M154/100))</x:f>
      </x:c>
      <x:c r="AC154" s="9" t="str">
        <x:f>IF($A154="","",MAX(0,($X154-$Y154)+$J154+$Z154+$N154-$AA154-$AB154-$O154))</x:f>
      </x:c>
    </x:row>
    <x:row r="155">
      <x:c r="A155" s="13"/>
      <x:c r="B155" s="14"/>
      <x:c r="C155" s="8"/>
      <x:c r="D155" s="13"/>
      <x:c r="E155" s="7"/>
      <x:c r="F155" s="13"/>
      <x:c r="G155" s="7"/>
      <x:c r="H155" s="7"/>
      <x:c r="I155" s="10"/>
      <x:c r="J155" s="9"/>
      <x:c r="K155" s="10"/>
      <x:c r="L155" s="10"/>
      <x:c r="M155" s="10"/>
      <x:c r="N155" s="9"/>
      <x:c r="O155" s="9"/>
      <x:c r="P155" s="7"/>
      <x:c r="Q155" s="9"/>
      <x:c r="R155" s="8"/>
      <x:c r="S155" s="9"/>
      <x:c r="T155" s="8"/>
      <x:c r="U155" s="13"/>
      <x:c r="V155" s="7"/>
      <x:c r="W155" s="7"/>
      <x:c r="X155" s="9" t="str">
        <x:f>IF($A155="","",SUMIF(Purchase_Items!$A$2:$A$501,$A155,Purchase_Items!$P$2:$P$501))</x:f>
      </x:c>
      <x:c r="Y155" s="9" t="str">
        <x:f>IF($A155="","",$X155*$I155/100)</x:f>
      </x:c>
      <x:c r="Z155" s="9" t="str">
        <x:f>IF($A155="","",MAX(0,($X155-$Y155)*$K155/100))</x:f>
      </x:c>
      <x:c r="AA155" s="9" t="str">
        <x:f>IF($A155="","",MAX(0,($X155-$Y155)*$L155/100))</x:f>
      </x:c>
      <x:c r="AB155" s="9" t="str">
        <x:f>IF($A155="","",MAX(0,($X155-$Y155)*$M155/100))</x:f>
      </x:c>
      <x:c r="AC155" s="9" t="str">
        <x:f>IF($A155="","",MAX(0,($X155-$Y155)+$J155+$Z155+$N155-$AA155-$AB155-$O155))</x:f>
      </x:c>
    </x:row>
    <x:row r="156">
      <x:c r="A156" s="13"/>
      <x:c r="B156" s="14"/>
      <x:c r="C156" s="8"/>
      <x:c r="D156" s="13"/>
      <x:c r="E156" s="7"/>
      <x:c r="F156" s="13"/>
      <x:c r="G156" s="7"/>
      <x:c r="H156" s="7"/>
      <x:c r="I156" s="10"/>
      <x:c r="J156" s="9"/>
      <x:c r="K156" s="10"/>
      <x:c r="L156" s="10"/>
      <x:c r="M156" s="10"/>
      <x:c r="N156" s="9"/>
      <x:c r="O156" s="9"/>
      <x:c r="P156" s="7"/>
      <x:c r="Q156" s="9"/>
      <x:c r="R156" s="8"/>
      <x:c r="S156" s="9"/>
      <x:c r="T156" s="8"/>
      <x:c r="U156" s="13"/>
      <x:c r="V156" s="7"/>
      <x:c r="W156" s="7"/>
      <x:c r="X156" s="9" t="str">
        <x:f>IF($A156="","",SUMIF(Purchase_Items!$A$2:$A$501,$A156,Purchase_Items!$P$2:$P$501))</x:f>
      </x:c>
      <x:c r="Y156" s="9" t="str">
        <x:f>IF($A156="","",$X156*$I156/100)</x:f>
      </x:c>
      <x:c r="Z156" s="9" t="str">
        <x:f>IF($A156="","",MAX(0,($X156-$Y156)*$K156/100))</x:f>
      </x:c>
      <x:c r="AA156" s="9" t="str">
        <x:f>IF($A156="","",MAX(0,($X156-$Y156)*$L156/100))</x:f>
      </x:c>
      <x:c r="AB156" s="9" t="str">
        <x:f>IF($A156="","",MAX(0,($X156-$Y156)*$M156/100))</x:f>
      </x:c>
      <x:c r="AC156" s="9" t="str">
        <x:f>IF($A156="","",MAX(0,($X156-$Y156)+$J156+$Z156+$N156-$AA156-$AB156-$O156))</x:f>
      </x:c>
    </x:row>
    <x:row r="157">
      <x:c r="A157" s="13"/>
      <x:c r="B157" s="14"/>
      <x:c r="C157" s="8"/>
      <x:c r="D157" s="13"/>
      <x:c r="E157" s="7"/>
      <x:c r="F157" s="13"/>
      <x:c r="G157" s="7"/>
      <x:c r="H157" s="7"/>
      <x:c r="I157" s="10"/>
      <x:c r="J157" s="9"/>
      <x:c r="K157" s="10"/>
      <x:c r="L157" s="10"/>
      <x:c r="M157" s="10"/>
      <x:c r="N157" s="9"/>
      <x:c r="O157" s="9"/>
      <x:c r="P157" s="7"/>
      <x:c r="Q157" s="9"/>
      <x:c r="R157" s="8"/>
      <x:c r="S157" s="9"/>
      <x:c r="T157" s="8"/>
      <x:c r="U157" s="13"/>
      <x:c r="V157" s="7"/>
      <x:c r="W157" s="7"/>
      <x:c r="X157" s="9" t="str">
        <x:f>IF($A157="","",SUMIF(Purchase_Items!$A$2:$A$501,$A157,Purchase_Items!$P$2:$P$501))</x:f>
      </x:c>
      <x:c r="Y157" s="9" t="str">
        <x:f>IF($A157="","",$X157*$I157/100)</x:f>
      </x:c>
      <x:c r="Z157" s="9" t="str">
        <x:f>IF($A157="","",MAX(0,($X157-$Y157)*$K157/100))</x:f>
      </x:c>
      <x:c r="AA157" s="9" t="str">
        <x:f>IF($A157="","",MAX(0,($X157-$Y157)*$L157/100))</x:f>
      </x:c>
      <x:c r="AB157" s="9" t="str">
        <x:f>IF($A157="","",MAX(0,($X157-$Y157)*$M157/100))</x:f>
      </x:c>
      <x:c r="AC157" s="9" t="str">
        <x:f>IF($A157="","",MAX(0,($X157-$Y157)+$J157+$Z157+$N157-$AA157-$AB157-$O157))</x:f>
      </x:c>
    </x:row>
    <x:row r="158">
      <x:c r="A158" s="13"/>
      <x:c r="B158" s="14"/>
      <x:c r="C158" s="8"/>
      <x:c r="D158" s="13"/>
      <x:c r="E158" s="7"/>
      <x:c r="F158" s="13"/>
      <x:c r="G158" s="7"/>
      <x:c r="H158" s="7"/>
      <x:c r="I158" s="10"/>
      <x:c r="J158" s="9"/>
      <x:c r="K158" s="10"/>
      <x:c r="L158" s="10"/>
      <x:c r="M158" s="10"/>
      <x:c r="N158" s="9"/>
      <x:c r="O158" s="9"/>
      <x:c r="P158" s="7"/>
      <x:c r="Q158" s="9"/>
      <x:c r="R158" s="8"/>
      <x:c r="S158" s="9"/>
      <x:c r="T158" s="8"/>
      <x:c r="U158" s="13"/>
      <x:c r="V158" s="7"/>
      <x:c r="W158" s="7"/>
      <x:c r="X158" s="9" t="str">
        <x:f>IF($A158="","",SUMIF(Purchase_Items!$A$2:$A$501,$A158,Purchase_Items!$P$2:$P$501))</x:f>
      </x:c>
      <x:c r="Y158" s="9" t="str">
        <x:f>IF($A158="","",$X158*$I158/100)</x:f>
      </x:c>
      <x:c r="Z158" s="9" t="str">
        <x:f>IF($A158="","",MAX(0,($X158-$Y158)*$K158/100))</x:f>
      </x:c>
      <x:c r="AA158" s="9" t="str">
        <x:f>IF($A158="","",MAX(0,($X158-$Y158)*$L158/100))</x:f>
      </x:c>
      <x:c r="AB158" s="9" t="str">
        <x:f>IF($A158="","",MAX(0,($X158-$Y158)*$M158/100))</x:f>
      </x:c>
      <x:c r="AC158" s="9" t="str">
        <x:f>IF($A158="","",MAX(0,($X158-$Y158)+$J158+$Z158+$N158-$AA158-$AB158-$O158))</x:f>
      </x:c>
    </x:row>
    <x:row r="159">
      <x:c r="A159" s="13"/>
      <x:c r="B159" s="14"/>
      <x:c r="C159" s="8"/>
      <x:c r="D159" s="13"/>
      <x:c r="E159" s="7"/>
      <x:c r="F159" s="13"/>
      <x:c r="G159" s="7"/>
      <x:c r="H159" s="7"/>
      <x:c r="I159" s="10"/>
      <x:c r="J159" s="9"/>
      <x:c r="K159" s="10"/>
      <x:c r="L159" s="10"/>
      <x:c r="M159" s="10"/>
      <x:c r="N159" s="9"/>
      <x:c r="O159" s="9"/>
      <x:c r="P159" s="7"/>
      <x:c r="Q159" s="9"/>
      <x:c r="R159" s="8"/>
      <x:c r="S159" s="9"/>
      <x:c r="T159" s="8"/>
      <x:c r="U159" s="13"/>
      <x:c r="V159" s="7"/>
      <x:c r="W159" s="7"/>
      <x:c r="X159" s="9" t="str">
        <x:f>IF($A159="","",SUMIF(Purchase_Items!$A$2:$A$501,$A159,Purchase_Items!$P$2:$P$501))</x:f>
      </x:c>
      <x:c r="Y159" s="9" t="str">
        <x:f>IF($A159="","",$X159*$I159/100)</x:f>
      </x:c>
      <x:c r="Z159" s="9" t="str">
        <x:f>IF($A159="","",MAX(0,($X159-$Y159)*$K159/100))</x:f>
      </x:c>
      <x:c r="AA159" s="9" t="str">
        <x:f>IF($A159="","",MAX(0,($X159-$Y159)*$L159/100))</x:f>
      </x:c>
      <x:c r="AB159" s="9" t="str">
        <x:f>IF($A159="","",MAX(0,($X159-$Y159)*$M159/100))</x:f>
      </x:c>
      <x:c r="AC159" s="9" t="str">
        <x:f>IF($A159="","",MAX(0,($X159-$Y159)+$J159+$Z159+$N159-$AA159-$AB159-$O159))</x:f>
      </x:c>
    </x:row>
    <x:row r="160">
      <x:c r="A160" s="13"/>
      <x:c r="B160" s="14"/>
      <x:c r="C160" s="8"/>
      <x:c r="D160" s="13"/>
      <x:c r="E160" s="7"/>
      <x:c r="F160" s="13"/>
      <x:c r="G160" s="7"/>
      <x:c r="H160" s="7"/>
      <x:c r="I160" s="10"/>
      <x:c r="J160" s="9"/>
      <x:c r="K160" s="10"/>
      <x:c r="L160" s="10"/>
      <x:c r="M160" s="10"/>
      <x:c r="N160" s="9"/>
      <x:c r="O160" s="9"/>
      <x:c r="P160" s="7"/>
      <x:c r="Q160" s="9"/>
      <x:c r="R160" s="8"/>
      <x:c r="S160" s="9"/>
      <x:c r="T160" s="8"/>
      <x:c r="U160" s="13"/>
      <x:c r="V160" s="7"/>
      <x:c r="W160" s="7"/>
      <x:c r="X160" s="9" t="str">
        <x:f>IF($A160="","",SUMIF(Purchase_Items!$A$2:$A$501,$A160,Purchase_Items!$P$2:$P$501))</x:f>
      </x:c>
      <x:c r="Y160" s="9" t="str">
        <x:f>IF($A160="","",$X160*$I160/100)</x:f>
      </x:c>
      <x:c r="Z160" s="9" t="str">
        <x:f>IF($A160="","",MAX(0,($X160-$Y160)*$K160/100))</x:f>
      </x:c>
      <x:c r="AA160" s="9" t="str">
        <x:f>IF($A160="","",MAX(0,($X160-$Y160)*$L160/100))</x:f>
      </x:c>
      <x:c r="AB160" s="9" t="str">
        <x:f>IF($A160="","",MAX(0,($X160-$Y160)*$M160/100))</x:f>
      </x:c>
      <x:c r="AC160" s="9" t="str">
        <x:f>IF($A160="","",MAX(0,($X160-$Y160)+$J160+$Z160+$N160-$AA160-$AB160-$O160))</x:f>
      </x:c>
    </x:row>
    <x:row r="161">
      <x:c r="A161" s="13"/>
      <x:c r="B161" s="14"/>
      <x:c r="C161" s="8"/>
      <x:c r="D161" s="13"/>
      <x:c r="E161" s="7"/>
      <x:c r="F161" s="13"/>
      <x:c r="G161" s="7"/>
      <x:c r="H161" s="7"/>
      <x:c r="I161" s="10"/>
      <x:c r="J161" s="9"/>
      <x:c r="K161" s="10"/>
      <x:c r="L161" s="10"/>
      <x:c r="M161" s="10"/>
      <x:c r="N161" s="9"/>
      <x:c r="O161" s="9"/>
      <x:c r="P161" s="7"/>
      <x:c r="Q161" s="9"/>
      <x:c r="R161" s="8"/>
      <x:c r="S161" s="9"/>
      <x:c r="T161" s="8"/>
      <x:c r="U161" s="13"/>
      <x:c r="V161" s="7"/>
      <x:c r="W161" s="7"/>
      <x:c r="X161" s="9" t="str">
        <x:f>IF($A161="","",SUMIF(Purchase_Items!$A$2:$A$501,$A161,Purchase_Items!$P$2:$P$501))</x:f>
      </x:c>
      <x:c r="Y161" s="9" t="str">
        <x:f>IF($A161="","",$X161*$I161/100)</x:f>
      </x:c>
      <x:c r="Z161" s="9" t="str">
        <x:f>IF($A161="","",MAX(0,($X161-$Y161)*$K161/100))</x:f>
      </x:c>
      <x:c r="AA161" s="9" t="str">
        <x:f>IF($A161="","",MAX(0,($X161-$Y161)*$L161/100))</x:f>
      </x:c>
      <x:c r="AB161" s="9" t="str">
        <x:f>IF($A161="","",MAX(0,($X161-$Y161)*$M161/100))</x:f>
      </x:c>
      <x:c r="AC161" s="9" t="str">
        <x:f>IF($A161="","",MAX(0,($X161-$Y161)+$J161+$Z161+$N161-$AA161-$AB161-$O161))</x:f>
      </x:c>
    </x:row>
    <x:row r="162">
      <x:c r="A162" s="13"/>
      <x:c r="B162" s="14"/>
      <x:c r="C162" s="8"/>
      <x:c r="D162" s="13"/>
      <x:c r="E162" s="7"/>
      <x:c r="F162" s="13"/>
      <x:c r="G162" s="7"/>
      <x:c r="H162" s="7"/>
      <x:c r="I162" s="10"/>
      <x:c r="J162" s="9"/>
      <x:c r="K162" s="10"/>
      <x:c r="L162" s="10"/>
      <x:c r="M162" s="10"/>
      <x:c r="N162" s="9"/>
      <x:c r="O162" s="9"/>
      <x:c r="P162" s="7"/>
      <x:c r="Q162" s="9"/>
      <x:c r="R162" s="8"/>
      <x:c r="S162" s="9"/>
      <x:c r="T162" s="8"/>
      <x:c r="U162" s="13"/>
      <x:c r="V162" s="7"/>
      <x:c r="W162" s="7"/>
      <x:c r="X162" s="9" t="str">
        <x:f>IF($A162="","",SUMIF(Purchase_Items!$A$2:$A$501,$A162,Purchase_Items!$P$2:$P$501))</x:f>
      </x:c>
      <x:c r="Y162" s="9" t="str">
        <x:f>IF($A162="","",$X162*$I162/100)</x:f>
      </x:c>
      <x:c r="Z162" s="9" t="str">
        <x:f>IF($A162="","",MAX(0,($X162-$Y162)*$K162/100))</x:f>
      </x:c>
      <x:c r="AA162" s="9" t="str">
        <x:f>IF($A162="","",MAX(0,($X162-$Y162)*$L162/100))</x:f>
      </x:c>
      <x:c r="AB162" s="9" t="str">
        <x:f>IF($A162="","",MAX(0,($X162-$Y162)*$M162/100))</x:f>
      </x:c>
      <x:c r="AC162" s="9" t="str">
        <x:f>IF($A162="","",MAX(0,($X162-$Y162)+$J162+$Z162+$N162-$AA162-$AB162-$O162))</x:f>
      </x:c>
    </x:row>
    <x:row r="163">
      <x:c r="A163" s="13"/>
      <x:c r="B163" s="14"/>
      <x:c r="C163" s="8"/>
      <x:c r="D163" s="13"/>
      <x:c r="E163" s="7"/>
      <x:c r="F163" s="13"/>
      <x:c r="G163" s="7"/>
      <x:c r="H163" s="7"/>
      <x:c r="I163" s="10"/>
      <x:c r="J163" s="9"/>
      <x:c r="K163" s="10"/>
      <x:c r="L163" s="10"/>
      <x:c r="M163" s="10"/>
      <x:c r="N163" s="9"/>
      <x:c r="O163" s="9"/>
      <x:c r="P163" s="7"/>
      <x:c r="Q163" s="9"/>
      <x:c r="R163" s="8"/>
      <x:c r="S163" s="9"/>
      <x:c r="T163" s="8"/>
      <x:c r="U163" s="13"/>
      <x:c r="V163" s="7"/>
      <x:c r="W163" s="7"/>
      <x:c r="X163" s="9" t="str">
        <x:f>IF($A163="","",SUMIF(Purchase_Items!$A$2:$A$501,$A163,Purchase_Items!$P$2:$P$501))</x:f>
      </x:c>
      <x:c r="Y163" s="9" t="str">
        <x:f>IF($A163="","",$X163*$I163/100)</x:f>
      </x:c>
      <x:c r="Z163" s="9" t="str">
        <x:f>IF($A163="","",MAX(0,($X163-$Y163)*$K163/100))</x:f>
      </x:c>
      <x:c r="AA163" s="9" t="str">
        <x:f>IF($A163="","",MAX(0,($X163-$Y163)*$L163/100))</x:f>
      </x:c>
      <x:c r="AB163" s="9" t="str">
        <x:f>IF($A163="","",MAX(0,($X163-$Y163)*$M163/100))</x:f>
      </x:c>
      <x:c r="AC163" s="9" t="str">
        <x:f>IF($A163="","",MAX(0,($X163-$Y163)+$J163+$Z163+$N163-$AA163-$AB163-$O163))</x:f>
      </x:c>
    </x:row>
    <x:row r="164">
      <x:c r="A164" s="13"/>
      <x:c r="B164" s="14"/>
      <x:c r="C164" s="8"/>
      <x:c r="D164" s="13"/>
      <x:c r="E164" s="7"/>
      <x:c r="F164" s="13"/>
      <x:c r="G164" s="7"/>
      <x:c r="H164" s="7"/>
      <x:c r="I164" s="10"/>
      <x:c r="J164" s="9"/>
      <x:c r="K164" s="10"/>
      <x:c r="L164" s="10"/>
      <x:c r="M164" s="10"/>
      <x:c r="N164" s="9"/>
      <x:c r="O164" s="9"/>
      <x:c r="P164" s="7"/>
      <x:c r="Q164" s="9"/>
      <x:c r="R164" s="8"/>
      <x:c r="S164" s="9"/>
      <x:c r="T164" s="8"/>
      <x:c r="U164" s="13"/>
      <x:c r="V164" s="7"/>
      <x:c r="W164" s="7"/>
      <x:c r="X164" s="9" t="str">
        <x:f>IF($A164="","",SUMIF(Purchase_Items!$A$2:$A$501,$A164,Purchase_Items!$P$2:$P$501))</x:f>
      </x:c>
      <x:c r="Y164" s="9" t="str">
        <x:f>IF($A164="","",$X164*$I164/100)</x:f>
      </x:c>
      <x:c r="Z164" s="9" t="str">
        <x:f>IF($A164="","",MAX(0,($X164-$Y164)*$K164/100))</x:f>
      </x:c>
      <x:c r="AA164" s="9" t="str">
        <x:f>IF($A164="","",MAX(0,($X164-$Y164)*$L164/100))</x:f>
      </x:c>
      <x:c r="AB164" s="9" t="str">
        <x:f>IF($A164="","",MAX(0,($X164-$Y164)*$M164/100))</x:f>
      </x:c>
      <x:c r="AC164" s="9" t="str">
        <x:f>IF($A164="","",MAX(0,($X164-$Y164)+$J164+$Z164+$N164-$AA164-$AB164-$O164))</x:f>
      </x:c>
    </x:row>
    <x:row r="165">
      <x:c r="A165" s="13"/>
      <x:c r="B165" s="14"/>
      <x:c r="C165" s="8"/>
      <x:c r="D165" s="13"/>
      <x:c r="E165" s="7"/>
      <x:c r="F165" s="13"/>
      <x:c r="G165" s="7"/>
      <x:c r="H165" s="7"/>
      <x:c r="I165" s="10"/>
      <x:c r="J165" s="9"/>
      <x:c r="K165" s="10"/>
      <x:c r="L165" s="10"/>
      <x:c r="M165" s="10"/>
      <x:c r="N165" s="9"/>
      <x:c r="O165" s="9"/>
      <x:c r="P165" s="7"/>
      <x:c r="Q165" s="9"/>
      <x:c r="R165" s="8"/>
      <x:c r="S165" s="9"/>
      <x:c r="T165" s="8"/>
      <x:c r="U165" s="13"/>
      <x:c r="V165" s="7"/>
      <x:c r="W165" s="7"/>
      <x:c r="X165" s="9" t="str">
        <x:f>IF($A165="","",SUMIF(Purchase_Items!$A$2:$A$501,$A165,Purchase_Items!$P$2:$P$501))</x:f>
      </x:c>
      <x:c r="Y165" s="9" t="str">
        <x:f>IF($A165="","",$X165*$I165/100)</x:f>
      </x:c>
      <x:c r="Z165" s="9" t="str">
        <x:f>IF($A165="","",MAX(0,($X165-$Y165)*$K165/100))</x:f>
      </x:c>
      <x:c r="AA165" s="9" t="str">
        <x:f>IF($A165="","",MAX(0,($X165-$Y165)*$L165/100))</x:f>
      </x:c>
      <x:c r="AB165" s="9" t="str">
        <x:f>IF($A165="","",MAX(0,($X165-$Y165)*$M165/100))</x:f>
      </x:c>
      <x:c r="AC165" s="9" t="str">
        <x:f>IF($A165="","",MAX(0,($X165-$Y165)+$J165+$Z165+$N165-$AA165-$AB165-$O165))</x:f>
      </x:c>
    </x:row>
    <x:row r="166">
      <x:c r="A166" s="13"/>
      <x:c r="B166" s="14"/>
      <x:c r="C166" s="8"/>
      <x:c r="D166" s="13"/>
      <x:c r="E166" s="7"/>
      <x:c r="F166" s="13"/>
      <x:c r="G166" s="7"/>
      <x:c r="H166" s="7"/>
      <x:c r="I166" s="10"/>
      <x:c r="J166" s="9"/>
      <x:c r="K166" s="10"/>
      <x:c r="L166" s="10"/>
      <x:c r="M166" s="10"/>
      <x:c r="N166" s="9"/>
      <x:c r="O166" s="9"/>
      <x:c r="P166" s="7"/>
      <x:c r="Q166" s="9"/>
      <x:c r="R166" s="8"/>
      <x:c r="S166" s="9"/>
      <x:c r="T166" s="8"/>
      <x:c r="U166" s="13"/>
      <x:c r="V166" s="7"/>
      <x:c r="W166" s="7"/>
      <x:c r="X166" s="9" t="str">
        <x:f>IF($A166="","",SUMIF(Purchase_Items!$A$2:$A$501,$A166,Purchase_Items!$P$2:$P$501))</x:f>
      </x:c>
      <x:c r="Y166" s="9" t="str">
        <x:f>IF($A166="","",$X166*$I166/100)</x:f>
      </x:c>
      <x:c r="Z166" s="9" t="str">
        <x:f>IF($A166="","",MAX(0,($X166-$Y166)*$K166/100))</x:f>
      </x:c>
      <x:c r="AA166" s="9" t="str">
        <x:f>IF($A166="","",MAX(0,($X166-$Y166)*$L166/100))</x:f>
      </x:c>
      <x:c r="AB166" s="9" t="str">
        <x:f>IF($A166="","",MAX(0,($X166-$Y166)*$M166/100))</x:f>
      </x:c>
      <x:c r="AC166" s="9" t="str">
        <x:f>IF($A166="","",MAX(0,($X166-$Y166)+$J166+$Z166+$N166-$AA166-$AB166-$O166))</x:f>
      </x:c>
    </x:row>
    <x:row r="167">
      <x:c r="A167" s="13"/>
      <x:c r="B167" s="14"/>
      <x:c r="C167" s="8"/>
      <x:c r="D167" s="13"/>
      <x:c r="E167" s="7"/>
      <x:c r="F167" s="13"/>
      <x:c r="G167" s="7"/>
      <x:c r="H167" s="7"/>
      <x:c r="I167" s="10"/>
      <x:c r="J167" s="9"/>
      <x:c r="K167" s="10"/>
      <x:c r="L167" s="10"/>
      <x:c r="M167" s="10"/>
      <x:c r="N167" s="9"/>
      <x:c r="O167" s="9"/>
      <x:c r="P167" s="7"/>
      <x:c r="Q167" s="9"/>
      <x:c r="R167" s="8"/>
      <x:c r="S167" s="9"/>
      <x:c r="T167" s="8"/>
      <x:c r="U167" s="13"/>
      <x:c r="V167" s="7"/>
      <x:c r="W167" s="7"/>
      <x:c r="X167" s="9" t="str">
        <x:f>IF($A167="","",SUMIF(Purchase_Items!$A$2:$A$501,$A167,Purchase_Items!$P$2:$P$501))</x:f>
      </x:c>
      <x:c r="Y167" s="9" t="str">
        <x:f>IF($A167="","",$X167*$I167/100)</x:f>
      </x:c>
      <x:c r="Z167" s="9" t="str">
        <x:f>IF($A167="","",MAX(0,($X167-$Y167)*$K167/100))</x:f>
      </x:c>
      <x:c r="AA167" s="9" t="str">
        <x:f>IF($A167="","",MAX(0,($X167-$Y167)*$L167/100))</x:f>
      </x:c>
      <x:c r="AB167" s="9" t="str">
        <x:f>IF($A167="","",MAX(0,($X167-$Y167)*$M167/100))</x:f>
      </x:c>
      <x:c r="AC167" s="9" t="str">
        <x:f>IF($A167="","",MAX(0,($X167-$Y167)+$J167+$Z167+$N167-$AA167-$AB167-$O167))</x:f>
      </x:c>
    </x:row>
    <x:row r="168">
      <x:c r="A168" s="13"/>
      <x:c r="B168" s="14"/>
      <x:c r="C168" s="8"/>
      <x:c r="D168" s="13"/>
      <x:c r="E168" s="7"/>
      <x:c r="F168" s="13"/>
      <x:c r="G168" s="7"/>
      <x:c r="H168" s="7"/>
      <x:c r="I168" s="10"/>
      <x:c r="J168" s="9"/>
      <x:c r="K168" s="10"/>
      <x:c r="L168" s="10"/>
      <x:c r="M168" s="10"/>
      <x:c r="N168" s="9"/>
      <x:c r="O168" s="9"/>
      <x:c r="P168" s="7"/>
      <x:c r="Q168" s="9"/>
      <x:c r="R168" s="8"/>
      <x:c r="S168" s="9"/>
      <x:c r="T168" s="8"/>
      <x:c r="U168" s="13"/>
      <x:c r="V168" s="7"/>
      <x:c r="W168" s="7"/>
      <x:c r="X168" s="9" t="str">
        <x:f>IF($A168="","",SUMIF(Purchase_Items!$A$2:$A$501,$A168,Purchase_Items!$P$2:$P$501))</x:f>
      </x:c>
      <x:c r="Y168" s="9" t="str">
        <x:f>IF($A168="","",$X168*$I168/100)</x:f>
      </x:c>
      <x:c r="Z168" s="9" t="str">
        <x:f>IF($A168="","",MAX(0,($X168-$Y168)*$K168/100))</x:f>
      </x:c>
      <x:c r="AA168" s="9" t="str">
        <x:f>IF($A168="","",MAX(0,($X168-$Y168)*$L168/100))</x:f>
      </x:c>
      <x:c r="AB168" s="9" t="str">
        <x:f>IF($A168="","",MAX(0,($X168-$Y168)*$M168/100))</x:f>
      </x:c>
      <x:c r="AC168" s="9" t="str">
        <x:f>IF($A168="","",MAX(0,($X168-$Y168)+$J168+$Z168+$N168-$AA168-$AB168-$O168))</x:f>
      </x:c>
    </x:row>
    <x:row r="169">
      <x:c r="A169" s="13"/>
      <x:c r="B169" s="14"/>
      <x:c r="C169" s="8"/>
      <x:c r="D169" s="13"/>
      <x:c r="E169" s="7"/>
      <x:c r="F169" s="13"/>
      <x:c r="G169" s="7"/>
      <x:c r="H169" s="7"/>
      <x:c r="I169" s="10"/>
      <x:c r="J169" s="9"/>
      <x:c r="K169" s="10"/>
      <x:c r="L169" s="10"/>
      <x:c r="M169" s="10"/>
      <x:c r="N169" s="9"/>
      <x:c r="O169" s="9"/>
      <x:c r="P169" s="7"/>
      <x:c r="Q169" s="9"/>
      <x:c r="R169" s="8"/>
      <x:c r="S169" s="9"/>
      <x:c r="T169" s="8"/>
      <x:c r="U169" s="13"/>
      <x:c r="V169" s="7"/>
      <x:c r="W169" s="7"/>
      <x:c r="X169" s="9" t="str">
        <x:f>IF($A169="","",SUMIF(Purchase_Items!$A$2:$A$501,$A169,Purchase_Items!$P$2:$P$501))</x:f>
      </x:c>
      <x:c r="Y169" s="9" t="str">
        <x:f>IF($A169="","",$X169*$I169/100)</x:f>
      </x:c>
      <x:c r="Z169" s="9" t="str">
        <x:f>IF($A169="","",MAX(0,($X169-$Y169)*$K169/100))</x:f>
      </x:c>
      <x:c r="AA169" s="9" t="str">
        <x:f>IF($A169="","",MAX(0,($X169-$Y169)*$L169/100))</x:f>
      </x:c>
      <x:c r="AB169" s="9" t="str">
        <x:f>IF($A169="","",MAX(0,($X169-$Y169)*$M169/100))</x:f>
      </x:c>
      <x:c r="AC169" s="9" t="str">
        <x:f>IF($A169="","",MAX(0,($X169-$Y169)+$J169+$Z169+$N169-$AA169-$AB169-$O169))</x:f>
      </x:c>
    </x:row>
    <x:row r="170">
      <x:c r="A170" s="13"/>
      <x:c r="B170" s="14"/>
      <x:c r="C170" s="8"/>
      <x:c r="D170" s="13"/>
      <x:c r="E170" s="7"/>
      <x:c r="F170" s="13"/>
      <x:c r="G170" s="7"/>
      <x:c r="H170" s="7"/>
      <x:c r="I170" s="10"/>
      <x:c r="J170" s="9"/>
      <x:c r="K170" s="10"/>
      <x:c r="L170" s="10"/>
      <x:c r="M170" s="10"/>
      <x:c r="N170" s="9"/>
      <x:c r="O170" s="9"/>
      <x:c r="P170" s="7"/>
      <x:c r="Q170" s="9"/>
      <x:c r="R170" s="8"/>
      <x:c r="S170" s="9"/>
      <x:c r="T170" s="8"/>
      <x:c r="U170" s="13"/>
      <x:c r="V170" s="7"/>
      <x:c r="W170" s="7"/>
      <x:c r="X170" s="9" t="str">
        <x:f>IF($A170="","",SUMIF(Purchase_Items!$A$2:$A$501,$A170,Purchase_Items!$P$2:$P$501))</x:f>
      </x:c>
      <x:c r="Y170" s="9" t="str">
        <x:f>IF($A170="","",$X170*$I170/100)</x:f>
      </x:c>
      <x:c r="Z170" s="9" t="str">
        <x:f>IF($A170="","",MAX(0,($X170-$Y170)*$K170/100))</x:f>
      </x:c>
      <x:c r="AA170" s="9" t="str">
        <x:f>IF($A170="","",MAX(0,($X170-$Y170)*$L170/100))</x:f>
      </x:c>
      <x:c r="AB170" s="9" t="str">
        <x:f>IF($A170="","",MAX(0,($X170-$Y170)*$M170/100))</x:f>
      </x:c>
      <x:c r="AC170" s="9" t="str">
        <x:f>IF($A170="","",MAX(0,($X170-$Y170)+$J170+$Z170+$N170-$AA170-$AB170-$O170))</x:f>
      </x:c>
    </x:row>
    <x:row r="171">
      <x:c r="A171" s="13"/>
      <x:c r="B171" s="14"/>
      <x:c r="C171" s="8"/>
      <x:c r="D171" s="13"/>
      <x:c r="E171" s="7"/>
      <x:c r="F171" s="13"/>
      <x:c r="G171" s="7"/>
      <x:c r="H171" s="7"/>
      <x:c r="I171" s="10"/>
      <x:c r="J171" s="9"/>
      <x:c r="K171" s="10"/>
      <x:c r="L171" s="10"/>
      <x:c r="M171" s="10"/>
      <x:c r="N171" s="9"/>
      <x:c r="O171" s="9"/>
      <x:c r="P171" s="7"/>
      <x:c r="Q171" s="9"/>
      <x:c r="R171" s="8"/>
      <x:c r="S171" s="9"/>
      <x:c r="T171" s="8"/>
      <x:c r="U171" s="13"/>
      <x:c r="V171" s="7"/>
      <x:c r="W171" s="7"/>
      <x:c r="X171" s="9" t="str">
        <x:f>IF($A171="","",SUMIF(Purchase_Items!$A$2:$A$501,$A171,Purchase_Items!$P$2:$P$501))</x:f>
      </x:c>
      <x:c r="Y171" s="9" t="str">
        <x:f>IF($A171="","",$X171*$I171/100)</x:f>
      </x:c>
      <x:c r="Z171" s="9" t="str">
        <x:f>IF($A171="","",MAX(0,($X171-$Y171)*$K171/100))</x:f>
      </x:c>
      <x:c r="AA171" s="9" t="str">
        <x:f>IF($A171="","",MAX(0,($X171-$Y171)*$L171/100))</x:f>
      </x:c>
      <x:c r="AB171" s="9" t="str">
        <x:f>IF($A171="","",MAX(0,($X171-$Y171)*$M171/100))</x:f>
      </x:c>
      <x:c r="AC171" s="9" t="str">
        <x:f>IF($A171="","",MAX(0,($X171-$Y171)+$J171+$Z171+$N171-$AA171-$AB171-$O171))</x:f>
      </x:c>
    </x:row>
    <x:row r="172">
      <x:c r="A172" s="13"/>
      <x:c r="B172" s="14"/>
      <x:c r="C172" s="8"/>
      <x:c r="D172" s="13"/>
      <x:c r="E172" s="7"/>
      <x:c r="F172" s="13"/>
      <x:c r="G172" s="7"/>
      <x:c r="H172" s="7"/>
      <x:c r="I172" s="10"/>
      <x:c r="J172" s="9"/>
      <x:c r="K172" s="10"/>
      <x:c r="L172" s="10"/>
      <x:c r="M172" s="10"/>
      <x:c r="N172" s="9"/>
      <x:c r="O172" s="9"/>
      <x:c r="P172" s="7"/>
      <x:c r="Q172" s="9"/>
      <x:c r="R172" s="8"/>
      <x:c r="S172" s="9"/>
      <x:c r="T172" s="8"/>
      <x:c r="U172" s="13"/>
      <x:c r="V172" s="7"/>
      <x:c r="W172" s="7"/>
      <x:c r="X172" s="9" t="str">
        <x:f>IF($A172="","",SUMIF(Purchase_Items!$A$2:$A$501,$A172,Purchase_Items!$P$2:$P$501))</x:f>
      </x:c>
      <x:c r="Y172" s="9" t="str">
        <x:f>IF($A172="","",$X172*$I172/100)</x:f>
      </x:c>
      <x:c r="Z172" s="9" t="str">
        <x:f>IF($A172="","",MAX(0,($X172-$Y172)*$K172/100))</x:f>
      </x:c>
      <x:c r="AA172" s="9" t="str">
        <x:f>IF($A172="","",MAX(0,($X172-$Y172)*$L172/100))</x:f>
      </x:c>
      <x:c r="AB172" s="9" t="str">
        <x:f>IF($A172="","",MAX(0,($X172-$Y172)*$M172/100))</x:f>
      </x:c>
      <x:c r="AC172" s="9" t="str">
        <x:f>IF($A172="","",MAX(0,($X172-$Y172)+$J172+$Z172+$N172-$AA172-$AB172-$O172))</x:f>
      </x:c>
    </x:row>
    <x:row r="173">
      <x:c r="A173" s="13"/>
      <x:c r="B173" s="14"/>
      <x:c r="C173" s="8"/>
      <x:c r="D173" s="13"/>
      <x:c r="E173" s="7"/>
      <x:c r="F173" s="13"/>
      <x:c r="G173" s="7"/>
      <x:c r="H173" s="7"/>
      <x:c r="I173" s="10"/>
      <x:c r="J173" s="9"/>
      <x:c r="K173" s="10"/>
      <x:c r="L173" s="10"/>
      <x:c r="M173" s="10"/>
      <x:c r="N173" s="9"/>
      <x:c r="O173" s="9"/>
      <x:c r="P173" s="7"/>
      <x:c r="Q173" s="9"/>
      <x:c r="R173" s="8"/>
      <x:c r="S173" s="9"/>
      <x:c r="T173" s="8"/>
      <x:c r="U173" s="13"/>
      <x:c r="V173" s="7"/>
      <x:c r="W173" s="7"/>
      <x:c r="X173" s="9" t="str">
        <x:f>IF($A173="","",SUMIF(Purchase_Items!$A$2:$A$501,$A173,Purchase_Items!$P$2:$P$501))</x:f>
      </x:c>
      <x:c r="Y173" s="9" t="str">
        <x:f>IF($A173="","",$X173*$I173/100)</x:f>
      </x:c>
      <x:c r="Z173" s="9" t="str">
        <x:f>IF($A173="","",MAX(0,($X173-$Y173)*$K173/100))</x:f>
      </x:c>
      <x:c r="AA173" s="9" t="str">
        <x:f>IF($A173="","",MAX(0,($X173-$Y173)*$L173/100))</x:f>
      </x:c>
      <x:c r="AB173" s="9" t="str">
        <x:f>IF($A173="","",MAX(0,($X173-$Y173)*$M173/100))</x:f>
      </x:c>
      <x:c r="AC173" s="9" t="str">
        <x:f>IF($A173="","",MAX(0,($X173-$Y173)+$J173+$Z173+$N173-$AA173-$AB173-$O173))</x:f>
      </x:c>
    </x:row>
    <x:row r="174">
      <x:c r="A174" s="13"/>
      <x:c r="B174" s="14"/>
      <x:c r="C174" s="8"/>
      <x:c r="D174" s="13"/>
      <x:c r="E174" s="7"/>
      <x:c r="F174" s="13"/>
      <x:c r="G174" s="7"/>
      <x:c r="H174" s="7"/>
      <x:c r="I174" s="10"/>
      <x:c r="J174" s="9"/>
      <x:c r="K174" s="10"/>
      <x:c r="L174" s="10"/>
      <x:c r="M174" s="10"/>
      <x:c r="N174" s="9"/>
      <x:c r="O174" s="9"/>
      <x:c r="P174" s="7"/>
      <x:c r="Q174" s="9"/>
      <x:c r="R174" s="8"/>
      <x:c r="S174" s="9"/>
      <x:c r="T174" s="8"/>
      <x:c r="U174" s="13"/>
      <x:c r="V174" s="7"/>
      <x:c r="W174" s="7"/>
      <x:c r="X174" s="9" t="str">
        <x:f>IF($A174="","",SUMIF(Purchase_Items!$A$2:$A$501,$A174,Purchase_Items!$P$2:$P$501))</x:f>
      </x:c>
      <x:c r="Y174" s="9" t="str">
        <x:f>IF($A174="","",$X174*$I174/100)</x:f>
      </x:c>
      <x:c r="Z174" s="9" t="str">
        <x:f>IF($A174="","",MAX(0,($X174-$Y174)*$K174/100))</x:f>
      </x:c>
      <x:c r="AA174" s="9" t="str">
        <x:f>IF($A174="","",MAX(0,($X174-$Y174)*$L174/100))</x:f>
      </x:c>
      <x:c r="AB174" s="9" t="str">
        <x:f>IF($A174="","",MAX(0,($X174-$Y174)*$M174/100))</x:f>
      </x:c>
      <x:c r="AC174" s="9" t="str">
        <x:f>IF($A174="","",MAX(0,($X174-$Y174)+$J174+$Z174+$N174-$AA174-$AB174-$O174))</x:f>
      </x:c>
    </x:row>
    <x:row r="175">
      <x:c r="A175" s="13"/>
      <x:c r="B175" s="14"/>
      <x:c r="C175" s="8"/>
      <x:c r="D175" s="13"/>
      <x:c r="E175" s="7"/>
      <x:c r="F175" s="13"/>
      <x:c r="G175" s="7"/>
      <x:c r="H175" s="7"/>
      <x:c r="I175" s="10"/>
      <x:c r="J175" s="9"/>
      <x:c r="K175" s="10"/>
      <x:c r="L175" s="10"/>
      <x:c r="M175" s="10"/>
      <x:c r="N175" s="9"/>
      <x:c r="O175" s="9"/>
      <x:c r="P175" s="7"/>
      <x:c r="Q175" s="9"/>
      <x:c r="R175" s="8"/>
      <x:c r="S175" s="9"/>
      <x:c r="T175" s="8"/>
      <x:c r="U175" s="13"/>
      <x:c r="V175" s="7"/>
      <x:c r="W175" s="7"/>
      <x:c r="X175" s="9" t="str">
        <x:f>IF($A175="","",SUMIF(Purchase_Items!$A$2:$A$501,$A175,Purchase_Items!$P$2:$P$501))</x:f>
      </x:c>
      <x:c r="Y175" s="9" t="str">
        <x:f>IF($A175="","",$X175*$I175/100)</x:f>
      </x:c>
      <x:c r="Z175" s="9" t="str">
        <x:f>IF($A175="","",MAX(0,($X175-$Y175)*$K175/100))</x:f>
      </x:c>
      <x:c r="AA175" s="9" t="str">
        <x:f>IF($A175="","",MAX(0,($X175-$Y175)*$L175/100))</x:f>
      </x:c>
      <x:c r="AB175" s="9" t="str">
        <x:f>IF($A175="","",MAX(0,($X175-$Y175)*$M175/100))</x:f>
      </x:c>
      <x:c r="AC175" s="9" t="str">
        <x:f>IF($A175="","",MAX(0,($X175-$Y175)+$J175+$Z175+$N175-$AA175-$AB175-$O175))</x:f>
      </x:c>
    </x:row>
    <x:row r="176">
      <x:c r="A176" s="13"/>
      <x:c r="B176" s="14"/>
      <x:c r="C176" s="8"/>
      <x:c r="D176" s="13"/>
      <x:c r="E176" s="7"/>
      <x:c r="F176" s="13"/>
      <x:c r="G176" s="7"/>
      <x:c r="H176" s="7"/>
      <x:c r="I176" s="10"/>
      <x:c r="J176" s="9"/>
      <x:c r="K176" s="10"/>
      <x:c r="L176" s="10"/>
      <x:c r="M176" s="10"/>
      <x:c r="N176" s="9"/>
      <x:c r="O176" s="9"/>
      <x:c r="P176" s="7"/>
      <x:c r="Q176" s="9"/>
      <x:c r="R176" s="8"/>
      <x:c r="S176" s="9"/>
      <x:c r="T176" s="8"/>
      <x:c r="U176" s="13"/>
      <x:c r="V176" s="7"/>
      <x:c r="W176" s="7"/>
      <x:c r="X176" s="9" t="str">
        <x:f>IF($A176="","",SUMIF(Purchase_Items!$A$2:$A$501,$A176,Purchase_Items!$P$2:$P$501))</x:f>
      </x:c>
      <x:c r="Y176" s="9" t="str">
        <x:f>IF($A176="","",$X176*$I176/100)</x:f>
      </x:c>
      <x:c r="Z176" s="9" t="str">
        <x:f>IF($A176="","",MAX(0,($X176-$Y176)*$K176/100))</x:f>
      </x:c>
      <x:c r="AA176" s="9" t="str">
        <x:f>IF($A176="","",MAX(0,($X176-$Y176)*$L176/100))</x:f>
      </x:c>
      <x:c r="AB176" s="9" t="str">
        <x:f>IF($A176="","",MAX(0,($X176-$Y176)*$M176/100))</x:f>
      </x:c>
      <x:c r="AC176" s="9" t="str">
        <x:f>IF($A176="","",MAX(0,($X176-$Y176)+$J176+$Z176+$N176-$AA176-$AB176-$O176))</x:f>
      </x:c>
    </x:row>
    <x:row r="177">
      <x:c r="A177" s="13"/>
      <x:c r="B177" s="14"/>
      <x:c r="C177" s="8"/>
      <x:c r="D177" s="13"/>
      <x:c r="E177" s="7"/>
      <x:c r="F177" s="13"/>
      <x:c r="G177" s="7"/>
      <x:c r="H177" s="7"/>
      <x:c r="I177" s="10"/>
      <x:c r="J177" s="9"/>
      <x:c r="K177" s="10"/>
      <x:c r="L177" s="10"/>
      <x:c r="M177" s="10"/>
      <x:c r="N177" s="9"/>
      <x:c r="O177" s="9"/>
      <x:c r="P177" s="7"/>
      <x:c r="Q177" s="9"/>
      <x:c r="R177" s="8"/>
      <x:c r="S177" s="9"/>
      <x:c r="T177" s="8"/>
      <x:c r="U177" s="13"/>
      <x:c r="V177" s="7"/>
      <x:c r="W177" s="7"/>
      <x:c r="X177" s="9" t="str">
        <x:f>IF($A177="","",SUMIF(Purchase_Items!$A$2:$A$501,$A177,Purchase_Items!$P$2:$P$501))</x:f>
      </x:c>
      <x:c r="Y177" s="9" t="str">
        <x:f>IF($A177="","",$X177*$I177/100)</x:f>
      </x:c>
      <x:c r="Z177" s="9" t="str">
        <x:f>IF($A177="","",MAX(0,($X177-$Y177)*$K177/100))</x:f>
      </x:c>
      <x:c r="AA177" s="9" t="str">
        <x:f>IF($A177="","",MAX(0,($X177-$Y177)*$L177/100))</x:f>
      </x:c>
      <x:c r="AB177" s="9" t="str">
        <x:f>IF($A177="","",MAX(0,($X177-$Y177)*$M177/100))</x:f>
      </x:c>
      <x:c r="AC177" s="9" t="str">
        <x:f>IF($A177="","",MAX(0,($X177-$Y177)+$J177+$Z177+$N177-$AA177-$AB177-$O177))</x:f>
      </x:c>
    </x:row>
    <x:row r="178">
      <x:c r="A178" s="13"/>
      <x:c r="B178" s="14"/>
      <x:c r="C178" s="8"/>
      <x:c r="D178" s="13"/>
      <x:c r="E178" s="7"/>
      <x:c r="F178" s="13"/>
      <x:c r="G178" s="7"/>
      <x:c r="H178" s="7"/>
      <x:c r="I178" s="10"/>
      <x:c r="J178" s="9"/>
      <x:c r="K178" s="10"/>
      <x:c r="L178" s="10"/>
      <x:c r="M178" s="10"/>
      <x:c r="N178" s="9"/>
      <x:c r="O178" s="9"/>
      <x:c r="P178" s="7"/>
      <x:c r="Q178" s="9"/>
      <x:c r="R178" s="8"/>
      <x:c r="S178" s="9"/>
      <x:c r="T178" s="8"/>
      <x:c r="U178" s="13"/>
      <x:c r="V178" s="7"/>
      <x:c r="W178" s="7"/>
      <x:c r="X178" s="9" t="str">
        <x:f>IF($A178="","",SUMIF(Purchase_Items!$A$2:$A$501,$A178,Purchase_Items!$P$2:$P$501))</x:f>
      </x:c>
      <x:c r="Y178" s="9" t="str">
        <x:f>IF($A178="","",$X178*$I178/100)</x:f>
      </x:c>
      <x:c r="Z178" s="9" t="str">
        <x:f>IF($A178="","",MAX(0,($X178-$Y178)*$K178/100))</x:f>
      </x:c>
      <x:c r="AA178" s="9" t="str">
        <x:f>IF($A178="","",MAX(0,($X178-$Y178)*$L178/100))</x:f>
      </x:c>
      <x:c r="AB178" s="9" t="str">
        <x:f>IF($A178="","",MAX(0,($X178-$Y178)*$M178/100))</x:f>
      </x:c>
      <x:c r="AC178" s="9" t="str">
        <x:f>IF($A178="","",MAX(0,($X178-$Y178)+$J178+$Z178+$N178-$AA178-$AB178-$O178))</x:f>
      </x:c>
    </x:row>
    <x:row r="179">
      <x:c r="A179" s="13"/>
      <x:c r="B179" s="14"/>
      <x:c r="C179" s="8"/>
      <x:c r="D179" s="13"/>
      <x:c r="E179" s="7"/>
      <x:c r="F179" s="13"/>
      <x:c r="G179" s="7"/>
      <x:c r="H179" s="7"/>
      <x:c r="I179" s="10"/>
      <x:c r="J179" s="9"/>
      <x:c r="K179" s="10"/>
      <x:c r="L179" s="10"/>
      <x:c r="M179" s="10"/>
      <x:c r="N179" s="9"/>
      <x:c r="O179" s="9"/>
      <x:c r="P179" s="7"/>
      <x:c r="Q179" s="9"/>
      <x:c r="R179" s="8"/>
      <x:c r="S179" s="9"/>
      <x:c r="T179" s="8"/>
      <x:c r="U179" s="13"/>
      <x:c r="V179" s="7"/>
      <x:c r="W179" s="7"/>
      <x:c r="X179" s="9" t="str">
        <x:f>IF($A179="","",SUMIF(Purchase_Items!$A$2:$A$501,$A179,Purchase_Items!$P$2:$P$501))</x:f>
      </x:c>
      <x:c r="Y179" s="9" t="str">
        <x:f>IF($A179="","",$X179*$I179/100)</x:f>
      </x:c>
      <x:c r="Z179" s="9" t="str">
        <x:f>IF($A179="","",MAX(0,($X179-$Y179)*$K179/100))</x:f>
      </x:c>
      <x:c r="AA179" s="9" t="str">
        <x:f>IF($A179="","",MAX(0,($X179-$Y179)*$L179/100))</x:f>
      </x:c>
      <x:c r="AB179" s="9" t="str">
        <x:f>IF($A179="","",MAX(0,($X179-$Y179)*$M179/100))</x:f>
      </x:c>
      <x:c r="AC179" s="9" t="str">
        <x:f>IF($A179="","",MAX(0,($X179-$Y179)+$J179+$Z179+$N179-$AA179-$AB179-$O179))</x:f>
      </x:c>
    </x:row>
    <x:row r="180">
      <x:c r="A180" s="13"/>
      <x:c r="B180" s="14"/>
      <x:c r="C180" s="8"/>
      <x:c r="D180" s="13"/>
      <x:c r="E180" s="7"/>
      <x:c r="F180" s="13"/>
      <x:c r="G180" s="7"/>
      <x:c r="H180" s="7"/>
      <x:c r="I180" s="10"/>
      <x:c r="J180" s="9"/>
      <x:c r="K180" s="10"/>
      <x:c r="L180" s="10"/>
      <x:c r="M180" s="10"/>
      <x:c r="N180" s="9"/>
      <x:c r="O180" s="9"/>
      <x:c r="P180" s="7"/>
      <x:c r="Q180" s="9"/>
      <x:c r="R180" s="8"/>
      <x:c r="S180" s="9"/>
      <x:c r="T180" s="8"/>
      <x:c r="U180" s="13"/>
      <x:c r="V180" s="7"/>
      <x:c r="W180" s="7"/>
      <x:c r="X180" s="9" t="str">
        <x:f>IF($A180="","",SUMIF(Purchase_Items!$A$2:$A$501,$A180,Purchase_Items!$P$2:$P$501))</x:f>
      </x:c>
      <x:c r="Y180" s="9" t="str">
        <x:f>IF($A180="","",$X180*$I180/100)</x:f>
      </x:c>
      <x:c r="Z180" s="9" t="str">
        <x:f>IF($A180="","",MAX(0,($X180-$Y180)*$K180/100))</x:f>
      </x:c>
      <x:c r="AA180" s="9" t="str">
        <x:f>IF($A180="","",MAX(0,($X180-$Y180)*$L180/100))</x:f>
      </x:c>
      <x:c r="AB180" s="9" t="str">
        <x:f>IF($A180="","",MAX(0,($X180-$Y180)*$M180/100))</x:f>
      </x:c>
      <x:c r="AC180" s="9" t="str">
        <x:f>IF($A180="","",MAX(0,($X180-$Y180)+$J180+$Z180+$N180-$AA180-$AB180-$O180))</x:f>
      </x:c>
    </x:row>
    <x:row r="181">
      <x:c r="A181" s="13"/>
      <x:c r="B181" s="14"/>
      <x:c r="C181" s="8"/>
      <x:c r="D181" s="13"/>
      <x:c r="E181" s="7"/>
      <x:c r="F181" s="13"/>
      <x:c r="G181" s="7"/>
      <x:c r="H181" s="7"/>
      <x:c r="I181" s="10"/>
      <x:c r="J181" s="9"/>
      <x:c r="K181" s="10"/>
      <x:c r="L181" s="10"/>
      <x:c r="M181" s="10"/>
      <x:c r="N181" s="9"/>
      <x:c r="O181" s="9"/>
      <x:c r="P181" s="7"/>
      <x:c r="Q181" s="9"/>
      <x:c r="R181" s="8"/>
      <x:c r="S181" s="9"/>
      <x:c r="T181" s="8"/>
      <x:c r="U181" s="13"/>
      <x:c r="V181" s="7"/>
      <x:c r="W181" s="7"/>
      <x:c r="X181" s="9" t="str">
        <x:f>IF($A181="","",SUMIF(Purchase_Items!$A$2:$A$501,$A181,Purchase_Items!$P$2:$P$501))</x:f>
      </x:c>
      <x:c r="Y181" s="9" t="str">
        <x:f>IF($A181="","",$X181*$I181/100)</x:f>
      </x:c>
      <x:c r="Z181" s="9" t="str">
        <x:f>IF($A181="","",MAX(0,($X181-$Y181)*$K181/100))</x:f>
      </x:c>
      <x:c r="AA181" s="9" t="str">
        <x:f>IF($A181="","",MAX(0,($X181-$Y181)*$L181/100))</x:f>
      </x:c>
      <x:c r="AB181" s="9" t="str">
        <x:f>IF($A181="","",MAX(0,($X181-$Y181)*$M181/100))</x:f>
      </x:c>
      <x:c r="AC181" s="9" t="str">
        <x:f>IF($A181="","",MAX(0,($X181-$Y181)+$J181+$Z181+$N181-$AA181-$AB181-$O181))</x:f>
      </x:c>
    </x:row>
    <x:row r="182">
      <x:c r="A182" s="13"/>
      <x:c r="B182" s="14"/>
      <x:c r="C182" s="8"/>
      <x:c r="D182" s="13"/>
      <x:c r="E182" s="7"/>
      <x:c r="F182" s="13"/>
      <x:c r="G182" s="7"/>
      <x:c r="H182" s="7"/>
      <x:c r="I182" s="10"/>
      <x:c r="J182" s="9"/>
      <x:c r="K182" s="10"/>
      <x:c r="L182" s="10"/>
      <x:c r="M182" s="10"/>
      <x:c r="N182" s="9"/>
      <x:c r="O182" s="9"/>
      <x:c r="P182" s="7"/>
      <x:c r="Q182" s="9"/>
      <x:c r="R182" s="8"/>
      <x:c r="S182" s="9"/>
      <x:c r="T182" s="8"/>
      <x:c r="U182" s="13"/>
      <x:c r="V182" s="7"/>
      <x:c r="W182" s="7"/>
      <x:c r="X182" s="9" t="str">
        <x:f>IF($A182="","",SUMIF(Purchase_Items!$A$2:$A$501,$A182,Purchase_Items!$P$2:$P$501))</x:f>
      </x:c>
      <x:c r="Y182" s="9" t="str">
        <x:f>IF($A182="","",$X182*$I182/100)</x:f>
      </x:c>
      <x:c r="Z182" s="9" t="str">
        <x:f>IF($A182="","",MAX(0,($X182-$Y182)*$K182/100))</x:f>
      </x:c>
      <x:c r="AA182" s="9" t="str">
        <x:f>IF($A182="","",MAX(0,($X182-$Y182)*$L182/100))</x:f>
      </x:c>
      <x:c r="AB182" s="9" t="str">
        <x:f>IF($A182="","",MAX(0,($X182-$Y182)*$M182/100))</x:f>
      </x:c>
      <x:c r="AC182" s="9" t="str">
        <x:f>IF($A182="","",MAX(0,($X182-$Y182)+$J182+$Z182+$N182-$AA182-$AB182-$O182))</x:f>
      </x:c>
    </x:row>
    <x:row r="183">
      <x:c r="A183" s="13"/>
      <x:c r="B183" s="14"/>
      <x:c r="C183" s="8"/>
      <x:c r="D183" s="13"/>
      <x:c r="E183" s="7"/>
      <x:c r="F183" s="13"/>
      <x:c r="G183" s="7"/>
      <x:c r="H183" s="7"/>
      <x:c r="I183" s="10"/>
      <x:c r="J183" s="9"/>
      <x:c r="K183" s="10"/>
      <x:c r="L183" s="10"/>
      <x:c r="M183" s="10"/>
      <x:c r="N183" s="9"/>
      <x:c r="O183" s="9"/>
      <x:c r="P183" s="7"/>
      <x:c r="Q183" s="9"/>
      <x:c r="R183" s="8"/>
      <x:c r="S183" s="9"/>
      <x:c r="T183" s="8"/>
      <x:c r="U183" s="13"/>
      <x:c r="V183" s="7"/>
      <x:c r="W183" s="7"/>
      <x:c r="X183" s="9" t="str">
        <x:f>IF($A183="","",SUMIF(Purchase_Items!$A$2:$A$501,$A183,Purchase_Items!$P$2:$P$501))</x:f>
      </x:c>
      <x:c r="Y183" s="9" t="str">
        <x:f>IF($A183="","",$X183*$I183/100)</x:f>
      </x:c>
      <x:c r="Z183" s="9" t="str">
        <x:f>IF($A183="","",MAX(0,($X183-$Y183)*$K183/100))</x:f>
      </x:c>
      <x:c r="AA183" s="9" t="str">
        <x:f>IF($A183="","",MAX(0,($X183-$Y183)*$L183/100))</x:f>
      </x:c>
      <x:c r="AB183" s="9" t="str">
        <x:f>IF($A183="","",MAX(0,($X183-$Y183)*$M183/100))</x:f>
      </x:c>
      <x:c r="AC183" s="9" t="str">
        <x:f>IF($A183="","",MAX(0,($X183-$Y183)+$J183+$Z183+$N183-$AA183-$AB183-$O183))</x:f>
      </x:c>
    </x:row>
    <x:row r="184">
      <x:c r="A184" s="13"/>
      <x:c r="B184" s="14"/>
      <x:c r="C184" s="8"/>
      <x:c r="D184" s="13"/>
      <x:c r="E184" s="7"/>
      <x:c r="F184" s="13"/>
      <x:c r="G184" s="7"/>
      <x:c r="H184" s="7"/>
      <x:c r="I184" s="10"/>
      <x:c r="J184" s="9"/>
      <x:c r="K184" s="10"/>
      <x:c r="L184" s="10"/>
      <x:c r="M184" s="10"/>
      <x:c r="N184" s="9"/>
      <x:c r="O184" s="9"/>
      <x:c r="P184" s="7"/>
      <x:c r="Q184" s="9"/>
      <x:c r="R184" s="8"/>
      <x:c r="S184" s="9"/>
      <x:c r="T184" s="8"/>
      <x:c r="U184" s="13"/>
      <x:c r="V184" s="7"/>
      <x:c r="W184" s="7"/>
      <x:c r="X184" s="9" t="str">
        <x:f>IF($A184="","",SUMIF(Purchase_Items!$A$2:$A$501,$A184,Purchase_Items!$P$2:$P$501))</x:f>
      </x:c>
      <x:c r="Y184" s="9" t="str">
        <x:f>IF($A184="","",$X184*$I184/100)</x:f>
      </x:c>
      <x:c r="Z184" s="9" t="str">
        <x:f>IF($A184="","",MAX(0,($X184-$Y184)*$K184/100))</x:f>
      </x:c>
      <x:c r="AA184" s="9" t="str">
        <x:f>IF($A184="","",MAX(0,($X184-$Y184)*$L184/100))</x:f>
      </x:c>
      <x:c r="AB184" s="9" t="str">
        <x:f>IF($A184="","",MAX(0,($X184-$Y184)*$M184/100))</x:f>
      </x:c>
      <x:c r="AC184" s="9" t="str">
        <x:f>IF($A184="","",MAX(0,($X184-$Y184)+$J184+$Z184+$N184-$AA184-$AB184-$O184))</x:f>
      </x:c>
    </x:row>
    <x:row r="185">
      <x:c r="A185" s="13"/>
      <x:c r="B185" s="14"/>
      <x:c r="C185" s="8"/>
      <x:c r="D185" s="13"/>
      <x:c r="E185" s="7"/>
      <x:c r="F185" s="13"/>
      <x:c r="G185" s="7"/>
      <x:c r="H185" s="7"/>
      <x:c r="I185" s="10"/>
      <x:c r="J185" s="9"/>
      <x:c r="K185" s="10"/>
      <x:c r="L185" s="10"/>
      <x:c r="M185" s="10"/>
      <x:c r="N185" s="9"/>
      <x:c r="O185" s="9"/>
      <x:c r="P185" s="7"/>
      <x:c r="Q185" s="9"/>
      <x:c r="R185" s="8"/>
      <x:c r="S185" s="9"/>
      <x:c r="T185" s="8"/>
      <x:c r="U185" s="13"/>
      <x:c r="V185" s="7"/>
      <x:c r="W185" s="7"/>
      <x:c r="X185" s="9" t="str">
        <x:f>IF($A185="","",SUMIF(Purchase_Items!$A$2:$A$501,$A185,Purchase_Items!$P$2:$P$501))</x:f>
      </x:c>
      <x:c r="Y185" s="9" t="str">
        <x:f>IF($A185="","",$X185*$I185/100)</x:f>
      </x:c>
      <x:c r="Z185" s="9" t="str">
        <x:f>IF($A185="","",MAX(0,($X185-$Y185)*$K185/100))</x:f>
      </x:c>
      <x:c r="AA185" s="9" t="str">
        <x:f>IF($A185="","",MAX(0,($X185-$Y185)*$L185/100))</x:f>
      </x:c>
      <x:c r="AB185" s="9" t="str">
        <x:f>IF($A185="","",MAX(0,($X185-$Y185)*$M185/100))</x:f>
      </x:c>
      <x:c r="AC185" s="9" t="str">
        <x:f>IF($A185="","",MAX(0,($X185-$Y185)+$J185+$Z185+$N185-$AA185-$AB185-$O185))</x:f>
      </x:c>
    </x:row>
    <x:row r="186">
      <x:c r="A186" s="13"/>
      <x:c r="B186" s="14"/>
      <x:c r="C186" s="8"/>
      <x:c r="D186" s="13"/>
      <x:c r="E186" s="7"/>
      <x:c r="F186" s="13"/>
      <x:c r="G186" s="7"/>
      <x:c r="H186" s="7"/>
      <x:c r="I186" s="10"/>
      <x:c r="J186" s="9"/>
      <x:c r="K186" s="10"/>
      <x:c r="L186" s="10"/>
      <x:c r="M186" s="10"/>
      <x:c r="N186" s="9"/>
      <x:c r="O186" s="9"/>
      <x:c r="P186" s="7"/>
      <x:c r="Q186" s="9"/>
      <x:c r="R186" s="8"/>
      <x:c r="S186" s="9"/>
      <x:c r="T186" s="8"/>
      <x:c r="U186" s="13"/>
      <x:c r="V186" s="7"/>
      <x:c r="W186" s="7"/>
      <x:c r="X186" s="9" t="str">
        <x:f>IF($A186="","",SUMIF(Purchase_Items!$A$2:$A$501,$A186,Purchase_Items!$P$2:$P$501))</x:f>
      </x:c>
      <x:c r="Y186" s="9" t="str">
        <x:f>IF($A186="","",$X186*$I186/100)</x:f>
      </x:c>
      <x:c r="Z186" s="9" t="str">
        <x:f>IF($A186="","",MAX(0,($X186-$Y186)*$K186/100))</x:f>
      </x:c>
      <x:c r="AA186" s="9" t="str">
        <x:f>IF($A186="","",MAX(0,($X186-$Y186)*$L186/100))</x:f>
      </x:c>
      <x:c r="AB186" s="9" t="str">
        <x:f>IF($A186="","",MAX(0,($X186-$Y186)*$M186/100))</x:f>
      </x:c>
      <x:c r="AC186" s="9" t="str">
        <x:f>IF($A186="","",MAX(0,($X186-$Y186)+$J186+$Z186+$N186-$AA186-$AB186-$O186))</x:f>
      </x:c>
    </x:row>
    <x:row r="187">
      <x:c r="A187" s="13"/>
      <x:c r="B187" s="14"/>
      <x:c r="C187" s="8"/>
      <x:c r="D187" s="13"/>
      <x:c r="E187" s="7"/>
      <x:c r="F187" s="13"/>
      <x:c r="G187" s="7"/>
      <x:c r="H187" s="7"/>
      <x:c r="I187" s="10"/>
      <x:c r="J187" s="9"/>
      <x:c r="K187" s="10"/>
      <x:c r="L187" s="10"/>
      <x:c r="M187" s="10"/>
      <x:c r="N187" s="9"/>
      <x:c r="O187" s="9"/>
      <x:c r="P187" s="7"/>
      <x:c r="Q187" s="9"/>
      <x:c r="R187" s="8"/>
      <x:c r="S187" s="9"/>
      <x:c r="T187" s="8"/>
      <x:c r="U187" s="13"/>
      <x:c r="V187" s="7"/>
      <x:c r="W187" s="7"/>
      <x:c r="X187" s="9" t="str">
        <x:f>IF($A187="","",SUMIF(Purchase_Items!$A$2:$A$501,$A187,Purchase_Items!$P$2:$P$501))</x:f>
      </x:c>
      <x:c r="Y187" s="9" t="str">
        <x:f>IF($A187="","",$X187*$I187/100)</x:f>
      </x:c>
      <x:c r="Z187" s="9" t="str">
        <x:f>IF($A187="","",MAX(0,($X187-$Y187)*$K187/100))</x:f>
      </x:c>
      <x:c r="AA187" s="9" t="str">
        <x:f>IF($A187="","",MAX(0,($X187-$Y187)*$L187/100))</x:f>
      </x:c>
      <x:c r="AB187" s="9" t="str">
        <x:f>IF($A187="","",MAX(0,($X187-$Y187)*$M187/100))</x:f>
      </x:c>
      <x:c r="AC187" s="9" t="str">
        <x:f>IF($A187="","",MAX(0,($X187-$Y187)+$J187+$Z187+$N187-$AA187-$AB187-$O187))</x:f>
      </x:c>
    </x:row>
    <x:row r="188">
      <x:c r="A188" s="13"/>
      <x:c r="B188" s="14"/>
      <x:c r="C188" s="8"/>
      <x:c r="D188" s="13"/>
      <x:c r="E188" s="7"/>
      <x:c r="F188" s="13"/>
      <x:c r="G188" s="7"/>
      <x:c r="H188" s="7"/>
      <x:c r="I188" s="10"/>
      <x:c r="J188" s="9"/>
      <x:c r="K188" s="10"/>
      <x:c r="L188" s="10"/>
      <x:c r="M188" s="10"/>
      <x:c r="N188" s="9"/>
      <x:c r="O188" s="9"/>
      <x:c r="P188" s="7"/>
      <x:c r="Q188" s="9"/>
      <x:c r="R188" s="8"/>
      <x:c r="S188" s="9"/>
      <x:c r="T188" s="8"/>
      <x:c r="U188" s="13"/>
      <x:c r="V188" s="7"/>
      <x:c r="W188" s="7"/>
      <x:c r="X188" s="9" t="str">
        <x:f>IF($A188="","",SUMIF(Purchase_Items!$A$2:$A$501,$A188,Purchase_Items!$P$2:$P$501))</x:f>
      </x:c>
      <x:c r="Y188" s="9" t="str">
        <x:f>IF($A188="","",$X188*$I188/100)</x:f>
      </x:c>
      <x:c r="Z188" s="9" t="str">
        <x:f>IF($A188="","",MAX(0,($X188-$Y188)*$K188/100))</x:f>
      </x:c>
      <x:c r="AA188" s="9" t="str">
        <x:f>IF($A188="","",MAX(0,($X188-$Y188)*$L188/100))</x:f>
      </x:c>
      <x:c r="AB188" s="9" t="str">
        <x:f>IF($A188="","",MAX(0,($X188-$Y188)*$M188/100))</x:f>
      </x:c>
      <x:c r="AC188" s="9" t="str">
        <x:f>IF($A188="","",MAX(0,($X188-$Y188)+$J188+$Z188+$N188-$AA188-$AB188-$O188))</x:f>
      </x:c>
    </x:row>
    <x:row r="189">
      <x:c r="A189" s="13"/>
      <x:c r="B189" s="14"/>
      <x:c r="C189" s="8"/>
      <x:c r="D189" s="13"/>
      <x:c r="E189" s="7"/>
      <x:c r="F189" s="13"/>
      <x:c r="G189" s="7"/>
      <x:c r="H189" s="7"/>
      <x:c r="I189" s="10"/>
      <x:c r="J189" s="9"/>
      <x:c r="K189" s="10"/>
      <x:c r="L189" s="10"/>
      <x:c r="M189" s="10"/>
      <x:c r="N189" s="9"/>
      <x:c r="O189" s="9"/>
      <x:c r="P189" s="7"/>
      <x:c r="Q189" s="9"/>
      <x:c r="R189" s="8"/>
      <x:c r="S189" s="9"/>
      <x:c r="T189" s="8"/>
      <x:c r="U189" s="13"/>
      <x:c r="V189" s="7"/>
      <x:c r="W189" s="7"/>
      <x:c r="X189" s="9" t="str">
        <x:f>IF($A189="","",SUMIF(Purchase_Items!$A$2:$A$501,$A189,Purchase_Items!$P$2:$P$501))</x:f>
      </x:c>
      <x:c r="Y189" s="9" t="str">
        <x:f>IF($A189="","",$X189*$I189/100)</x:f>
      </x:c>
      <x:c r="Z189" s="9" t="str">
        <x:f>IF($A189="","",MAX(0,($X189-$Y189)*$K189/100))</x:f>
      </x:c>
      <x:c r="AA189" s="9" t="str">
        <x:f>IF($A189="","",MAX(0,($X189-$Y189)*$L189/100))</x:f>
      </x:c>
      <x:c r="AB189" s="9" t="str">
        <x:f>IF($A189="","",MAX(0,($X189-$Y189)*$M189/100))</x:f>
      </x:c>
      <x:c r="AC189" s="9" t="str">
        <x:f>IF($A189="","",MAX(0,($X189-$Y189)+$J189+$Z189+$N189-$AA189-$AB189-$O189))</x:f>
      </x:c>
    </x:row>
    <x:row r="190">
      <x:c r="A190" s="13"/>
      <x:c r="B190" s="14"/>
      <x:c r="C190" s="8"/>
      <x:c r="D190" s="13"/>
      <x:c r="E190" s="7"/>
      <x:c r="F190" s="13"/>
      <x:c r="G190" s="7"/>
      <x:c r="H190" s="7"/>
      <x:c r="I190" s="10"/>
      <x:c r="J190" s="9"/>
      <x:c r="K190" s="10"/>
      <x:c r="L190" s="10"/>
      <x:c r="M190" s="10"/>
      <x:c r="N190" s="9"/>
      <x:c r="O190" s="9"/>
      <x:c r="P190" s="7"/>
      <x:c r="Q190" s="9"/>
      <x:c r="R190" s="8"/>
      <x:c r="S190" s="9"/>
      <x:c r="T190" s="8"/>
      <x:c r="U190" s="13"/>
      <x:c r="V190" s="7"/>
      <x:c r="W190" s="7"/>
      <x:c r="X190" s="9" t="str">
        <x:f>IF($A190="","",SUMIF(Purchase_Items!$A$2:$A$501,$A190,Purchase_Items!$P$2:$P$501))</x:f>
      </x:c>
      <x:c r="Y190" s="9" t="str">
        <x:f>IF($A190="","",$X190*$I190/100)</x:f>
      </x:c>
      <x:c r="Z190" s="9" t="str">
        <x:f>IF($A190="","",MAX(0,($X190-$Y190)*$K190/100))</x:f>
      </x:c>
      <x:c r="AA190" s="9" t="str">
        <x:f>IF($A190="","",MAX(0,($X190-$Y190)*$L190/100))</x:f>
      </x:c>
      <x:c r="AB190" s="9" t="str">
        <x:f>IF($A190="","",MAX(0,($X190-$Y190)*$M190/100))</x:f>
      </x:c>
      <x:c r="AC190" s="9" t="str">
        <x:f>IF($A190="","",MAX(0,($X190-$Y190)+$J190+$Z190+$N190-$AA190-$AB190-$O190))</x:f>
      </x:c>
    </x:row>
    <x:row r="191">
      <x:c r="A191" s="13"/>
      <x:c r="B191" s="14"/>
      <x:c r="C191" s="8"/>
      <x:c r="D191" s="13"/>
      <x:c r="E191" s="7"/>
      <x:c r="F191" s="13"/>
      <x:c r="G191" s="7"/>
      <x:c r="H191" s="7"/>
      <x:c r="I191" s="10"/>
      <x:c r="J191" s="9"/>
      <x:c r="K191" s="10"/>
      <x:c r="L191" s="10"/>
      <x:c r="M191" s="10"/>
      <x:c r="N191" s="9"/>
      <x:c r="O191" s="9"/>
      <x:c r="P191" s="7"/>
      <x:c r="Q191" s="9"/>
      <x:c r="R191" s="8"/>
      <x:c r="S191" s="9"/>
      <x:c r="T191" s="8"/>
      <x:c r="U191" s="13"/>
      <x:c r="V191" s="7"/>
      <x:c r="W191" s="7"/>
      <x:c r="X191" s="9" t="str">
        <x:f>IF($A191="","",SUMIF(Purchase_Items!$A$2:$A$501,$A191,Purchase_Items!$P$2:$P$501))</x:f>
      </x:c>
      <x:c r="Y191" s="9" t="str">
        <x:f>IF($A191="","",$X191*$I191/100)</x:f>
      </x:c>
      <x:c r="Z191" s="9" t="str">
        <x:f>IF($A191="","",MAX(0,($X191-$Y191)*$K191/100))</x:f>
      </x:c>
      <x:c r="AA191" s="9" t="str">
        <x:f>IF($A191="","",MAX(0,($X191-$Y191)*$L191/100))</x:f>
      </x:c>
      <x:c r="AB191" s="9" t="str">
        <x:f>IF($A191="","",MAX(0,($X191-$Y191)*$M191/100))</x:f>
      </x:c>
      <x:c r="AC191" s="9" t="str">
        <x:f>IF($A191="","",MAX(0,($X191-$Y191)+$J191+$Z191+$N191-$AA191-$AB191-$O191))</x:f>
      </x:c>
    </x:row>
    <x:row r="192">
      <x:c r="A192" s="13"/>
      <x:c r="B192" s="14"/>
      <x:c r="C192" s="8"/>
      <x:c r="D192" s="13"/>
      <x:c r="E192" s="7"/>
      <x:c r="F192" s="13"/>
      <x:c r="G192" s="7"/>
      <x:c r="H192" s="7"/>
      <x:c r="I192" s="10"/>
      <x:c r="J192" s="9"/>
      <x:c r="K192" s="10"/>
      <x:c r="L192" s="10"/>
      <x:c r="M192" s="10"/>
      <x:c r="N192" s="9"/>
      <x:c r="O192" s="9"/>
      <x:c r="P192" s="7"/>
      <x:c r="Q192" s="9"/>
      <x:c r="R192" s="8"/>
      <x:c r="S192" s="9"/>
      <x:c r="T192" s="8"/>
      <x:c r="U192" s="13"/>
      <x:c r="V192" s="7"/>
      <x:c r="W192" s="7"/>
      <x:c r="X192" s="9" t="str">
        <x:f>IF($A192="","",SUMIF(Purchase_Items!$A$2:$A$501,$A192,Purchase_Items!$P$2:$P$501))</x:f>
      </x:c>
      <x:c r="Y192" s="9" t="str">
        <x:f>IF($A192="","",$X192*$I192/100)</x:f>
      </x:c>
      <x:c r="Z192" s="9" t="str">
        <x:f>IF($A192="","",MAX(0,($X192-$Y192)*$K192/100))</x:f>
      </x:c>
      <x:c r="AA192" s="9" t="str">
        <x:f>IF($A192="","",MAX(0,($X192-$Y192)*$L192/100))</x:f>
      </x:c>
      <x:c r="AB192" s="9" t="str">
        <x:f>IF($A192="","",MAX(0,($X192-$Y192)*$M192/100))</x:f>
      </x:c>
      <x:c r="AC192" s="9" t="str">
        <x:f>IF($A192="","",MAX(0,($X192-$Y192)+$J192+$Z192+$N192-$AA192-$AB192-$O192))</x:f>
      </x:c>
    </x:row>
    <x:row r="193">
      <x:c r="A193" s="13"/>
      <x:c r="B193" s="14"/>
      <x:c r="C193" s="8"/>
      <x:c r="D193" s="13"/>
      <x:c r="E193" s="7"/>
      <x:c r="F193" s="13"/>
      <x:c r="G193" s="7"/>
      <x:c r="H193" s="7"/>
      <x:c r="I193" s="10"/>
      <x:c r="J193" s="9"/>
      <x:c r="K193" s="10"/>
      <x:c r="L193" s="10"/>
      <x:c r="M193" s="10"/>
      <x:c r="N193" s="9"/>
      <x:c r="O193" s="9"/>
      <x:c r="P193" s="7"/>
      <x:c r="Q193" s="9"/>
      <x:c r="R193" s="8"/>
      <x:c r="S193" s="9"/>
      <x:c r="T193" s="8"/>
      <x:c r="U193" s="13"/>
      <x:c r="V193" s="7"/>
      <x:c r="W193" s="7"/>
      <x:c r="X193" s="9" t="str">
        <x:f>IF($A193="","",SUMIF(Purchase_Items!$A$2:$A$501,$A193,Purchase_Items!$P$2:$P$501))</x:f>
      </x:c>
      <x:c r="Y193" s="9" t="str">
        <x:f>IF($A193="","",$X193*$I193/100)</x:f>
      </x:c>
      <x:c r="Z193" s="9" t="str">
        <x:f>IF($A193="","",MAX(0,($X193-$Y193)*$K193/100))</x:f>
      </x:c>
      <x:c r="AA193" s="9" t="str">
        <x:f>IF($A193="","",MAX(0,($X193-$Y193)*$L193/100))</x:f>
      </x:c>
      <x:c r="AB193" s="9" t="str">
        <x:f>IF($A193="","",MAX(0,($X193-$Y193)*$M193/100))</x:f>
      </x:c>
      <x:c r="AC193" s="9" t="str">
        <x:f>IF($A193="","",MAX(0,($X193-$Y193)+$J193+$Z193+$N193-$AA193-$AB193-$O193))</x:f>
      </x:c>
    </x:row>
    <x:row r="194">
      <x:c r="A194" s="13"/>
      <x:c r="B194" s="14"/>
      <x:c r="C194" s="8"/>
      <x:c r="D194" s="13"/>
      <x:c r="E194" s="7"/>
      <x:c r="F194" s="13"/>
      <x:c r="G194" s="7"/>
      <x:c r="H194" s="7"/>
      <x:c r="I194" s="10"/>
      <x:c r="J194" s="9"/>
      <x:c r="K194" s="10"/>
      <x:c r="L194" s="10"/>
      <x:c r="M194" s="10"/>
      <x:c r="N194" s="9"/>
      <x:c r="O194" s="9"/>
      <x:c r="P194" s="7"/>
      <x:c r="Q194" s="9"/>
      <x:c r="R194" s="8"/>
      <x:c r="S194" s="9"/>
      <x:c r="T194" s="8"/>
      <x:c r="U194" s="13"/>
      <x:c r="V194" s="7"/>
      <x:c r="W194" s="7"/>
      <x:c r="X194" s="9" t="str">
        <x:f>IF($A194="","",SUMIF(Purchase_Items!$A$2:$A$501,$A194,Purchase_Items!$P$2:$P$501))</x:f>
      </x:c>
      <x:c r="Y194" s="9" t="str">
        <x:f>IF($A194="","",$X194*$I194/100)</x:f>
      </x:c>
      <x:c r="Z194" s="9" t="str">
        <x:f>IF($A194="","",MAX(0,($X194-$Y194)*$K194/100))</x:f>
      </x:c>
      <x:c r="AA194" s="9" t="str">
        <x:f>IF($A194="","",MAX(0,($X194-$Y194)*$L194/100))</x:f>
      </x:c>
      <x:c r="AB194" s="9" t="str">
        <x:f>IF($A194="","",MAX(0,($X194-$Y194)*$M194/100))</x:f>
      </x:c>
      <x:c r="AC194" s="9" t="str">
        <x:f>IF($A194="","",MAX(0,($X194-$Y194)+$J194+$Z194+$N194-$AA194-$AB194-$O194))</x:f>
      </x:c>
    </x:row>
    <x:row r="195">
      <x:c r="A195" s="13"/>
      <x:c r="B195" s="14"/>
      <x:c r="C195" s="8"/>
      <x:c r="D195" s="13"/>
      <x:c r="E195" s="7"/>
      <x:c r="F195" s="13"/>
      <x:c r="G195" s="7"/>
      <x:c r="H195" s="7"/>
      <x:c r="I195" s="10"/>
      <x:c r="J195" s="9"/>
      <x:c r="K195" s="10"/>
      <x:c r="L195" s="10"/>
      <x:c r="M195" s="10"/>
      <x:c r="N195" s="9"/>
      <x:c r="O195" s="9"/>
      <x:c r="P195" s="7"/>
      <x:c r="Q195" s="9"/>
      <x:c r="R195" s="8"/>
      <x:c r="S195" s="9"/>
      <x:c r="T195" s="8"/>
      <x:c r="U195" s="13"/>
      <x:c r="V195" s="7"/>
      <x:c r="W195" s="7"/>
      <x:c r="X195" s="9" t="str">
        <x:f>IF($A195="","",SUMIF(Purchase_Items!$A$2:$A$501,$A195,Purchase_Items!$P$2:$P$501))</x:f>
      </x:c>
      <x:c r="Y195" s="9" t="str">
        <x:f>IF($A195="","",$X195*$I195/100)</x:f>
      </x:c>
      <x:c r="Z195" s="9" t="str">
        <x:f>IF($A195="","",MAX(0,($X195-$Y195)*$K195/100))</x:f>
      </x:c>
      <x:c r="AA195" s="9" t="str">
        <x:f>IF($A195="","",MAX(0,($X195-$Y195)*$L195/100))</x:f>
      </x:c>
      <x:c r="AB195" s="9" t="str">
        <x:f>IF($A195="","",MAX(0,($X195-$Y195)*$M195/100))</x:f>
      </x:c>
      <x:c r="AC195" s="9" t="str">
        <x:f>IF($A195="","",MAX(0,($X195-$Y195)+$J195+$Z195+$N195-$AA195-$AB195-$O195))</x:f>
      </x:c>
    </x:row>
    <x:row r="196">
      <x:c r="A196" s="13"/>
      <x:c r="B196" s="14"/>
      <x:c r="C196" s="8"/>
      <x:c r="D196" s="13"/>
      <x:c r="E196" s="7"/>
      <x:c r="F196" s="13"/>
      <x:c r="G196" s="7"/>
      <x:c r="H196" s="7"/>
      <x:c r="I196" s="10"/>
      <x:c r="J196" s="9"/>
      <x:c r="K196" s="10"/>
      <x:c r="L196" s="10"/>
      <x:c r="M196" s="10"/>
      <x:c r="N196" s="9"/>
      <x:c r="O196" s="9"/>
      <x:c r="P196" s="7"/>
      <x:c r="Q196" s="9"/>
      <x:c r="R196" s="8"/>
      <x:c r="S196" s="9"/>
      <x:c r="T196" s="8"/>
      <x:c r="U196" s="13"/>
      <x:c r="V196" s="7"/>
      <x:c r="W196" s="7"/>
      <x:c r="X196" s="9" t="str">
        <x:f>IF($A196="","",SUMIF(Purchase_Items!$A$2:$A$501,$A196,Purchase_Items!$P$2:$P$501))</x:f>
      </x:c>
      <x:c r="Y196" s="9" t="str">
        <x:f>IF($A196="","",$X196*$I196/100)</x:f>
      </x:c>
      <x:c r="Z196" s="9" t="str">
        <x:f>IF($A196="","",MAX(0,($X196-$Y196)*$K196/100))</x:f>
      </x:c>
      <x:c r="AA196" s="9" t="str">
        <x:f>IF($A196="","",MAX(0,($X196-$Y196)*$L196/100))</x:f>
      </x:c>
      <x:c r="AB196" s="9" t="str">
        <x:f>IF($A196="","",MAX(0,($X196-$Y196)*$M196/100))</x:f>
      </x:c>
      <x:c r="AC196" s="9" t="str">
        <x:f>IF($A196="","",MAX(0,($X196-$Y196)+$J196+$Z196+$N196-$AA196-$AB196-$O196))</x:f>
      </x:c>
    </x:row>
    <x:row r="197">
      <x:c r="A197" s="13"/>
      <x:c r="B197" s="14"/>
      <x:c r="C197" s="8"/>
      <x:c r="D197" s="13"/>
      <x:c r="E197" s="7"/>
      <x:c r="F197" s="13"/>
      <x:c r="G197" s="7"/>
      <x:c r="H197" s="7"/>
      <x:c r="I197" s="10"/>
      <x:c r="J197" s="9"/>
      <x:c r="K197" s="10"/>
      <x:c r="L197" s="10"/>
      <x:c r="M197" s="10"/>
      <x:c r="N197" s="9"/>
      <x:c r="O197" s="9"/>
      <x:c r="P197" s="7"/>
      <x:c r="Q197" s="9"/>
      <x:c r="R197" s="8"/>
      <x:c r="S197" s="9"/>
      <x:c r="T197" s="8"/>
      <x:c r="U197" s="13"/>
      <x:c r="V197" s="7"/>
      <x:c r="W197" s="7"/>
      <x:c r="X197" s="9" t="str">
        <x:f>IF($A197="","",SUMIF(Purchase_Items!$A$2:$A$501,$A197,Purchase_Items!$P$2:$P$501))</x:f>
      </x:c>
      <x:c r="Y197" s="9" t="str">
        <x:f>IF($A197="","",$X197*$I197/100)</x:f>
      </x:c>
      <x:c r="Z197" s="9" t="str">
        <x:f>IF($A197="","",MAX(0,($X197-$Y197)*$K197/100))</x:f>
      </x:c>
      <x:c r="AA197" s="9" t="str">
        <x:f>IF($A197="","",MAX(0,($X197-$Y197)*$L197/100))</x:f>
      </x:c>
      <x:c r="AB197" s="9" t="str">
        <x:f>IF($A197="","",MAX(0,($X197-$Y197)*$M197/100))</x:f>
      </x:c>
      <x:c r="AC197" s="9" t="str">
        <x:f>IF($A197="","",MAX(0,($X197-$Y197)+$J197+$Z197+$N197-$AA197-$AB197-$O197))</x:f>
      </x:c>
    </x:row>
    <x:row r="198">
      <x:c r="A198" s="13"/>
      <x:c r="B198" s="14"/>
      <x:c r="C198" s="8"/>
      <x:c r="D198" s="13"/>
      <x:c r="E198" s="7"/>
      <x:c r="F198" s="13"/>
      <x:c r="G198" s="7"/>
      <x:c r="H198" s="7"/>
      <x:c r="I198" s="10"/>
      <x:c r="J198" s="9"/>
      <x:c r="K198" s="10"/>
      <x:c r="L198" s="10"/>
      <x:c r="M198" s="10"/>
      <x:c r="N198" s="9"/>
      <x:c r="O198" s="9"/>
      <x:c r="P198" s="7"/>
      <x:c r="Q198" s="9"/>
      <x:c r="R198" s="8"/>
      <x:c r="S198" s="9"/>
      <x:c r="T198" s="8"/>
      <x:c r="U198" s="13"/>
      <x:c r="V198" s="7"/>
      <x:c r="W198" s="7"/>
      <x:c r="X198" s="9" t="str">
        <x:f>IF($A198="","",SUMIF(Purchase_Items!$A$2:$A$501,$A198,Purchase_Items!$P$2:$P$501))</x:f>
      </x:c>
      <x:c r="Y198" s="9" t="str">
        <x:f>IF($A198="","",$X198*$I198/100)</x:f>
      </x:c>
      <x:c r="Z198" s="9" t="str">
        <x:f>IF($A198="","",MAX(0,($X198-$Y198)*$K198/100))</x:f>
      </x:c>
      <x:c r="AA198" s="9" t="str">
        <x:f>IF($A198="","",MAX(0,($X198-$Y198)*$L198/100))</x:f>
      </x:c>
      <x:c r="AB198" s="9" t="str">
        <x:f>IF($A198="","",MAX(0,($X198-$Y198)*$M198/100))</x:f>
      </x:c>
      <x:c r="AC198" s="9" t="str">
        <x:f>IF($A198="","",MAX(0,($X198-$Y198)+$J198+$Z198+$N198-$AA198-$AB198-$O198))</x:f>
      </x:c>
    </x:row>
    <x:row r="199">
      <x:c r="A199" s="13"/>
      <x:c r="B199" s="14"/>
      <x:c r="C199" s="8"/>
      <x:c r="D199" s="13"/>
      <x:c r="E199" s="7"/>
      <x:c r="F199" s="13"/>
      <x:c r="G199" s="7"/>
      <x:c r="H199" s="7"/>
      <x:c r="I199" s="10"/>
      <x:c r="J199" s="9"/>
      <x:c r="K199" s="10"/>
      <x:c r="L199" s="10"/>
      <x:c r="M199" s="10"/>
      <x:c r="N199" s="9"/>
      <x:c r="O199" s="9"/>
      <x:c r="P199" s="7"/>
      <x:c r="Q199" s="9"/>
      <x:c r="R199" s="8"/>
      <x:c r="S199" s="9"/>
      <x:c r="T199" s="8"/>
      <x:c r="U199" s="13"/>
      <x:c r="V199" s="7"/>
      <x:c r="W199" s="7"/>
      <x:c r="X199" s="9" t="str">
        <x:f>IF($A199="","",SUMIF(Purchase_Items!$A$2:$A$501,$A199,Purchase_Items!$P$2:$P$501))</x:f>
      </x:c>
      <x:c r="Y199" s="9" t="str">
        <x:f>IF($A199="","",$X199*$I199/100)</x:f>
      </x:c>
      <x:c r="Z199" s="9" t="str">
        <x:f>IF($A199="","",MAX(0,($X199-$Y199)*$K199/100))</x:f>
      </x:c>
      <x:c r="AA199" s="9" t="str">
        <x:f>IF($A199="","",MAX(0,($X199-$Y199)*$L199/100))</x:f>
      </x:c>
      <x:c r="AB199" s="9" t="str">
        <x:f>IF($A199="","",MAX(0,($X199-$Y199)*$M199/100))</x:f>
      </x:c>
      <x:c r="AC199" s="9" t="str">
        <x:f>IF($A199="","",MAX(0,($X199-$Y199)+$J199+$Z199+$N199-$AA199-$AB199-$O199))</x:f>
      </x:c>
    </x:row>
    <x:row r="200">
      <x:c r="A200" s="13"/>
      <x:c r="B200" s="14"/>
      <x:c r="C200" s="8"/>
      <x:c r="D200" s="13"/>
      <x:c r="E200" s="7"/>
      <x:c r="F200" s="13"/>
      <x:c r="G200" s="7"/>
      <x:c r="H200" s="7"/>
      <x:c r="I200" s="10"/>
      <x:c r="J200" s="9"/>
      <x:c r="K200" s="10"/>
      <x:c r="L200" s="10"/>
      <x:c r="M200" s="10"/>
      <x:c r="N200" s="9"/>
      <x:c r="O200" s="9"/>
      <x:c r="P200" s="7"/>
      <x:c r="Q200" s="9"/>
      <x:c r="R200" s="8"/>
      <x:c r="S200" s="9"/>
      <x:c r="T200" s="8"/>
      <x:c r="U200" s="13"/>
      <x:c r="V200" s="7"/>
      <x:c r="W200" s="7"/>
      <x:c r="X200" s="9" t="str">
        <x:f>IF($A200="","",SUMIF(Purchase_Items!$A$2:$A$501,$A200,Purchase_Items!$P$2:$P$501))</x:f>
      </x:c>
      <x:c r="Y200" s="9" t="str">
        <x:f>IF($A200="","",$X200*$I200/100)</x:f>
      </x:c>
      <x:c r="Z200" s="9" t="str">
        <x:f>IF($A200="","",MAX(0,($X200-$Y200)*$K200/100))</x:f>
      </x:c>
      <x:c r="AA200" s="9" t="str">
        <x:f>IF($A200="","",MAX(0,($X200-$Y200)*$L200/100))</x:f>
      </x:c>
      <x:c r="AB200" s="9" t="str">
        <x:f>IF($A200="","",MAX(0,($X200-$Y200)*$M200/100))</x:f>
      </x:c>
      <x:c r="AC200" s="9" t="str">
        <x:f>IF($A200="","",MAX(0,($X200-$Y200)+$J200+$Z200+$N200-$AA200-$AB200-$O200))</x:f>
      </x:c>
    </x:row>
    <x:row r="201">
      <x:c r="A201" s="13"/>
      <x:c r="B201" s="14"/>
      <x:c r="C201" s="8"/>
      <x:c r="D201" s="13"/>
      <x:c r="E201" s="7"/>
      <x:c r="F201" s="13"/>
      <x:c r="G201" s="7"/>
      <x:c r="H201" s="7"/>
      <x:c r="I201" s="10"/>
      <x:c r="J201" s="9"/>
      <x:c r="K201" s="10"/>
      <x:c r="L201" s="10"/>
      <x:c r="M201" s="10"/>
      <x:c r="N201" s="9"/>
      <x:c r="O201" s="9"/>
      <x:c r="P201" s="7"/>
      <x:c r="Q201" s="9"/>
      <x:c r="R201" s="8"/>
      <x:c r="S201" s="9"/>
      <x:c r="T201" s="8"/>
      <x:c r="U201" s="13"/>
      <x:c r="V201" s="7"/>
      <x:c r="W201" s="7"/>
      <x:c r="X201" s="9" t="str">
        <x:f>IF($A201="","",SUMIF(Purchase_Items!$A$2:$A$501,$A201,Purchase_Items!$P$2:$P$501))</x:f>
      </x:c>
      <x:c r="Y201" s="9" t="str">
        <x:f>IF($A201="","",$X201*$I201/100)</x:f>
      </x:c>
      <x:c r="Z201" s="9" t="str">
        <x:f>IF($A201="","",MAX(0,($X201-$Y201)*$K201/100))</x:f>
      </x:c>
      <x:c r="AA201" s="9" t="str">
        <x:f>IF($A201="","",MAX(0,($X201-$Y201)*$L201/100))</x:f>
      </x:c>
      <x:c r="AB201" s="9" t="str">
        <x:f>IF($A201="","",MAX(0,($X201-$Y201)*$M201/100))</x:f>
      </x:c>
      <x:c r="AC201" s="9" t="str">
        <x:f>IF($A201="","",MAX(0,($X201-$Y201)+$J201+$Z201+$N201-$AA201-$AB201-$O201))</x:f>
      </x:c>
    </x:row>
    <x:row r="202">
      <x:c r="A202" s="13"/>
      <x:c r="B202" s="14"/>
      <x:c r="C202" s="8"/>
      <x:c r="D202" s="13"/>
      <x:c r="E202" s="7"/>
      <x:c r="F202" s="13"/>
      <x:c r="G202" s="7"/>
      <x:c r="H202" s="7"/>
      <x:c r="I202" s="10"/>
      <x:c r="J202" s="9"/>
      <x:c r="K202" s="10"/>
      <x:c r="L202" s="10"/>
      <x:c r="M202" s="10"/>
      <x:c r="N202" s="9"/>
      <x:c r="O202" s="9"/>
      <x:c r="P202" s="7"/>
      <x:c r="Q202" s="9"/>
      <x:c r="R202" s="8"/>
      <x:c r="S202" s="9"/>
      <x:c r="T202" s="8"/>
      <x:c r="U202" s="13"/>
      <x:c r="V202" s="7"/>
      <x:c r="W202" s="7"/>
      <x:c r="X202" s="9" t="str">
        <x:f>IF($A202="","",SUMIF(Purchase_Items!$A$2:$A$501,$A202,Purchase_Items!$P$2:$P$501))</x:f>
      </x:c>
      <x:c r="Y202" s="9" t="str">
        <x:f>IF($A202="","",$X202*$I202/100)</x:f>
      </x:c>
      <x:c r="Z202" s="9" t="str">
        <x:f>IF($A202="","",MAX(0,($X202-$Y202)*$K202/100))</x:f>
      </x:c>
      <x:c r="AA202" s="9" t="str">
        <x:f>IF($A202="","",MAX(0,($X202-$Y202)*$L202/100))</x:f>
      </x:c>
      <x:c r="AB202" s="9" t="str">
        <x:f>IF($A202="","",MAX(0,($X202-$Y202)*$M202/100))</x:f>
      </x:c>
      <x:c r="AC202" s="9" t="str">
        <x:f>IF($A202="","",MAX(0,($X202-$Y202)+$J202+$Z202+$N202-$AA202-$AB202-$O202))</x:f>
      </x:c>
    </x:row>
    <x:row r="203">
      <x:c r="A203" s="13"/>
      <x:c r="B203" s="14"/>
      <x:c r="C203" s="8"/>
      <x:c r="D203" s="13"/>
      <x:c r="E203" s="7"/>
      <x:c r="F203" s="13"/>
      <x:c r="G203" s="7"/>
      <x:c r="H203" s="7"/>
      <x:c r="I203" s="10"/>
      <x:c r="J203" s="9"/>
      <x:c r="K203" s="10"/>
      <x:c r="L203" s="10"/>
      <x:c r="M203" s="10"/>
      <x:c r="N203" s="9"/>
      <x:c r="O203" s="9"/>
      <x:c r="P203" s="7"/>
      <x:c r="Q203" s="9"/>
      <x:c r="R203" s="8"/>
      <x:c r="S203" s="9"/>
      <x:c r="T203" s="8"/>
      <x:c r="U203" s="13"/>
      <x:c r="V203" s="7"/>
      <x:c r="W203" s="7"/>
      <x:c r="X203" s="9" t="str">
        <x:f>IF($A203="","",SUMIF(Purchase_Items!$A$2:$A$501,$A203,Purchase_Items!$P$2:$P$501))</x:f>
      </x:c>
      <x:c r="Y203" s="9" t="str">
        <x:f>IF($A203="","",$X203*$I203/100)</x:f>
      </x:c>
      <x:c r="Z203" s="9" t="str">
        <x:f>IF($A203="","",MAX(0,($X203-$Y203)*$K203/100))</x:f>
      </x:c>
      <x:c r="AA203" s="9" t="str">
        <x:f>IF($A203="","",MAX(0,($X203-$Y203)*$L203/100))</x:f>
      </x:c>
      <x:c r="AB203" s="9" t="str">
        <x:f>IF($A203="","",MAX(0,($X203-$Y203)*$M203/100))</x:f>
      </x:c>
      <x:c r="AC203" s="9" t="str">
        <x:f>IF($A203="","",MAX(0,($X203-$Y203)+$J203+$Z203+$N203-$AA203-$AB203-$O203))</x:f>
      </x:c>
    </x:row>
    <x:row r="204">
      <x:c r="A204" s="13"/>
      <x:c r="B204" s="14"/>
      <x:c r="C204" s="8"/>
      <x:c r="D204" s="13"/>
      <x:c r="E204" s="7"/>
      <x:c r="F204" s="13"/>
      <x:c r="G204" s="7"/>
      <x:c r="H204" s="7"/>
      <x:c r="I204" s="10"/>
      <x:c r="J204" s="9"/>
      <x:c r="K204" s="10"/>
      <x:c r="L204" s="10"/>
      <x:c r="M204" s="10"/>
      <x:c r="N204" s="9"/>
      <x:c r="O204" s="9"/>
      <x:c r="P204" s="7"/>
      <x:c r="Q204" s="9"/>
      <x:c r="R204" s="8"/>
      <x:c r="S204" s="9"/>
      <x:c r="T204" s="8"/>
      <x:c r="U204" s="13"/>
      <x:c r="V204" s="7"/>
      <x:c r="W204" s="7"/>
      <x:c r="X204" s="9" t="str">
        <x:f>IF($A204="","",SUMIF(Purchase_Items!$A$2:$A$501,$A204,Purchase_Items!$P$2:$P$501))</x:f>
      </x:c>
      <x:c r="Y204" s="9" t="str">
        <x:f>IF($A204="","",$X204*$I204/100)</x:f>
      </x:c>
      <x:c r="Z204" s="9" t="str">
        <x:f>IF($A204="","",MAX(0,($X204-$Y204)*$K204/100))</x:f>
      </x:c>
      <x:c r="AA204" s="9" t="str">
        <x:f>IF($A204="","",MAX(0,($X204-$Y204)*$L204/100))</x:f>
      </x:c>
      <x:c r="AB204" s="9" t="str">
        <x:f>IF($A204="","",MAX(0,($X204-$Y204)*$M204/100))</x:f>
      </x:c>
      <x:c r="AC204" s="9" t="str">
        <x:f>IF($A204="","",MAX(0,($X204-$Y204)+$J204+$Z204+$N204-$AA204-$AB204-$O204))</x:f>
      </x:c>
    </x:row>
    <x:row r="205">
      <x:c r="A205" s="13"/>
      <x:c r="B205" s="14"/>
      <x:c r="C205" s="8"/>
      <x:c r="D205" s="13"/>
      <x:c r="E205" s="7"/>
      <x:c r="F205" s="13"/>
      <x:c r="G205" s="7"/>
      <x:c r="H205" s="7"/>
      <x:c r="I205" s="10"/>
      <x:c r="J205" s="9"/>
      <x:c r="K205" s="10"/>
      <x:c r="L205" s="10"/>
      <x:c r="M205" s="10"/>
      <x:c r="N205" s="9"/>
      <x:c r="O205" s="9"/>
      <x:c r="P205" s="7"/>
      <x:c r="Q205" s="9"/>
      <x:c r="R205" s="8"/>
      <x:c r="S205" s="9"/>
      <x:c r="T205" s="8"/>
      <x:c r="U205" s="13"/>
      <x:c r="V205" s="7"/>
      <x:c r="W205" s="7"/>
      <x:c r="X205" s="9" t="str">
        <x:f>IF($A205="","",SUMIF(Purchase_Items!$A$2:$A$501,$A205,Purchase_Items!$P$2:$P$501))</x:f>
      </x:c>
      <x:c r="Y205" s="9" t="str">
        <x:f>IF($A205="","",$X205*$I205/100)</x:f>
      </x:c>
      <x:c r="Z205" s="9" t="str">
        <x:f>IF($A205="","",MAX(0,($X205-$Y205)*$K205/100))</x:f>
      </x:c>
      <x:c r="AA205" s="9" t="str">
        <x:f>IF($A205="","",MAX(0,($X205-$Y205)*$L205/100))</x:f>
      </x:c>
      <x:c r="AB205" s="9" t="str">
        <x:f>IF($A205="","",MAX(0,($X205-$Y205)*$M205/100))</x:f>
      </x:c>
      <x:c r="AC205" s="9" t="str">
        <x:f>IF($A205="","",MAX(0,($X205-$Y205)+$J205+$Z205+$N205-$AA205-$AB205-$O205))</x:f>
      </x:c>
    </x:row>
    <x:row r="206">
      <x:c r="A206" s="13"/>
      <x:c r="B206" s="14"/>
      <x:c r="C206" s="8"/>
      <x:c r="D206" s="13"/>
      <x:c r="E206" s="7"/>
      <x:c r="F206" s="13"/>
      <x:c r="G206" s="7"/>
      <x:c r="H206" s="7"/>
      <x:c r="I206" s="10"/>
      <x:c r="J206" s="9"/>
      <x:c r="K206" s="10"/>
      <x:c r="L206" s="10"/>
      <x:c r="M206" s="10"/>
      <x:c r="N206" s="9"/>
      <x:c r="O206" s="9"/>
      <x:c r="P206" s="7"/>
      <x:c r="Q206" s="9"/>
      <x:c r="R206" s="8"/>
      <x:c r="S206" s="9"/>
      <x:c r="T206" s="8"/>
      <x:c r="U206" s="13"/>
      <x:c r="V206" s="7"/>
      <x:c r="W206" s="7"/>
      <x:c r="X206" s="9" t="str">
        <x:f>IF($A206="","",SUMIF(Purchase_Items!$A$2:$A$501,$A206,Purchase_Items!$P$2:$P$501))</x:f>
      </x:c>
      <x:c r="Y206" s="9" t="str">
        <x:f>IF($A206="","",$X206*$I206/100)</x:f>
      </x:c>
      <x:c r="Z206" s="9" t="str">
        <x:f>IF($A206="","",MAX(0,($X206-$Y206)*$K206/100))</x:f>
      </x:c>
      <x:c r="AA206" s="9" t="str">
        <x:f>IF($A206="","",MAX(0,($X206-$Y206)*$L206/100))</x:f>
      </x:c>
      <x:c r="AB206" s="9" t="str">
        <x:f>IF($A206="","",MAX(0,($X206-$Y206)*$M206/100))</x:f>
      </x:c>
      <x:c r="AC206" s="9" t="str">
        <x:f>IF($A206="","",MAX(0,($X206-$Y206)+$J206+$Z206+$N206-$AA206-$AB206-$O206))</x:f>
      </x:c>
    </x:row>
    <x:row r="207">
      <x:c r="A207" s="13"/>
      <x:c r="B207" s="14"/>
      <x:c r="C207" s="8"/>
      <x:c r="D207" s="13"/>
      <x:c r="E207" s="7"/>
      <x:c r="F207" s="13"/>
      <x:c r="G207" s="7"/>
      <x:c r="H207" s="7"/>
      <x:c r="I207" s="10"/>
      <x:c r="J207" s="9"/>
      <x:c r="K207" s="10"/>
      <x:c r="L207" s="10"/>
      <x:c r="M207" s="10"/>
      <x:c r="N207" s="9"/>
      <x:c r="O207" s="9"/>
      <x:c r="P207" s="7"/>
      <x:c r="Q207" s="9"/>
      <x:c r="R207" s="8"/>
      <x:c r="S207" s="9"/>
      <x:c r="T207" s="8"/>
      <x:c r="U207" s="13"/>
      <x:c r="V207" s="7"/>
      <x:c r="W207" s="7"/>
      <x:c r="X207" s="9" t="str">
        <x:f>IF($A207="","",SUMIF(Purchase_Items!$A$2:$A$501,$A207,Purchase_Items!$P$2:$P$501))</x:f>
      </x:c>
      <x:c r="Y207" s="9" t="str">
        <x:f>IF($A207="","",$X207*$I207/100)</x:f>
      </x:c>
      <x:c r="Z207" s="9" t="str">
        <x:f>IF($A207="","",MAX(0,($X207-$Y207)*$K207/100))</x:f>
      </x:c>
      <x:c r="AA207" s="9" t="str">
        <x:f>IF($A207="","",MAX(0,($X207-$Y207)*$L207/100))</x:f>
      </x:c>
      <x:c r="AB207" s="9" t="str">
        <x:f>IF($A207="","",MAX(0,($X207-$Y207)*$M207/100))</x:f>
      </x:c>
      <x:c r="AC207" s="9" t="str">
        <x:f>IF($A207="","",MAX(0,($X207-$Y207)+$J207+$Z207+$N207-$AA207-$AB207-$O207))</x:f>
      </x:c>
    </x:row>
    <x:row r="208">
      <x:c r="A208" s="13"/>
      <x:c r="B208" s="14"/>
      <x:c r="C208" s="8"/>
      <x:c r="D208" s="13"/>
      <x:c r="E208" s="7"/>
      <x:c r="F208" s="13"/>
      <x:c r="G208" s="7"/>
      <x:c r="H208" s="7"/>
      <x:c r="I208" s="10"/>
      <x:c r="J208" s="9"/>
      <x:c r="K208" s="10"/>
      <x:c r="L208" s="10"/>
      <x:c r="M208" s="10"/>
      <x:c r="N208" s="9"/>
      <x:c r="O208" s="9"/>
      <x:c r="P208" s="7"/>
      <x:c r="Q208" s="9"/>
      <x:c r="R208" s="8"/>
      <x:c r="S208" s="9"/>
      <x:c r="T208" s="8"/>
      <x:c r="U208" s="13"/>
      <x:c r="V208" s="7"/>
      <x:c r="W208" s="7"/>
      <x:c r="X208" s="9" t="str">
        <x:f>IF($A208="","",SUMIF(Purchase_Items!$A$2:$A$501,$A208,Purchase_Items!$P$2:$P$501))</x:f>
      </x:c>
      <x:c r="Y208" s="9" t="str">
        <x:f>IF($A208="","",$X208*$I208/100)</x:f>
      </x:c>
      <x:c r="Z208" s="9" t="str">
        <x:f>IF($A208="","",MAX(0,($X208-$Y208)*$K208/100))</x:f>
      </x:c>
      <x:c r="AA208" s="9" t="str">
        <x:f>IF($A208="","",MAX(0,($X208-$Y208)*$L208/100))</x:f>
      </x:c>
      <x:c r="AB208" s="9" t="str">
        <x:f>IF($A208="","",MAX(0,($X208-$Y208)*$M208/100))</x:f>
      </x:c>
      <x:c r="AC208" s="9" t="str">
        <x:f>IF($A208="","",MAX(0,($X208-$Y208)+$J208+$Z208+$N208-$AA208-$AB208-$O208))</x:f>
      </x:c>
    </x:row>
    <x:row r="209">
      <x:c r="A209" s="13"/>
      <x:c r="B209" s="14"/>
      <x:c r="C209" s="8"/>
      <x:c r="D209" s="13"/>
      <x:c r="E209" s="7"/>
      <x:c r="F209" s="13"/>
      <x:c r="G209" s="7"/>
      <x:c r="H209" s="7"/>
      <x:c r="I209" s="10"/>
      <x:c r="J209" s="9"/>
      <x:c r="K209" s="10"/>
      <x:c r="L209" s="10"/>
      <x:c r="M209" s="10"/>
      <x:c r="N209" s="9"/>
      <x:c r="O209" s="9"/>
      <x:c r="P209" s="7"/>
      <x:c r="Q209" s="9"/>
      <x:c r="R209" s="8"/>
      <x:c r="S209" s="9"/>
      <x:c r="T209" s="8"/>
      <x:c r="U209" s="13"/>
      <x:c r="V209" s="7"/>
      <x:c r="W209" s="7"/>
      <x:c r="X209" s="9" t="str">
        <x:f>IF($A209="","",SUMIF(Purchase_Items!$A$2:$A$501,$A209,Purchase_Items!$P$2:$P$501))</x:f>
      </x:c>
      <x:c r="Y209" s="9" t="str">
        <x:f>IF($A209="","",$X209*$I209/100)</x:f>
      </x:c>
      <x:c r="Z209" s="9" t="str">
        <x:f>IF($A209="","",MAX(0,($X209-$Y209)*$K209/100))</x:f>
      </x:c>
      <x:c r="AA209" s="9" t="str">
        <x:f>IF($A209="","",MAX(0,($X209-$Y209)*$L209/100))</x:f>
      </x:c>
      <x:c r="AB209" s="9" t="str">
        <x:f>IF($A209="","",MAX(0,($X209-$Y209)*$M209/100))</x:f>
      </x:c>
      <x:c r="AC209" s="9" t="str">
        <x:f>IF($A209="","",MAX(0,($X209-$Y209)+$J209+$Z209+$N209-$AA209-$AB209-$O209))</x:f>
      </x:c>
    </x:row>
    <x:row r="210">
      <x:c r="A210" s="13"/>
      <x:c r="B210" s="14"/>
      <x:c r="C210" s="8"/>
      <x:c r="D210" s="13"/>
      <x:c r="E210" s="7"/>
      <x:c r="F210" s="13"/>
      <x:c r="G210" s="7"/>
      <x:c r="H210" s="7"/>
      <x:c r="I210" s="10"/>
      <x:c r="J210" s="9"/>
      <x:c r="K210" s="10"/>
      <x:c r="L210" s="10"/>
      <x:c r="M210" s="10"/>
      <x:c r="N210" s="9"/>
      <x:c r="O210" s="9"/>
      <x:c r="P210" s="7"/>
      <x:c r="Q210" s="9"/>
      <x:c r="R210" s="8"/>
      <x:c r="S210" s="9"/>
      <x:c r="T210" s="8"/>
      <x:c r="U210" s="13"/>
      <x:c r="V210" s="7"/>
      <x:c r="W210" s="7"/>
      <x:c r="X210" s="9" t="str">
        <x:f>IF($A210="","",SUMIF(Purchase_Items!$A$2:$A$501,$A210,Purchase_Items!$P$2:$P$501))</x:f>
      </x:c>
      <x:c r="Y210" s="9" t="str">
        <x:f>IF($A210="","",$X210*$I210/100)</x:f>
      </x:c>
      <x:c r="Z210" s="9" t="str">
        <x:f>IF($A210="","",MAX(0,($X210-$Y210)*$K210/100))</x:f>
      </x:c>
      <x:c r="AA210" s="9" t="str">
        <x:f>IF($A210="","",MAX(0,($X210-$Y210)*$L210/100))</x:f>
      </x:c>
      <x:c r="AB210" s="9" t="str">
        <x:f>IF($A210="","",MAX(0,($X210-$Y210)*$M210/100))</x:f>
      </x:c>
      <x:c r="AC210" s="9" t="str">
        <x:f>IF($A210="","",MAX(0,($X210-$Y210)+$J210+$Z210+$N210-$AA210-$AB210-$O210))</x:f>
      </x:c>
    </x:row>
    <x:row r="211">
      <x:c r="A211" s="13"/>
      <x:c r="B211" s="14"/>
      <x:c r="C211" s="8"/>
      <x:c r="D211" s="13"/>
      <x:c r="E211" s="7"/>
      <x:c r="F211" s="13"/>
      <x:c r="G211" s="7"/>
      <x:c r="H211" s="7"/>
      <x:c r="I211" s="10"/>
      <x:c r="J211" s="9"/>
      <x:c r="K211" s="10"/>
      <x:c r="L211" s="10"/>
      <x:c r="M211" s="10"/>
      <x:c r="N211" s="9"/>
      <x:c r="O211" s="9"/>
      <x:c r="P211" s="7"/>
      <x:c r="Q211" s="9"/>
      <x:c r="R211" s="8"/>
      <x:c r="S211" s="9"/>
      <x:c r="T211" s="8"/>
      <x:c r="U211" s="13"/>
      <x:c r="V211" s="7"/>
      <x:c r="W211" s="7"/>
      <x:c r="X211" s="9" t="str">
        <x:f>IF($A211="","",SUMIF(Purchase_Items!$A$2:$A$501,$A211,Purchase_Items!$P$2:$P$501))</x:f>
      </x:c>
      <x:c r="Y211" s="9" t="str">
        <x:f>IF($A211="","",$X211*$I211/100)</x:f>
      </x:c>
      <x:c r="Z211" s="9" t="str">
        <x:f>IF($A211="","",MAX(0,($X211-$Y211)*$K211/100))</x:f>
      </x:c>
      <x:c r="AA211" s="9" t="str">
        <x:f>IF($A211="","",MAX(0,($X211-$Y211)*$L211/100))</x:f>
      </x:c>
      <x:c r="AB211" s="9" t="str">
        <x:f>IF($A211="","",MAX(0,($X211-$Y211)*$M211/100))</x:f>
      </x:c>
      <x:c r="AC211" s="9" t="str">
        <x:f>IF($A211="","",MAX(0,($X211-$Y211)+$J211+$Z211+$N211-$AA211-$AB211-$O211))</x:f>
      </x:c>
    </x:row>
    <x:row r="212">
      <x:c r="A212" s="13"/>
      <x:c r="B212" s="14"/>
      <x:c r="C212" s="8"/>
      <x:c r="D212" s="13"/>
      <x:c r="E212" s="7"/>
      <x:c r="F212" s="13"/>
      <x:c r="G212" s="7"/>
      <x:c r="H212" s="7"/>
      <x:c r="I212" s="10"/>
      <x:c r="J212" s="9"/>
      <x:c r="K212" s="10"/>
      <x:c r="L212" s="10"/>
      <x:c r="M212" s="10"/>
      <x:c r="N212" s="9"/>
      <x:c r="O212" s="9"/>
      <x:c r="P212" s="7"/>
      <x:c r="Q212" s="9"/>
      <x:c r="R212" s="8"/>
      <x:c r="S212" s="9"/>
      <x:c r="T212" s="8"/>
      <x:c r="U212" s="13"/>
      <x:c r="V212" s="7"/>
      <x:c r="W212" s="7"/>
      <x:c r="X212" s="9" t="str">
        <x:f>IF($A212="","",SUMIF(Purchase_Items!$A$2:$A$501,$A212,Purchase_Items!$P$2:$P$501))</x:f>
      </x:c>
      <x:c r="Y212" s="9" t="str">
        <x:f>IF($A212="","",$X212*$I212/100)</x:f>
      </x:c>
      <x:c r="Z212" s="9" t="str">
        <x:f>IF($A212="","",MAX(0,($X212-$Y212)*$K212/100))</x:f>
      </x:c>
      <x:c r="AA212" s="9" t="str">
        <x:f>IF($A212="","",MAX(0,($X212-$Y212)*$L212/100))</x:f>
      </x:c>
      <x:c r="AB212" s="9" t="str">
        <x:f>IF($A212="","",MAX(0,($X212-$Y212)*$M212/100))</x:f>
      </x:c>
      <x:c r="AC212" s="9" t="str">
        <x:f>IF($A212="","",MAX(0,($X212-$Y212)+$J212+$Z212+$N212-$AA212-$AB212-$O212))</x:f>
      </x:c>
    </x:row>
    <x:row r="213">
      <x:c r="A213" s="13"/>
      <x:c r="B213" s="14"/>
      <x:c r="C213" s="8"/>
      <x:c r="D213" s="13"/>
      <x:c r="E213" s="7"/>
      <x:c r="F213" s="13"/>
      <x:c r="G213" s="7"/>
      <x:c r="H213" s="7"/>
      <x:c r="I213" s="10"/>
      <x:c r="J213" s="9"/>
      <x:c r="K213" s="10"/>
      <x:c r="L213" s="10"/>
      <x:c r="M213" s="10"/>
      <x:c r="N213" s="9"/>
      <x:c r="O213" s="9"/>
      <x:c r="P213" s="7"/>
      <x:c r="Q213" s="9"/>
      <x:c r="R213" s="8"/>
      <x:c r="S213" s="9"/>
      <x:c r="T213" s="8"/>
      <x:c r="U213" s="13"/>
      <x:c r="V213" s="7"/>
      <x:c r="W213" s="7"/>
      <x:c r="X213" s="9" t="str">
        <x:f>IF($A213="","",SUMIF(Purchase_Items!$A$2:$A$501,$A213,Purchase_Items!$P$2:$P$501))</x:f>
      </x:c>
      <x:c r="Y213" s="9" t="str">
        <x:f>IF($A213="","",$X213*$I213/100)</x:f>
      </x:c>
      <x:c r="Z213" s="9" t="str">
        <x:f>IF($A213="","",MAX(0,($X213-$Y213)*$K213/100))</x:f>
      </x:c>
      <x:c r="AA213" s="9" t="str">
        <x:f>IF($A213="","",MAX(0,($X213-$Y213)*$L213/100))</x:f>
      </x:c>
      <x:c r="AB213" s="9" t="str">
        <x:f>IF($A213="","",MAX(0,($X213-$Y213)*$M213/100))</x:f>
      </x:c>
      <x:c r="AC213" s="9" t="str">
        <x:f>IF($A213="","",MAX(0,($X213-$Y213)+$J213+$Z213+$N213-$AA213-$AB213-$O213))</x:f>
      </x:c>
    </x:row>
    <x:row r="214">
      <x:c r="A214" s="13"/>
      <x:c r="B214" s="14"/>
      <x:c r="C214" s="8"/>
      <x:c r="D214" s="13"/>
      <x:c r="E214" s="7"/>
      <x:c r="F214" s="13"/>
      <x:c r="G214" s="7"/>
      <x:c r="H214" s="7"/>
      <x:c r="I214" s="10"/>
      <x:c r="J214" s="9"/>
      <x:c r="K214" s="10"/>
      <x:c r="L214" s="10"/>
      <x:c r="M214" s="10"/>
      <x:c r="N214" s="9"/>
      <x:c r="O214" s="9"/>
      <x:c r="P214" s="7"/>
      <x:c r="Q214" s="9"/>
      <x:c r="R214" s="8"/>
      <x:c r="S214" s="9"/>
      <x:c r="T214" s="8"/>
      <x:c r="U214" s="13"/>
      <x:c r="V214" s="7"/>
      <x:c r="W214" s="7"/>
      <x:c r="X214" s="9" t="str">
        <x:f>IF($A214="","",SUMIF(Purchase_Items!$A$2:$A$501,$A214,Purchase_Items!$P$2:$P$501))</x:f>
      </x:c>
      <x:c r="Y214" s="9" t="str">
        <x:f>IF($A214="","",$X214*$I214/100)</x:f>
      </x:c>
      <x:c r="Z214" s="9" t="str">
        <x:f>IF($A214="","",MAX(0,($X214-$Y214)*$K214/100))</x:f>
      </x:c>
      <x:c r="AA214" s="9" t="str">
        <x:f>IF($A214="","",MAX(0,($X214-$Y214)*$L214/100))</x:f>
      </x:c>
      <x:c r="AB214" s="9" t="str">
        <x:f>IF($A214="","",MAX(0,($X214-$Y214)*$M214/100))</x:f>
      </x:c>
      <x:c r="AC214" s="9" t="str">
        <x:f>IF($A214="","",MAX(0,($X214-$Y214)+$J214+$Z214+$N214-$AA214-$AB214-$O214))</x:f>
      </x:c>
    </x:row>
    <x:row r="215">
      <x:c r="A215" s="13"/>
      <x:c r="B215" s="14"/>
      <x:c r="C215" s="8"/>
      <x:c r="D215" s="13"/>
      <x:c r="E215" s="7"/>
      <x:c r="F215" s="13"/>
      <x:c r="G215" s="7"/>
      <x:c r="H215" s="7"/>
      <x:c r="I215" s="10"/>
      <x:c r="J215" s="9"/>
      <x:c r="K215" s="10"/>
      <x:c r="L215" s="10"/>
      <x:c r="M215" s="10"/>
      <x:c r="N215" s="9"/>
      <x:c r="O215" s="9"/>
      <x:c r="P215" s="7"/>
      <x:c r="Q215" s="9"/>
      <x:c r="R215" s="8"/>
      <x:c r="S215" s="9"/>
      <x:c r="T215" s="8"/>
      <x:c r="U215" s="13"/>
      <x:c r="V215" s="7"/>
      <x:c r="W215" s="7"/>
      <x:c r="X215" s="9" t="str">
        <x:f>IF($A215="","",SUMIF(Purchase_Items!$A$2:$A$501,$A215,Purchase_Items!$P$2:$P$501))</x:f>
      </x:c>
      <x:c r="Y215" s="9" t="str">
        <x:f>IF($A215="","",$X215*$I215/100)</x:f>
      </x:c>
      <x:c r="Z215" s="9" t="str">
        <x:f>IF($A215="","",MAX(0,($X215-$Y215)*$K215/100))</x:f>
      </x:c>
      <x:c r="AA215" s="9" t="str">
        <x:f>IF($A215="","",MAX(0,($X215-$Y215)*$L215/100))</x:f>
      </x:c>
      <x:c r="AB215" s="9" t="str">
        <x:f>IF($A215="","",MAX(0,($X215-$Y215)*$M215/100))</x:f>
      </x:c>
      <x:c r="AC215" s="9" t="str">
        <x:f>IF($A215="","",MAX(0,($X215-$Y215)+$J215+$Z215+$N215-$AA215-$AB215-$O215))</x:f>
      </x:c>
    </x:row>
    <x:row r="216">
      <x:c r="A216" s="13"/>
      <x:c r="B216" s="14"/>
      <x:c r="C216" s="8"/>
      <x:c r="D216" s="13"/>
      <x:c r="E216" s="7"/>
      <x:c r="F216" s="13"/>
      <x:c r="G216" s="7"/>
      <x:c r="H216" s="7"/>
      <x:c r="I216" s="10"/>
      <x:c r="J216" s="9"/>
      <x:c r="K216" s="10"/>
      <x:c r="L216" s="10"/>
      <x:c r="M216" s="10"/>
      <x:c r="N216" s="9"/>
      <x:c r="O216" s="9"/>
      <x:c r="P216" s="7"/>
      <x:c r="Q216" s="9"/>
      <x:c r="R216" s="8"/>
      <x:c r="S216" s="9"/>
      <x:c r="T216" s="8"/>
      <x:c r="U216" s="13"/>
      <x:c r="V216" s="7"/>
      <x:c r="W216" s="7"/>
      <x:c r="X216" s="9" t="str">
        <x:f>IF($A216="","",SUMIF(Purchase_Items!$A$2:$A$501,$A216,Purchase_Items!$P$2:$P$501))</x:f>
      </x:c>
      <x:c r="Y216" s="9" t="str">
        <x:f>IF($A216="","",$X216*$I216/100)</x:f>
      </x:c>
      <x:c r="Z216" s="9" t="str">
        <x:f>IF($A216="","",MAX(0,($X216-$Y216)*$K216/100))</x:f>
      </x:c>
      <x:c r="AA216" s="9" t="str">
        <x:f>IF($A216="","",MAX(0,($X216-$Y216)*$L216/100))</x:f>
      </x:c>
      <x:c r="AB216" s="9" t="str">
        <x:f>IF($A216="","",MAX(0,($X216-$Y216)*$M216/100))</x:f>
      </x:c>
      <x:c r="AC216" s="9" t="str">
        <x:f>IF($A216="","",MAX(0,($X216-$Y216)+$J216+$Z216+$N216-$AA216-$AB216-$O216))</x:f>
      </x:c>
    </x:row>
    <x:row r="217">
      <x:c r="A217" s="13"/>
      <x:c r="B217" s="14"/>
      <x:c r="C217" s="8"/>
      <x:c r="D217" s="13"/>
      <x:c r="E217" s="7"/>
      <x:c r="F217" s="13"/>
      <x:c r="G217" s="7"/>
      <x:c r="H217" s="7"/>
      <x:c r="I217" s="10"/>
      <x:c r="J217" s="9"/>
      <x:c r="K217" s="10"/>
      <x:c r="L217" s="10"/>
      <x:c r="M217" s="10"/>
      <x:c r="N217" s="9"/>
      <x:c r="O217" s="9"/>
      <x:c r="P217" s="7"/>
      <x:c r="Q217" s="9"/>
      <x:c r="R217" s="8"/>
      <x:c r="S217" s="9"/>
      <x:c r="T217" s="8"/>
      <x:c r="U217" s="13"/>
      <x:c r="V217" s="7"/>
      <x:c r="W217" s="7"/>
      <x:c r="X217" s="9" t="str">
        <x:f>IF($A217="","",SUMIF(Purchase_Items!$A$2:$A$501,$A217,Purchase_Items!$P$2:$P$501))</x:f>
      </x:c>
      <x:c r="Y217" s="9" t="str">
        <x:f>IF($A217="","",$X217*$I217/100)</x:f>
      </x:c>
      <x:c r="Z217" s="9" t="str">
        <x:f>IF($A217="","",MAX(0,($X217-$Y217)*$K217/100))</x:f>
      </x:c>
      <x:c r="AA217" s="9" t="str">
        <x:f>IF($A217="","",MAX(0,($X217-$Y217)*$L217/100))</x:f>
      </x:c>
      <x:c r="AB217" s="9" t="str">
        <x:f>IF($A217="","",MAX(0,($X217-$Y217)*$M217/100))</x:f>
      </x:c>
      <x:c r="AC217" s="9" t="str">
        <x:f>IF($A217="","",MAX(0,($X217-$Y217)+$J217+$Z217+$N217-$AA217-$AB217-$O217))</x:f>
      </x:c>
    </x:row>
    <x:row r="218">
      <x:c r="A218" s="13"/>
      <x:c r="B218" s="14"/>
      <x:c r="C218" s="8"/>
      <x:c r="D218" s="13"/>
      <x:c r="E218" s="7"/>
      <x:c r="F218" s="13"/>
      <x:c r="G218" s="7"/>
      <x:c r="H218" s="7"/>
      <x:c r="I218" s="10"/>
      <x:c r="J218" s="9"/>
      <x:c r="K218" s="10"/>
      <x:c r="L218" s="10"/>
      <x:c r="M218" s="10"/>
      <x:c r="N218" s="9"/>
      <x:c r="O218" s="9"/>
      <x:c r="P218" s="7"/>
      <x:c r="Q218" s="9"/>
      <x:c r="R218" s="8"/>
      <x:c r="S218" s="9"/>
      <x:c r="T218" s="8"/>
      <x:c r="U218" s="13"/>
      <x:c r="V218" s="7"/>
      <x:c r="W218" s="7"/>
      <x:c r="X218" s="9" t="str">
        <x:f>IF($A218="","",SUMIF(Purchase_Items!$A$2:$A$501,$A218,Purchase_Items!$P$2:$P$501))</x:f>
      </x:c>
      <x:c r="Y218" s="9" t="str">
        <x:f>IF($A218="","",$X218*$I218/100)</x:f>
      </x:c>
      <x:c r="Z218" s="9" t="str">
        <x:f>IF($A218="","",MAX(0,($X218-$Y218)*$K218/100))</x:f>
      </x:c>
      <x:c r="AA218" s="9" t="str">
        <x:f>IF($A218="","",MAX(0,($X218-$Y218)*$L218/100))</x:f>
      </x:c>
      <x:c r="AB218" s="9" t="str">
        <x:f>IF($A218="","",MAX(0,($X218-$Y218)*$M218/100))</x:f>
      </x:c>
      <x:c r="AC218" s="9" t="str">
        <x:f>IF($A218="","",MAX(0,($X218-$Y218)+$J218+$Z218+$N218-$AA218-$AB218-$O218))</x:f>
      </x:c>
    </x:row>
    <x:row r="219">
      <x:c r="A219" s="13"/>
      <x:c r="B219" s="14"/>
      <x:c r="C219" s="8"/>
      <x:c r="D219" s="13"/>
      <x:c r="E219" s="7"/>
      <x:c r="F219" s="13"/>
      <x:c r="G219" s="7"/>
      <x:c r="H219" s="7"/>
      <x:c r="I219" s="10"/>
      <x:c r="J219" s="9"/>
      <x:c r="K219" s="10"/>
      <x:c r="L219" s="10"/>
      <x:c r="M219" s="10"/>
      <x:c r="N219" s="9"/>
      <x:c r="O219" s="9"/>
      <x:c r="P219" s="7"/>
      <x:c r="Q219" s="9"/>
      <x:c r="R219" s="8"/>
      <x:c r="S219" s="9"/>
      <x:c r="T219" s="8"/>
      <x:c r="U219" s="13"/>
      <x:c r="V219" s="7"/>
      <x:c r="W219" s="7"/>
      <x:c r="X219" s="9" t="str">
        <x:f>IF($A219="","",SUMIF(Purchase_Items!$A$2:$A$501,$A219,Purchase_Items!$P$2:$P$501))</x:f>
      </x:c>
      <x:c r="Y219" s="9" t="str">
        <x:f>IF($A219="","",$X219*$I219/100)</x:f>
      </x:c>
      <x:c r="Z219" s="9" t="str">
        <x:f>IF($A219="","",MAX(0,($X219-$Y219)*$K219/100))</x:f>
      </x:c>
      <x:c r="AA219" s="9" t="str">
        <x:f>IF($A219="","",MAX(0,($X219-$Y219)*$L219/100))</x:f>
      </x:c>
      <x:c r="AB219" s="9" t="str">
        <x:f>IF($A219="","",MAX(0,($X219-$Y219)*$M219/100))</x:f>
      </x:c>
      <x:c r="AC219" s="9" t="str">
        <x:f>IF($A219="","",MAX(0,($X219-$Y219)+$J219+$Z219+$N219-$AA219-$AB219-$O219))</x:f>
      </x:c>
    </x:row>
    <x:row r="220">
      <x:c r="A220" s="13"/>
      <x:c r="B220" s="14"/>
      <x:c r="C220" s="8"/>
      <x:c r="D220" s="13"/>
      <x:c r="E220" s="7"/>
      <x:c r="F220" s="13"/>
      <x:c r="G220" s="7"/>
      <x:c r="H220" s="7"/>
      <x:c r="I220" s="10"/>
      <x:c r="J220" s="9"/>
      <x:c r="K220" s="10"/>
      <x:c r="L220" s="10"/>
      <x:c r="M220" s="10"/>
      <x:c r="N220" s="9"/>
      <x:c r="O220" s="9"/>
      <x:c r="P220" s="7"/>
      <x:c r="Q220" s="9"/>
      <x:c r="R220" s="8"/>
      <x:c r="S220" s="9"/>
      <x:c r="T220" s="8"/>
      <x:c r="U220" s="13"/>
      <x:c r="V220" s="7"/>
      <x:c r="W220" s="7"/>
      <x:c r="X220" s="9" t="str">
        <x:f>IF($A220="","",SUMIF(Purchase_Items!$A$2:$A$501,$A220,Purchase_Items!$P$2:$P$501))</x:f>
      </x:c>
      <x:c r="Y220" s="9" t="str">
        <x:f>IF($A220="","",$X220*$I220/100)</x:f>
      </x:c>
      <x:c r="Z220" s="9" t="str">
        <x:f>IF($A220="","",MAX(0,($X220-$Y220)*$K220/100))</x:f>
      </x:c>
      <x:c r="AA220" s="9" t="str">
        <x:f>IF($A220="","",MAX(0,($X220-$Y220)*$L220/100))</x:f>
      </x:c>
      <x:c r="AB220" s="9" t="str">
        <x:f>IF($A220="","",MAX(0,($X220-$Y220)*$M220/100))</x:f>
      </x:c>
      <x:c r="AC220" s="9" t="str">
        <x:f>IF($A220="","",MAX(0,($X220-$Y220)+$J220+$Z220+$N220-$AA220-$AB220-$O220))</x:f>
      </x:c>
    </x:row>
    <x:row r="221">
      <x:c r="A221" s="13"/>
      <x:c r="B221" s="14"/>
      <x:c r="C221" s="8"/>
      <x:c r="D221" s="13"/>
      <x:c r="E221" s="7"/>
      <x:c r="F221" s="13"/>
      <x:c r="G221" s="7"/>
      <x:c r="H221" s="7"/>
      <x:c r="I221" s="10"/>
      <x:c r="J221" s="9"/>
      <x:c r="K221" s="10"/>
      <x:c r="L221" s="10"/>
      <x:c r="M221" s="10"/>
      <x:c r="N221" s="9"/>
      <x:c r="O221" s="9"/>
      <x:c r="P221" s="7"/>
      <x:c r="Q221" s="9"/>
      <x:c r="R221" s="8"/>
      <x:c r="S221" s="9"/>
      <x:c r="T221" s="8"/>
      <x:c r="U221" s="13"/>
      <x:c r="V221" s="7"/>
      <x:c r="W221" s="7"/>
      <x:c r="X221" s="9" t="str">
        <x:f>IF($A221="","",SUMIF(Purchase_Items!$A$2:$A$501,$A221,Purchase_Items!$P$2:$P$501))</x:f>
      </x:c>
      <x:c r="Y221" s="9" t="str">
        <x:f>IF($A221="","",$X221*$I221/100)</x:f>
      </x:c>
      <x:c r="Z221" s="9" t="str">
        <x:f>IF($A221="","",MAX(0,($X221-$Y221)*$K221/100))</x:f>
      </x:c>
      <x:c r="AA221" s="9" t="str">
        <x:f>IF($A221="","",MAX(0,($X221-$Y221)*$L221/100))</x:f>
      </x:c>
      <x:c r="AB221" s="9" t="str">
        <x:f>IF($A221="","",MAX(0,($X221-$Y221)*$M221/100))</x:f>
      </x:c>
      <x:c r="AC221" s="9" t="str">
        <x:f>IF($A221="","",MAX(0,($X221-$Y221)+$J221+$Z221+$N221-$AA221-$AB221-$O221))</x:f>
      </x:c>
    </x:row>
    <x:row r="222">
      <x:c r="A222" s="13"/>
      <x:c r="B222" s="14"/>
      <x:c r="C222" s="8"/>
      <x:c r="D222" s="13"/>
      <x:c r="E222" s="7"/>
      <x:c r="F222" s="13"/>
      <x:c r="G222" s="7"/>
      <x:c r="H222" s="7"/>
      <x:c r="I222" s="10"/>
      <x:c r="J222" s="9"/>
      <x:c r="K222" s="10"/>
      <x:c r="L222" s="10"/>
      <x:c r="M222" s="10"/>
      <x:c r="N222" s="9"/>
      <x:c r="O222" s="9"/>
      <x:c r="P222" s="7"/>
      <x:c r="Q222" s="9"/>
      <x:c r="R222" s="8"/>
      <x:c r="S222" s="9"/>
      <x:c r="T222" s="8"/>
      <x:c r="U222" s="13"/>
      <x:c r="V222" s="7"/>
      <x:c r="W222" s="7"/>
      <x:c r="X222" s="9" t="str">
        <x:f>IF($A222="","",SUMIF(Purchase_Items!$A$2:$A$501,$A222,Purchase_Items!$P$2:$P$501))</x:f>
      </x:c>
      <x:c r="Y222" s="9" t="str">
        <x:f>IF($A222="","",$X222*$I222/100)</x:f>
      </x:c>
      <x:c r="Z222" s="9" t="str">
        <x:f>IF($A222="","",MAX(0,($X222-$Y222)*$K222/100))</x:f>
      </x:c>
      <x:c r="AA222" s="9" t="str">
        <x:f>IF($A222="","",MAX(0,($X222-$Y222)*$L222/100))</x:f>
      </x:c>
      <x:c r="AB222" s="9" t="str">
        <x:f>IF($A222="","",MAX(0,($X222-$Y222)*$M222/100))</x:f>
      </x:c>
      <x:c r="AC222" s="9" t="str">
        <x:f>IF($A222="","",MAX(0,($X222-$Y222)+$J222+$Z222+$N222-$AA222-$AB222-$O222))</x:f>
      </x:c>
    </x:row>
    <x:row r="223">
      <x:c r="A223" s="13"/>
      <x:c r="B223" s="14"/>
      <x:c r="C223" s="8"/>
      <x:c r="D223" s="13"/>
      <x:c r="E223" s="7"/>
      <x:c r="F223" s="13"/>
      <x:c r="G223" s="7"/>
      <x:c r="H223" s="7"/>
      <x:c r="I223" s="10"/>
      <x:c r="J223" s="9"/>
      <x:c r="K223" s="10"/>
      <x:c r="L223" s="10"/>
      <x:c r="M223" s="10"/>
      <x:c r="N223" s="9"/>
      <x:c r="O223" s="9"/>
      <x:c r="P223" s="7"/>
      <x:c r="Q223" s="9"/>
      <x:c r="R223" s="8"/>
      <x:c r="S223" s="9"/>
      <x:c r="T223" s="8"/>
      <x:c r="U223" s="13"/>
      <x:c r="V223" s="7"/>
      <x:c r="W223" s="7"/>
      <x:c r="X223" s="9" t="str">
        <x:f>IF($A223="","",SUMIF(Purchase_Items!$A$2:$A$501,$A223,Purchase_Items!$P$2:$P$501))</x:f>
      </x:c>
      <x:c r="Y223" s="9" t="str">
        <x:f>IF($A223="","",$X223*$I223/100)</x:f>
      </x:c>
      <x:c r="Z223" s="9" t="str">
        <x:f>IF($A223="","",MAX(0,($X223-$Y223)*$K223/100))</x:f>
      </x:c>
      <x:c r="AA223" s="9" t="str">
        <x:f>IF($A223="","",MAX(0,($X223-$Y223)*$L223/100))</x:f>
      </x:c>
      <x:c r="AB223" s="9" t="str">
        <x:f>IF($A223="","",MAX(0,($X223-$Y223)*$M223/100))</x:f>
      </x:c>
      <x:c r="AC223" s="9" t="str">
        <x:f>IF($A223="","",MAX(0,($X223-$Y223)+$J223+$Z223+$N223-$AA223-$AB223-$O223))</x:f>
      </x:c>
    </x:row>
    <x:row r="224">
      <x:c r="A224" s="13"/>
      <x:c r="B224" s="14"/>
      <x:c r="C224" s="8"/>
      <x:c r="D224" s="13"/>
      <x:c r="E224" s="7"/>
      <x:c r="F224" s="13"/>
      <x:c r="G224" s="7"/>
      <x:c r="H224" s="7"/>
      <x:c r="I224" s="10"/>
      <x:c r="J224" s="9"/>
      <x:c r="K224" s="10"/>
      <x:c r="L224" s="10"/>
      <x:c r="M224" s="10"/>
      <x:c r="N224" s="9"/>
      <x:c r="O224" s="9"/>
      <x:c r="P224" s="7"/>
      <x:c r="Q224" s="9"/>
      <x:c r="R224" s="8"/>
      <x:c r="S224" s="9"/>
      <x:c r="T224" s="8"/>
      <x:c r="U224" s="13"/>
      <x:c r="V224" s="7"/>
      <x:c r="W224" s="7"/>
      <x:c r="X224" s="9" t="str">
        <x:f>IF($A224="","",SUMIF(Purchase_Items!$A$2:$A$501,$A224,Purchase_Items!$P$2:$P$501))</x:f>
      </x:c>
      <x:c r="Y224" s="9" t="str">
        <x:f>IF($A224="","",$X224*$I224/100)</x:f>
      </x:c>
      <x:c r="Z224" s="9" t="str">
        <x:f>IF($A224="","",MAX(0,($X224-$Y224)*$K224/100))</x:f>
      </x:c>
      <x:c r="AA224" s="9" t="str">
        <x:f>IF($A224="","",MAX(0,($X224-$Y224)*$L224/100))</x:f>
      </x:c>
      <x:c r="AB224" s="9" t="str">
        <x:f>IF($A224="","",MAX(0,($X224-$Y224)*$M224/100))</x:f>
      </x:c>
      <x:c r="AC224" s="9" t="str">
        <x:f>IF($A224="","",MAX(0,($X224-$Y224)+$J224+$Z224+$N224-$AA224-$AB224-$O224))</x:f>
      </x:c>
    </x:row>
    <x:row r="225">
      <x:c r="A225" s="13"/>
      <x:c r="B225" s="14"/>
      <x:c r="C225" s="8"/>
      <x:c r="D225" s="13"/>
      <x:c r="E225" s="7"/>
      <x:c r="F225" s="13"/>
      <x:c r="G225" s="7"/>
      <x:c r="H225" s="7"/>
      <x:c r="I225" s="10"/>
      <x:c r="J225" s="9"/>
      <x:c r="K225" s="10"/>
      <x:c r="L225" s="10"/>
      <x:c r="M225" s="10"/>
      <x:c r="N225" s="9"/>
      <x:c r="O225" s="9"/>
      <x:c r="P225" s="7"/>
      <x:c r="Q225" s="9"/>
      <x:c r="R225" s="8"/>
      <x:c r="S225" s="9"/>
      <x:c r="T225" s="8"/>
      <x:c r="U225" s="13"/>
      <x:c r="V225" s="7"/>
      <x:c r="W225" s="7"/>
      <x:c r="X225" s="9" t="str">
        <x:f>IF($A225="","",SUMIF(Purchase_Items!$A$2:$A$501,$A225,Purchase_Items!$P$2:$P$501))</x:f>
      </x:c>
      <x:c r="Y225" s="9" t="str">
        <x:f>IF($A225="","",$X225*$I225/100)</x:f>
      </x:c>
      <x:c r="Z225" s="9" t="str">
        <x:f>IF($A225="","",MAX(0,($X225-$Y225)*$K225/100))</x:f>
      </x:c>
      <x:c r="AA225" s="9" t="str">
        <x:f>IF($A225="","",MAX(0,($X225-$Y225)*$L225/100))</x:f>
      </x:c>
      <x:c r="AB225" s="9" t="str">
        <x:f>IF($A225="","",MAX(0,($X225-$Y225)*$M225/100))</x:f>
      </x:c>
      <x:c r="AC225" s="9" t="str">
        <x:f>IF($A225="","",MAX(0,($X225-$Y225)+$J225+$Z225+$N225-$AA225-$AB225-$O225))</x:f>
      </x:c>
    </x:row>
    <x:row r="226">
      <x:c r="A226" s="13"/>
      <x:c r="B226" s="14"/>
      <x:c r="C226" s="8"/>
      <x:c r="D226" s="13"/>
      <x:c r="E226" s="7"/>
      <x:c r="F226" s="13"/>
      <x:c r="G226" s="7"/>
      <x:c r="H226" s="7"/>
      <x:c r="I226" s="10"/>
      <x:c r="J226" s="9"/>
      <x:c r="K226" s="10"/>
      <x:c r="L226" s="10"/>
      <x:c r="M226" s="10"/>
      <x:c r="N226" s="9"/>
      <x:c r="O226" s="9"/>
      <x:c r="P226" s="7"/>
      <x:c r="Q226" s="9"/>
      <x:c r="R226" s="8"/>
      <x:c r="S226" s="9"/>
      <x:c r="T226" s="8"/>
      <x:c r="U226" s="13"/>
      <x:c r="V226" s="7"/>
      <x:c r="W226" s="7"/>
      <x:c r="X226" s="9" t="str">
        <x:f>IF($A226="","",SUMIF(Purchase_Items!$A$2:$A$501,$A226,Purchase_Items!$P$2:$P$501))</x:f>
      </x:c>
      <x:c r="Y226" s="9" t="str">
        <x:f>IF($A226="","",$X226*$I226/100)</x:f>
      </x:c>
      <x:c r="Z226" s="9" t="str">
        <x:f>IF($A226="","",MAX(0,($X226-$Y226)*$K226/100))</x:f>
      </x:c>
      <x:c r="AA226" s="9" t="str">
        <x:f>IF($A226="","",MAX(0,($X226-$Y226)*$L226/100))</x:f>
      </x:c>
      <x:c r="AB226" s="9" t="str">
        <x:f>IF($A226="","",MAX(0,($X226-$Y226)*$M226/100))</x:f>
      </x:c>
      <x:c r="AC226" s="9" t="str">
        <x:f>IF($A226="","",MAX(0,($X226-$Y226)+$J226+$Z226+$N226-$AA226-$AB226-$O226))</x:f>
      </x:c>
    </x:row>
    <x:row r="227">
      <x:c r="A227" s="13"/>
      <x:c r="B227" s="14"/>
      <x:c r="C227" s="8"/>
      <x:c r="D227" s="13"/>
      <x:c r="E227" s="7"/>
      <x:c r="F227" s="13"/>
      <x:c r="G227" s="7"/>
      <x:c r="H227" s="7"/>
      <x:c r="I227" s="10"/>
      <x:c r="J227" s="9"/>
      <x:c r="K227" s="10"/>
      <x:c r="L227" s="10"/>
      <x:c r="M227" s="10"/>
      <x:c r="N227" s="9"/>
      <x:c r="O227" s="9"/>
      <x:c r="P227" s="7"/>
      <x:c r="Q227" s="9"/>
      <x:c r="R227" s="8"/>
      <x:c r="S227" s="9"/>
      <x:c r="T227" s="8"/>
      <x:c r="U227" s="13"/>
      <x:c r="V227" s="7"/>
      <x:c r="W227" s="7"/>
      <x:c r="X227" s="9" t="str">
        <x:f>IF($A227="","",SUMIF(Purchase_Items!$A$2:$A$501,$A227,Purchase_Items!$P$2:$P$501))</x:f>
      </x:c>
      <x:c r="Y227" s="9" t="str">
        <x:f>IF($A227="","",$X227*$I227/100)</x:f>
      </x:c>
      <x:c r="Z227" s="9" t="str">
        <x:f>IF($A227="","",MAX(0,($X227-$Y227)*$K227/100))</x:f>
      </x:c>
      <x:c r="AA227" s="9" t="str">
        <x:f>IF($A227="","",MAX(0,($X227-$Y227)*$L227/100))</x:f>
      </x:c>
      <x:c r="AB227" s="9" t="str">
        <x:f>IF($A227="","",MAX(0,($X227-$Y227)*$M227/100))</x:f>
      </x:c>
      <x:c r="AC227" s="9" t="str">
        <x:f>IF($A227="","",MAX(0,($X227-$Y227)+$J227+$Z227+$N227-$AA227-$AB227-$O227))</x:f>
      </x:c>
    </x:row>
    <x:row r="228">
      <x:c r="A228" s="13"/>
      <x:c r="B228" s="14"/>
      <x:c r="C228" s="8"/>
      <x:c r="D228" s="13"/>
      <x:c r="E228" s="7"/>
      <x:c r="F228" s="13"/>
      <x:c r="G228" s="7"/>
      <x:c r="H228" s="7"/>
      <x:c r="I228" s="10"/>
      <x:c r="J228" s="9"/>
      <x:c r="K228" s="10"/>
      <x:c r="L228" s="10"/>
      <x:c r="M228" s="10"/>
      <x:c r="N228" s="9"/>
      <x:c r="O228" s="9"/>
      <x:c r="P228" s="7"/>
      <x:c r="Q228" s="9"/>
      <x:c r="R228" s="8"/>
      <x:c r="S228" s="9"/>
      <x:c r="T228" s="8"/>
      <x:c r="U228" s="13"/>
      <x:c r="V228" s="7"/>
      <x:c r="W228" s="7"/>
      <x:c r="X228" s="9" t="str">
        <x:f>IF($A228="","",SUMIF(Purchase_Items!$A$2:$A$501,$A228,Purchase_Items!$P$2:$P$501))</x:f>
      </x:c>
      <x:c r="Y228" s="9" t="str">
        <x:f>IF($A228="","",$X228*$I228/100)</x:f>
      </x:c>
      <x:c r="Z228" s="9" t="str">
        <x:f>IF($A228="","",MAX(0,($X228-$Y228)*$K228/100))</x:f>
      </x:c>
      <x:c r="AA228" s="9" t="str">
        <x:f>IF($A228="","",MAX(0,($X228-$Y228)*$L228/100))</x:f>
      </x:c>
      <x:c r="AB228" s="9" t="str">
        <x:f>IF($A228="","",MAX(0,($X228-$Y228)*$M228/100))</x:f>
      </x:c>
      <x:c r="AC228" s="9" t="str">
        <x:f>IF($A228="","",MAX(0,($X228-$Y228)+$J228+$Z228+$N228-$AA228-$AB228-$O228))</x:f>
      </x:c>
    </x:row>
    <x:row r="229">
      <x:c r="A229" s="13"/>
      <x:c r="B229" s="14"/>
      <x:c r="C229" s="8"/>
      <x:c r="D229" s="13"/>
      <x:c r="E229" s="7"/>
      <x:c r="F229" s="13"/>
      <x:c r="G229" s="7"/>
      <x:c r="H229" s="7"/>
      <x:c r="I229" s="10"/>
      <x:c r="J229" s="9"/>
      <x:c r="K229" s="10"/>
      <x:c r="L229" s="10"/>
      <x:c r="M229" s="10"/>
      <x:c r="N229" s="9"/>
      <x:c r="O229" s="9"/>
      <x:c r="P229" s="7"/>
      <x:c r="Q229" s="9"/>
      <x:c r="R229" s="8"/>
      <x:c r="S229" s="9"/>
      <x:c r="T229" s="8"/>
      <x:c r="U229" s="13"/>
      <x:c r="V229" s="7"/>
      <x:c r="W229" s="7"/>
      <x:c r="X229" s="9" t="str">
        <x:f>IF($A229="","",SUMIF(Purchase_Items!$A$2:$A$501,$A229,Purchase_Items!$P$2:$P$501))</x:f>
      </x:c>
      <x:c r="Y229" s="9" t="str">
        <x:f>IF($A229="","",$X229*$I229/100)</x:f>
      </x:c>
      <x:c r="Z229" s="9" t="str">
        <x:f>IF($A229="","",MAX(0,($X229-$Y229)*$K229/100))</x:f>
      </x:c>
      <x:c r="AA229" s="9" t="str">
        <x:f>IF($A229="","",MAX(0,($X229-$Y229)*$L229/100))</x:f>
      </x:c>
      <x:c r="AB229" s="9" t="str">
        <x:f>IF($A229="","",MAX(0,($X229-$Y229)*$M229/100))</x:f>
      </x:c>
      <x:c r="AC229" s="9" t="str">
        <x:f>IF($A229="","",MAX(0,($X229-$Y229)+$J229+$Z229+$N229-$AA229-$AB229-$O229))</x:f>
      </x:c>
    </x:row>
    <x:row r="230">
      <x:c r="A230" s="13"/>
      <x:c r="B230" s="14"/>
      <x:c r="C230" s="8"/>
      <x:c r="D230" s="13"/>
      <x:c r="E230" s="7"/>
      <x:c r="F230" s="13"/>
      <x:c r="G230" s="7"/>
      <x:c r="H230" s="7"/>
      <x:c r="I230" s="10"/>
      <x:c r="J230" s="9"/>
      <x:c r="K230" s="10"/>
      <x:c r="L230" s="10"/>
      <x:c r="M230" s="10"/>
      <x:c r="N230" s="9"/>
      <x:c r="O230" s="9"/>
      <x:c r="P230" s="7"/>
      <x:c r="Q230" s="9"/>
      <x:c r="R230" s="8"/>
      <x:c r="S230" s="9"/>
      <x:c r="T230" s="8"/>
      <x:c r="U230" s="13"/>
      <x:c r="V230" s="7"/>
      <x:c r="W230" s="7"/>
      <x:c r="X230" s="9" t="str">
        <x:f>IF($A230="","",SUMIF(Purchase_Items!$A$2:$A$501,$A230,Purchase_Items!$P$2:$P$501))</x:f>
      </x:c>
      <x:c r="Y230" s="9" t="str">
        <x:f>IF($A230="","",$X230*$I230/100)</x:f>
      </x:c>
      <x:c r="Z230" s="9" t="str">
        <x:f>IF($A230="","",MAX(0,($X230-$Y230)*$K230/100))</x:f>
      </x:c>
      <x:c r="AA230" s="9" t="str">
        <x:f>IF($A230="","",MAX(0,($X230-$Y230)*$L230/100))</x:f>
      </x:c>
      <x:c r="AB230" s="9" t="str">
        <x:f>IF($A230="","",MAX(0,($X230-$Y230)*$M230/100))</x:f>
      </x:c>
      <x:c r="AC230" s="9" t="str">
        <x:f>IF($A230="","",MAX(0,($X230-$Y230)+$J230+$Z230+$N230-$AA230-$AB230-$O230))</x:f>
      </x:c>
    </x:row>
    <x:row r="231">
      <x:c r="A231" s="13"/>
      <x:c r="B231" s="14"/>
      <x:c r="C231" s="8"/>
      <x:c r="D231" s="13"/>
      <x:c r="E231" s="7"/>
      <x:c r="F231" s="13"/>
      <x:c r="G231" s="7"/>
      <x:c r="H231" s="7"/>
      <x:c r="I231" s="10"/>
      <x:c r="J231" s="9"/>
      <x:c r="K231" s="10"/>
      <x:c r="L231" s="10"/>
      <x:c r="M231" s="10"/>
      <x:c r="N231" s="9"/>
      <x:c r="O231" s="9"/>
      <x:c r="P231" s="7"/>
      <x:c r="Q231" s="9"/>
      <x:c r="R231" s="8"/>
      <x:c r="S231" s="9"/>
      <x:c r="T231" s="8"/>
      <x:c r="U231" s="13"/>
      <x:c r="V231" s="7"/>
      <x:c r="W231" s="7"/>
      <x:c r="X231" s="9" t="str">
        <x:f>IF($A231="","",SUMIF(Purchase_Items!$A$2:$A$501,$A231,Purchase_Items!$P$2:$P$501))</x:f>
      </x:c>
      <x:c r="Y231" s="9" t="str">
        <x:f>IF($A231="","",$X231*$I231/100)</x:f>
      </x:c>
      <x:c r="Z231" s="9" t="str">
        <x:f>IF($A231="","",MAX(0,($X231-$Y231)*$K231/100))</x:f>
      </x:c>
      <x:c r="AA231" s="9" t="str">
        <x:f>IF($A231="","",MAX(0,($X231-$Y231)*$L231/100))</x:f>
      </x:c>
      <x:c r="AB231" s="9" t="str">
        <x:f>IF($A231="","",MAX(0,($X231-$Y231)*$M231/100))</x:f>
      </x:c>
      <x:c r="AC231" s="9" t="str">
        <x:f>IF($A231="","",MAX(0,($X231-$Y231)+$J231+$Z231+$N231-$AA231-$AB231-$O231))</x:f>
      </x:c>
    </x:row>
    <x:row r="232">
      <x:c r="A232" s="13"/>
      <x:c r="B232" s="14"/>
      <x:c r="C232" s="8"/>
      <x:c r="D232" s="13"/>
      <x:c r="E232" s="7"/>
      <x:c r="F232" s="13"/>
      <x:c r="G232" s="7"/>
      <x:c r="H232" s="7"/>
      <x:c r="I232" s="10"/>
      <x:c r="J232" s="9"/>
      <x:c r="K232" s="10"/>
      <x:c r="L232" s="10"/>
      <x:c r="M232" s="10"/>
      <x:c r="N232" s="9"/>
      <x:c r="O232" s="9"/>
      <x:c r="P232" s="7"/>
      <x:c r="Q232" s="9"/>
      <x:c r="R232" s="8"/>
      <x:c r="S232" s="9"/>
      <x:c r="T232" s="8"/>
      <x:c r="U232" s="13"/>
      <x:c r="V232" s="7"/>
      <x:c r="W232" s="7"/>
      <x:c r="X232" s="9" t="str">
        <x:f>IF($A232="","",SUMIF(Purchase_Items!$A$2:$A$501,$A232,Purchase_Items!$P$2:$P$501))</x:f>
      </x:c>
      <x:c r="Y232" s="9" t="str">
        <x:f>IF($A232="","",$X232*$I232/100)</x:f>
      </x:c>
      <x:c r="Z232" s="9" t="str">
        <x:f>IF($A232="","",MAX(0,($X232-$Y232)*$K232/100))</x:f>
      </x:c>
      <x:c r="AA232" s="9" t="str">
        <x:f>IF($A232="","",MAX(0,($X232-$Y232)*$L232/100))</x:f>
      </x:c>
      <x:c r="AB232" s="9" t="str">
        <x:f>IF($A232="","",MAX(0,($X232-$Y232)*$M232/100))</x:f>
      </x:c>
      <x:c r="AC232" s="9" t="str">
        <x:f>IF($A232="","",MAX(0,($X232-$Y232)+$J232+$Z232+$N232-$AA232-$AB232-$O232))</x:f>
      </x:c>
    </x:row>
    <x:row r="233">
      <x:c r="A233" s="13"/>
      <x:c r="B233" s="14"/>
      <x:c r="C233" s="8"/>
      <x:c r="D233" s="13"/>
      <x:c r="E233" s="7"/>
      <x:c r="F233" s="13"/>
      <x:c r="G233" s="7"/>
      <x:c r="H233" s="7"/>
      <x:c r="I233" s="10"/>
      <x:c r="J233" s="9"/>
      <x:c r="K233" s="10"/>
      <x:c r="L233" s="10"/>
      <x:c r="M233" s="10"/>
      <x:c r="N233" s="9"/>
      <x:c r="O233" s="9"/>
      <x:c r="P233" s="7"/>
      <x:c r="Q233" s="9"/>
      <x:c r="R233" s="8"/>
      <x:c r="S233" s="9"/>
      <x:c r="T233" s="8"/>
      <x:c r="U233" s="13"/>
      <x:c r="V233" s="7"/>
      <x:c r="W233" s="7"/>
      <x:c r="X233" s="9" t="str">
        <x:f>IF($A233="","",SUMIF(Purchase_Items!$A$2:$A$501,$A233,Purchase_Items!$P$2:$P$501))</x:f>
      </x:c>
      <x:c r="Y233" s="9" t="str">
        <x:f>IF($A233="","",$X233*$I233/100)</x:f>
      </x:c>
      <x:c r="Z233" s="9" t="str">
        <x:f>IF($A233="","",MAX(0,($X233-$Y233)*$K233/100))</x:f>
      </x:c>
      <x:c r="AA233" s="9" t="str">
        <x:f>IF($A233="","",MAX(0,($X233-$Y233)*$L233/100))</x:f>
      </x:c>
      <x:c r="AB233" s="9" t="str">
        <x:f>IF($A233="","",MAX(0,($X233-$Y233)*$M233/100))</x:f>
      </x:c>
      <x:c r="AC233" s="9" t="str">
        <x:f>IF($A233="","",MAX(0,($X233-$Y233)+$J233+$Z233+$N233-$AA233-$AB233-$O233))</x:f>
      </x:c>
    </x:row>
    <x:row r="234">
      <x:c r="A234" s="13"/>
      <x:c r="B234" s="14"/>
      <x:c r="C234" s="8"/>
      <x:c r="D234" s="13"/>
      <x:c r="E234" s="7"/>
      <x:c r="F234" s="13"/>
      <x:c r="G234" s="7"/>
      <x:c r="H234" s="7"/>
      <x:c r="I234" s="10"/>
      <x:c r="J234" s="9"/>
      <x:c r="K234" s="10"/>
      <x:c r="L234" s="10"/>
      <x:c r="M234" s="10"/>
      <x:c r="N234" s="9"/>
      <x:c r="O234" s="9"/>
      <x:c r="P234" s="7"/>
      <x:c r="Q234" s="9"/>
      <x:c r="R234" s="8"/>
      <x:c r="S234" s="9"/>
      <x:c r="T234" s="8"/>
      <x:c r="U234" s="13"/>
      <x:c r="V234" s="7"/>
      <x:c r="W234" s="7"/>
      <x:c r="X234" s="9" t="str">
        <x:f>IF($A234="","",SUMIF(Purchase_Items!$A$2:$A$501,$A234,Purchase_Items!$P$2:$P$501))</x:f>
      </x:c>
      <x:c r="Y234" s="9" t="str">
        <x:f>IF($A234="","",$X234*$I234/100)</x:f>
      </x:c>
      <x:c r="Z234" s="9" t="str">
        <x:f>IF($A234="","",MAX(0,($X234-$Y234)*$K234/100))</x:f>
      </x:c>
      <x:c r="AA234" s="9" t="str">
        <x:f>IF($A234="","",MAX(0,($X234-$Y234)*$L234/100))</x:f>
      </x:c>
      <x:c r="AB234" s="9" t="str">
        <x:f>IF($A234="","",MAX(0,($X234-$Y234)*$M234/100))</x:f>
      </x:c>
      <x:c r="AC234" s="9" t="str">
        <x:f>IF($A234="","",MAX(0,($X234-$Y234)+$J234+$Z234+$N234-$AA234-$AB234-$O234))</x:f>
      </x:c>
    </x:row>
    <x:row r="235">
      <x:c r="A235" s="13"/>
      <x:c r="B235" s="14"/>
      <x:c r="C235" s="8"/>
      <x:c r="D235" s="13"/>
      <x:c r="E235" s="7"/>
      <x:c r="F235" s="13"/>
      <x:c r="G235" s="7"/>
      <x:c r="H235" s="7"/>
      <x:c r="I235" s="10"/>
      <x:c r="J235" s="9"/>
      <x:c r="K235" s="10"/>
      <x:c r="L235" s="10"/>
      <x:c r="M235" s="10"/>
      <x:c r="N235" s="9"/>
      <x:c r="O235" s="9"/>
      <x:c r="P235" s="7"/>
      <x:c r="Q235" s="9"/>
      <x:c r="R235" s="8"/>
      <x:c r="S235" s="9"/>
      <x:c r="T235" s="8"/>
      <x:c r="U235" s="13"/>
      <x:c r="V235" s="7"/>
      <x:c r="W235" s="7"/>
      <x:c r="X235" s="9" t="str">
        <x:f>IF($A235="","",SUMIF(Purchase_Items!$A$2:$A$501,$A235,Purchase_Items!$P$2:$P$501))</x:f>
      </x:c>
      <x:c r="Y235" s="9" t="str">
        <x:f>IF($A235="","",$X235*$I235/100)</x:f>
      </x:c>
      <x:c r="Z235" s="9" t="str">
        <x:f>IF($A235="","",MAX(0,($X235-$Y235)*$K235/100))</x:f>
      </x:c>
      <x:c r="AA235" s="9" t="str">
        <x:f>IF($A235="","",MAX(0,($X235-$Y235)*$L235/100))</x:f>
      </x:c>
      <x:c r="AB235" s="9" t="str">
        <x:f>IF($A235="","",MAX(0,($X235-$Y235)*$M235/100))</x:f>
      </x:c>
      <x:c r="AC235" s="9" t="str">
        <x:f>IF($A235="","",MAX(0,($X235-$Y235)+$J235+$Z235+$N235-$AA235-$AB235-$O235))</x:f>
      </x:c>
    </x:row>
    <x:row r="236">
      <x:c r="A236" s="13"/>
      <x:c r="B236" s="14"/>
      <x:c r="C236" s="8"/>
      <x:c r="D236" s="13"/>
      <x:c r="E236" s="7"/>
      <x:c r="F236" s="13"/>
      <x:c r="G236" s="7"/>
      <x:c r="H236" s="7"/>
      <x:c r="I236" s="10"/>
      <x:c r="J236" s="9"/>
      <x:c r="K236" s="10"/>
      <x:c r="L236" s="10"/>
      <x:c r="M236" s="10"/>
      <x:c r="N236" s="9"/>
      <x:c r="O236" s="9"/>
      <x:c r="P236" s="7"/>
      <x:c r="Q236" s="9"/>
      <x:c r="R236" s="8"/>
      <x:c r="S236" s="9"/>
      <x:c r="T236" s="8"/>
      <x:c r="U236" s="13"/>
      <x:c r="V236" s="7"/>
      <x:c r="W236" s="7"/>
      <x:c r="X236" s="9" t="str">
        <x:f>IF($A236="","",SUMIF(Purchase_Items!$A$2:$A$501,$A236,Purchase_Items!$P$2:$P$501))</x:f>
      </x:c>
      <x:c r="Y236" s="9" t="str">
        <x:f>IF($A236="","",$X236*$I236/100)</x:f>
      </x:c>
      <x:c r="Z236" s="9" t="str">
        <x:f>IF($A236="","",MAX(0,($X236-$Y236)*$K236/100))</x:f>
      </x:c>
      <x:c r="AA236" s="9" t="str">
        <x:f>IF($A236="","",MAX(0,($X236-$Y236)*$L236/100))</x:f>
      </x:c>
      <x:c r="AB236" s="9" t="str">
        <x:f>IF($A236="","",MAX(0,($X236-$Y236)*$M236/100))</x:f>
      </x:c>
      <x:c r="AC236" s="9" t="str">
        <x:f>IF($A236="","",MAX(0,($X236-$Y236)+$J236+$Z236+$N236-$AA236-$AB236-$O236))</x:f>
      </x:c>
    </x:row>
    <x:row r="237">
      <x:c r="A237" s="13"/>
      <x:c r="B237" s="14"/>
      <x:c r="C237" s="8"/>
      <x:c r="D237" s="13"/>
      <x:c r="E237" s="7"/>
      <x:c r="F237" s="13"/>
      <x:c r="G237" s="7"/>
      <x:c r="H237" s="7"/>
      <x:c r="I237" s="10"/>
      <x:c r="J237" s="9"/>
      <x:c r="K237" s="10"/>
      <x:c r="L237" s="10"/>
      <x:c r="M237" s="10"/>
      <x:c r="N237" s="9"/>
      <x:c r="O237" s="9"/>
      <x:c r="P237" s="7"/>
      <x:c r="Q237" s="9"/>
      <x:c r="R237" s="8"/>
      <x:c r="S237" s="9"/>
      <x:c r="T237" s="8"/>
      <x:c r="U237" s="13"/>
      <x:c r="V237" s="7"/>
      <x:c r="W237" s="7"/>
      <x:c r="X237" s="9" t="str">
        <x:f>IF($A237="","",SUMIF(Purchase_Items!$A$2:$A$501,$A237,Purchase_Items!$P$2:$P$501))</x:f>
      </x:c>
      <x:c r="Y237" s="9" t="str">
        <x:f>IF($A237="","",$X237*$I237/100)</x:f>
      </x:c>
      <x:c r="Z237" s="9" t="str">
        <x:f>IF($A237="","",MAX(0,($X237-$Y237)*$K237/100))</x:f>
      </x:c>
      <x:c r="AA237" s="9" t="str">
        <x:f>IF($A237="","",MAX(0,($X237-$Y237)*$L237/100))</x:f>
      </x:c>
      <x:c r="AB237" s="9" t="str">
        <x:f>IF($A237="","",MAX(0,($X237-$Y237)*$M237/100))</x:f>
      </x:c>
      <x:c r="AC237" s="9" t="str">
        <x:f>IF($A237="","",MAX(0,($X237-$Y237)+$J237+$Z237+$N237-$AA237-$AB237-$O237))</x:f>
      </x:c>
    </x:row>
    <x:row r="238">
      <x:c r="A238" s="13"/>
      <x:c r="B238" s="14"/>
      <x:c r="C238" s="8"/>
      <x:c r="D238" s="13"/>
      <x:c r="E238" s="7"/>
      <x:c r="F238" s="13"/>
      <x:c r="G238" s="7"/>
      <x:c r="H238" s="7"/>
      <x:c r="I238" s="10"/>
      <x:c r="J238" s="9"/>
      <x:c r="K238" s="10"/>
      <x:c r="L238" s="10"/>
      <x:c r="M238" s="10"/>
      <x:c r="N238" s="9"/>
      <x:c r="O238" s="9"/>
      <x:c r="P238" s="7"/>
      <x:c r="Q238" s="9"/>
      <x:c r="R238" s="8"/>
      <x:c r="S238" s="9"/>
      <x:c r="T238" s="8"/>
      <x:c r="U238" s="13"/>
      <x:c r="V238" s="7"/>
      <x:c r="W238" s="7"/>
      <x:c r="X238" s="9" t="str">
        <x:f>IF($A238="","",SUMIF(Purchase_Items!$A$2:$A$501,$A238,Purchase_Items!$P$2:$P$501))</x:f>
      </x:c>
      <x:c r="Y238" s="9" t="str">
        <x:f>IF($A238="","",$X238*$I238/100)</x:f>
      </x:c>
      <x:c r="Z238" s="9" t="str">
        <x:f>IF($A238="","",MAX(0,($X238-$Y238)*$K238/100))</x:f>
      </x:c>
      <x:c r="AA238" s="9" t="str">
        <x:f>IF($A238="","",MAX(0,($X238-$Y238)*$L238/100))</x:f>
      </x:c>
      <x:c r="AB238" s="9" t="str">
        <x:f>IF($A238="","",MAX(0,($X238-$Y238)*$M238/100))</x:f>
      </x:c>
      <x:c r="AC238" s="9" t="str">
        <x:f>IF($A238="","",MAX(0,($X238-$Y238)+$J238+$Z238+$N238-$AA238-$AB238-$O238))</x:f>
      </x:c>
    </x:row>
    <x:row r="239">
      <x:c r="A239" s="13"/>
      <x:c r="B239" s="14"/>
      <x:c r="C239" s="8"/>
      <x:c r="D239" s="13"/>
      <x:c r="E239" s="7"/>
      <x:c r="F239" s="13"/>
      <x:c r="G239" s="7"/>
      <x:c r="H239" s="7"/>
      <x:c r="I239" s="10"/>
      <x:c r="J239" s="9"/>
      <x:c r="K239" s="10"/>
      <x:c r="L239" s="10"/>
      <x:c r="M239" s="10"/>
      <x:c r="N239" s="9"/>
      <x:c r="O239" s="9"/>
      <x:c r="P239" s="7"/>
      <x:c r="Q239" s="9"/>
      <x:c r="R239" s="8"/>
      <x:c r="S239" s="9"/>
      <x:c r="T239" s="8"/>
      <x:c r="U239" s="13"/>
      <x:c r="V239" s="7"/>
      <x:c r="W239" s="7"/>
      <x:c r="X239" s="9" t="str">
        <x:f>IF($A239="","",SUMIF(Purchase_Items!$A$2:$A$501,$A239,Purchase_Items!$P$2:$P$501))</x:f>
      </x:c>
      <x:c r="Y239" s="9" t="str">
        <x:f>IF($A239="","",$X239*$I239/100)</x:f>
      </x:c>
      <x:c r="Z239" s="9" t="str">
        <x:f>IF($A239="","",MAX(0,($X239-$Y239)*$K239/100))</x:f>
      </x:c>
      <x:c r="AA239" s="9" t="str">
        <x:f>IF($A239="","",MAX(0,($X239-$Y239)*$L239/100))</x:f>
      </x:c>
      <x:c r="AB239" s="9" t="str">
        <x:f>IF($A239="","",MAX(0,($X239-$Y239)*$M239/100))</x:f>
      </x:c>
      <x:c r="AC239" s="9" t="str">
        <x:f>IF($A239="","",MAX(0,($X239-$Y239)+$J239+$Z239+$N239-$AA239-$AB239-$O239))</x:f>
      </x:c>
    </x:row>
    <x:row r="240">
      <x:c r="A240" s="13"/>
      <x:c r="B240" s="14"/>
      <x:c r="C240" s="8"/>
      <x:c r="D240" s="13"/>
      <x:c r="E240" s="7"/>
      <x:c r="F240" s="13"/>
      <x:c r="G240" s="7"/>
      <x:c r="H240" s="7"/>
      <x:c r="I240" s="10"/>
      <x:c r="J240" s="9"/>
      <x:c r="K240" s="10"/>
      <x:c r="L240" s="10"/>
      <x:c r="M240" s="10"/>
      <x:c r="N240" s="9"/>
      <x:c r="O240" s="9"/>
      <x:c r="P240" s="7"/>
      <x:c r="Q240" s="9"/>
      <x:c r="R240" s="8"/>
      <x:c r="S240" s="9"/>
      <x:c r="T240" s="8"/>
      <x:c r="U240" s="13"/>
      <x:c r="V240" s="7"/>
      <x:c r="W240" s="7"/>
      <x:c r="X240" s="9" t="str">
        <x:f>IF($A240="","",SUMIF(Purchase_Items!$A$2:$A$501,$A240,Purchase_Items!$P$2:$P$501))</x:f>
      </x:c>
      <x:c r="Y240" s="9" t="str">
        <x:f>IF($A240="","",$X240*$I240/100)</x:f>
      </x:c>
      <x:c r="Z240" s="9" t="str">
        <x:f>IF($A240="","",MAX(0,($X240-$Y240)*$K240/100))</x:f>
      </x:c>
      <x:c r="AA240" s="9" t="str">
        <x:f>IF($A240="","",MAX(0,($X240-$Y240)*$L240/100))</x:f>
      </x:c>
      <x:c r="AB240" s="9" t="str">
        <x:f>IF($A240="","",MAX(0,($X240-$Y240)*$M240/100))</x:f>
      </x:c>
      <x:c r="AC240" s="9" t="str">
        <x:f>IF($A240="","",MAX(0,($X240-$Y240)+$J240+$Z240+$N240-$AA240-$AB240-$O240))</x:f>
      </x:c>
    </x:row>
    <x:row r="241">
      <x:c r="A241" s="13"/>
      <x:c r="B241" s="14"/>
      <x:c r="C241" s="8"/>
      <x:c r="D241" s="13"/>
      <x:c r="E241" s="7"/>
      <x:c r="F241" s="13"/>
      <x:c r="G241" s="7"/>
      <x:c r="H241" s="7"/>
      <x:c r="I241" s="10"/>
      <x:c r="J241" s="9"/>
      <x:c r="K241" s="10"/>
      <x:c r="L241" s="10"/>
      <x:c r="M241" s="10"/>
      <x:c r="N241" s="9"/>
      <x:c r="O241" s="9"/>
      <x:c r="P241" s="7"/>
      <x:c r="Q241" s="9"/>
      <x:c r="R241" s="8"/>
      <x:c r="S241" s="9"/>
      <x:c r="T241" s="8"/>
      <x:c r="U241" s="13"/>
      <x:c r="V241" s="7"/>
      <x:c r="W241" s="7"/>
      <x:c r="X241" s="9" t="str">
        <x:f>IF($A241="","",SUMIF(Purchase_Items!$A$2:$A$501,$A241,Purchase_Items!$P$2:$P$501))</x:f>
      </x:c>
      <x:c r="Y241" s="9" t="str">
        <x:f>IF($A241="","",$X241*$I241/100)</x:f>
      </x:c>
      <x:c r="Z241" s="9" t="str">
        <x:f>IF($A241="","",MAX(0,($X241-$Y241)*$K241/100))</x:f>
      </x:c>
      <x:c r="AA241" s="9" t="str">
        <x:f>IF($A241="","",MAX(0,($X241-$Y241)*$L241/100))</x:f>
      </x:c>
      <x:c r="AB241" s="9" t="str">
        <x:f>IF($A241="","",MAX(0,($X241-$Y241)*$M241/100))</x:f>
      </x:c>
      <x:c r="AC241" s="9" t="str">
        <x:f>IF($A241="","",MAX(0,($X241-$Y241)+$J241+$Z241+$N241-$AA241-$AB241-$O241))</x:f>
      </x:c>
    </x:row>
    <x:row r="242">
      <x:c r="A242" s="13"/>
      <x:c r="B242" s="14"/>
      <x:c r="C242" s="8"/>
      <x:c r="D242" s="13"/>
      <x:c r="E242" s="7"/>
      <x:c r="F242" s="13"/>
      <x:c r="G242" s="7"/>
      <x:c r="H242" s="7"/>
      <x:c r="I242" s="10"/>
      <x:c r="J242" s="9"/>
      <x:c r="K242" s="10"/>
      <x:c r="L242" s="10"/>
      <x:c r="M242" s="10"/>
      <x:c r="N242" s="9"/>
      <x:c r="O242" s="9"/>
      <x:c r="P242" s="7"/>
      <x:c r="Q242" s="9"/>
      <x:c r="R242" s="8"/>
      <x:c r="S242" s="9"/>
      <x:c r="T242" s="8"/>
      <x:c r="U242" s="13"/>
      <x:c r="V242" s="7"/>
      <x:c r="W242" s="7"/>
      <x:c r="X242" s="9" t="str">
        <x:f>IF($A242="","",SUMIF(Purchase_Items!$A$2:$A$501,$A242,Purchase_Items!$P$2:$P$501))</x:f>
      </x:c>
      <x:c r="Y242" s="9" t="str">
        <x:f>IF($A242="","",$X242*$I242/100)</x:f>
      </x:c>
      <x:c r="Z242" s="9" t="str">
        <x:f>IF($A242="","",MAX(0,($X242-$Y242)*$K242/100))</x:f>
      </x:c>
      <x:c r="AA242" s="9" t="str">
        <x:f>IF($A242="","",MAX(0,($X242-$Y242)*$L242/100))</x:f>
      </x:c>
      <x:c r="AB242" s="9" t="str">
        <x:f>IF($A242="","",MAX(0,($X242-$Y242)*$M242/100))</x:f>
      </x:c>
      <x:c r="AC242" s="9" t="str">
        <x:f>IF($A242="","",MAX(0,($X242-$Y242)+$J242+$Z242+$N242-$AA242-$AB242-$O242))</x:f>
      </x:c>
    </x:row>
    <x:row r="243">
      <x:c r="A243" s="13"/>
      <x:c r="B243" s="14"/>
      <x:c r="C243" s="8"/>
      <x:c r="D243" s="13"/>
      <x:c r="E243" s="7"/>
      <x:c r="F243" s="13"/>
      <x:c r="G243" s="7"/>
      <x:c r="H243" s="7"/>
      <x:c r="I243" s="10"/>
      <x:c r="J243" s="9"/>
      <x:c r="K243" s="10"/>
      <x:c r="L243" s="10"/>
      <x:c r="M243" s="10"/>
      <x:c r="N243" s="9"/>
      <x:c r="O243" s="9"/>
      <x:c r="P243" s="7"/>
      <x:c r="Q243" s="9"/>
      <x:c r="R243" s="8"/>
      <x:c r="S243" s="9"/>
      <x:c r="T243" s="8"/>
      <x:c r="U243" s="13"/>
      <x:c r="V243" s="7"/>
      <x:c r="W243" s="7"/>
      <x:c r="X243" s="9" t="str">
        <x:f>IF($A243="","",SUMIF(Purchase_Items!$A$2:$A$501,$A243,Purchase_Items!$P$2:$P$501))</x:f>
      </x:c>
      <x:c r="Y243" s="9" t="str">
        <x:f>IF($A243="","",$X243*$I243/100)</x:f>
      </x:c>
      <x:c r="Z243" s="9" t="str">
        <x:f>IF($A243="","",MAX(0,($X243-$Y243)*$K243/100))</x:f>
      </x:c>
      <x:c r="AA243" s="9" t="str">
        <x:f>IF($A243="","",MAX(0,($X243-$Y243)*$L243/100))</x:f>
      </x:c>
      <x:c r="AB243" s="9" t="str">
        <x:f>IF($A243="","",MAX(0,($X243-$Y243)*$M243/100))</x:f>
      </x:c>
      <x:c r="AC243" s="9" t="str">
        <x:f>IF($A243="","",MAX(0,($X243-$Y243)+$J243+$Z243+$N243-$AA243-$AB243-$O243))</x:f>
      </x:c>
    </x:row>
    <x:row r="244">
      <x:c r="A244" s="13"/>
      <x:c r="B244" s="14"/>
      <x:c r="C244" s="8"/>
      <x:c r="D244" s="13"/>
      <x:c r="E244" s="7"/>
      <x:c r="F244" s="13"/>
      <x:c r="G244" s="7"/>
      <x:c r="H244" s="7"/>
      <x:c r="I244" s="10"/>
      <x:c r="J244" s="9"/>
      <x:c r="K244" s="10"/>
      <x:c r="L244" s="10"/>
      <x:c r="M244" s="10"/>
      <x:c r="N244" s="9"/>
      <x:c r="O244" s="9"/>
      <x:c r="P244" s="7"/>
      <x:c r="Q244" s="9"/>
      <x:c r="R244" s="8"/>
      <x:c r="S244" s="9"/>
      <x:c r="T244" s="8"/>
      <x:c r="U244" s="13"/>
      <x:c r="V244" s="7"/>
      <x:c r="W244" s="7"/>
      <x:c r="X244" s="9" t="str">
        <x:f>IF($A244="","",SUMIF(Purchase_Items!$A$2:$A$501,$A244,Purchase_Items!$P$2:$P$501))</x:f>
      </x:c>
      <x:c r="Y244" s="9" t="str">
        <x:f>IF($A244="","",$X244*$I244/100)</x:f>
      </x:c>
      <x:c r="Z244" s="9" t="str">
        <x:f>IF($A244="","",MAX(0,($X244-$Y244)*$K244/100))</x:f>
      </x:c>
      <x:c r="AA244" s="9" t="str">
        <x:f>IF($A244="","",MAX(0,($X244-$Y244)*$L244/100))</x:f>
      </x:c>
      <x:c r="AB244" s="9" t="str">
        <x:f>IF($A244="","",MAX(0,($X244-$Y244)*$M244/100))</x:f>
      </x:c>
      <x:c r="AC244" s="9" t="str">
        <x:f>IF($A244="","",MAX(0,($X244-$Y244)+$J244+$Z244+$N244-$AA244-$AB244-$O244))</x:f>
      </x:c>
    </x:row>
    <x:row r="245">
      <x:c r="A245" s="13"/>
      <x:c r="B245" s="14"/>
      <x:c r="C245" s="8"/>
      <x:c r="D245" s="13"/>
      <x:c r="E245" s="7"/>
      <x:c r="F245" s="13"/>
      <x:c r="G245" s="7"/>
      <x:c r="H245" s="7"/>
      <x:c r="I245" s="10"/>
      <x:c r="J245" s="9"/>
      <x:c r="K245" s="10"/>
      <x:c r="L245" s="10"/>
      <x:c r="M245" s="10"/>
      <x:c r="N245" s="9"/>
      <x:c r="O245" s="9"/>
      <x:c r="P245" s="7"/>
      <x:c r="Q245" s="9"/>
      <x:c r="R245" s="8"/>
      <x:c r="S245" s="9"/>
      <x:c r="T245" s="8"/>
      <x:c r="U245" s="13"/>
      <x:c r="V245" s="7"/>
      <x:c r="W245" s="7"/>
      <x:c r="X245" s="9" t="str">
        <x:f>IF($A245="","",SUMIF(Purchase_Items!$A$2:$A$501,$A245,Purchase_Items!$P$2:$P$501))</x:f>
      </x:c>
      <x:c r="Y245" s="9" t="str">
        <x:f>IF($A245="","",$X245*$I245/100)</x:f>
      </x:c>
      <x:c r="Z245" s="9" t="str">
        <x:f>IF($A245="","",MAX(0,($X245-$Y245)*$K245/100))</x:f>
      </x:c>
      <x:c r="AA245" s="9" t="str">
        <x:f>IF($A245="","",MAX(0,($X245-$Y245)*$L245/100))</x:f>
      </x:c>
      <x:c r="AB245" s="9" t="str">
        <x:f>IF($A245="","",MAX(0,($X245-$Y245)*$M245/100))</x:f>
      </x:c>
      <x:c r="AC245" s="9" t="str">
        <x:f>IF($A245="","",MAX(0,($X245-$Y245)+$J245+$Z245+$N245-$AA245-$AB245-$O245))</x:f>
      </x:c>
    </x:row>
    <x:row r="246">
      <x:c r="A246" s="13"/>
      <x:c r="B246" s="14"/>
      <x:c r="C246" s="8"/>
      <x:c r="D246" s="13"/>
      <x:c r="E246" s="7"/>
      <x:c r="F246" s="13"/>
      <x:c r="G246" s="7"/>
      <x:c r="H246" s="7"/>
      <x:c r="I246" s="10"/>
      <x:c r="J246" s="9"/>
      <x:c r="K246" s="10"/>
      <x:c r="L246" s="10"/>
      <x:c r="M246" s="10"/>
      <x:c r="N246" s="9"/>
      <x:c r="O246" s="9"/>
      <x:c r="P246" s="7"/>
      <x:c r="Q246" s="9"/>
      <x:c r="R246" s="8"/>
      <x:c r="S246" s="9"/>
      <x:c r="T246" s="8"/>
      <x:c r="U246" s="13"/>
      <x:c r="V246" s="7"/>
      <x:c r="W246" s="7"/>
      <x:c r="X246" s="9" t="str">
        <x:f>IF($A246="","",SUMIF(Purchase_Items!$A$2:$A$501,$A246,Purchase_Items!$P$2:$P$501))</x:f>
      </x:c>
      <x:c r="Y246" s="9" t="str">
        <x:f>IF($A246="","",$X246*$I246/100)</x:f>
      </x:c>
      <x:c r="Z246" s="9" t="str">
        <x:f>IF($A246="","",MAX(0,($X246-$Y246)*$K246/100))</x:f>
      </x:c>
      <x:c r="AA246" s="9" t="str">
        <x:f>IF($A246="","",MAX(0,($X246-$Y246)*$L246/100))</x:f>
      </x:c>
      <x:c r="AB246" s="9" t="str">
        <x:f>IF($A246="","",MAX(0,($X246-$Y246)*$M246/100))</x:f>
      </x:c>
      <x:c r="AC246" s="9" t="str">
        <x:f>IF($A246="","",MAX(0,($X246-$Y246)+$J246+$Z246+$N246-$AA246-$AB246-$O246))</x:f>
      </x:c>
    </x:row>
    <x:row r="247">
      <x:c r="A247" s="13"/>
      <x:c r="B247" s="14"/>
      <x:c r="C247" s="8"/>
      <x:c r="D247" s="13"/>
      <x:c r="E247" s="7"/>
      <x:c r="F247" s="13"/>
      <x:c r="G247" s="7"/>
      <x:c r="H247" s="7"/>
      <x:c r="I247" s="10"/>
      <x:c r="J247" s="9"/>
      <x:c r="K247" s="10"/>
      <x:c r="L247" s="10"/>
      <x:c r="M247" s="10"/>
      <x:c r="N247" s="9"/>
      <x:c r="O247" s="9"/>
      <x:c r="P247" s="7"/>
      <x:c r="Q247" s="9"/>
      <x:c r="R247" s="8"/>
      <x:c r="S247" s="9"/>
      <x:c r="T247" s="8"/>
      <x:c r="U247" s="13"/>
      <x:c r="V247" s="7"/>
      <x:c r="W247" s="7"/>
      <x:c r="X247" s="9" t="str">
        <x:f>IF($A247="","",SUMIF(Purchase_Items!$A$2:$A$501,$A247,Purchase_Items!$P$2:$P$501))</x:f>
      </x:c>
      <x:c r="Y247" s="9" t="str">
        <x:f>IF($A247="","",$X247*$I247/100)</x:f>
      </x:c>
      <x:c r="Z247" s="9" t="str">
        <x:f>IF($A247="","",MAX(0,($X247-$Y247)*$K247/100))</x:f>
      </x:c>
      <x:c r="AA247" s="9" t="str">
        <x:f>IF($A247="","",MAX(0,($X247-$Y247)*$L247/100))</x:f>
      </x:c>
      <x:c r="AB247" s="9" t="str">
        <x:f>IF($A247="","",MAX(0,($X247-$Y247)*$M247/100))</x:f>
      </x:c>
      <x:c r="AC247" s="9" t="str">
        <x:f>IF($A247="","",MAX(0,($X247-$Y247)+$J247+$Z247+$N247-$AA247-$AB247-$O247))</x:f>
      </x:c>
    </x:row>
    <x:row r="248">
      <x:c r="A248" s="13"/>
      <x:c r="B248" s="14"/>
      <x:c r="C248" s="8"/>
      <x:c r="D248" s="13"/>
      <x:c r="E248" s="7"/>
      <x:c r="F248" s="13"/>
      <x:c r="G248" s="7"/>
      <x:c r="H248" s="7"/>
      <x:c r="I248" s="10"/>
      <x:c r="J248" s="9"/>
      <x:c r="K248" s="10"/>
      <x:c r="L248" s="10"/>
      <x:c r="M248" s="10"/>
      <x:c r="N248" s="9"/>
      <x:c r="O248" s="9"/>
      <x:c r="P248" s="7"/>
      <x:c r="Q248" s="9"/>
      <x:c r="R248" s="8"/>
      <x:c r="S248" s="9"/>
      <x:c r="T248" s="8"/>
      <x:c r="U248" s="13"/>
      <x:c r="V248" s="7"/>
      <x:c r="W248" s="7"/>
      <x:c r="X248" s="9" t="str">
        <x:f>IF($A248="","",SUMIF(Purchase_Items!$A$2:$A$501,$A248,Purchase_Items!$P$2:$P$501))</x:f>
      </x:c>
      <x:c r="Y248" s="9" t="str">
        <x:f>IF($A248="","",$X248*$I248/100)</x:f>
      </x:c>
      <x:c r="Z248" s="9" t="str">
        <x:f>IF($A248="","",MAX(0,($X248-$Y248)*$K248/100))</x:f>
      </x:c>
      <x:c r="AA248" s="9" t="str">
        <x:f>IF($A248="","",MAX(0,($X248-$Y248)*$L248/100))</x:f>
      </x:c>
      <x:c r="AB248" s="9" t="str">
        <x:f>IF($A248="","",MAX(0,($X248-$Y248)*$M248/100))</x:f>
      </x:c>
      <x:c r="AC248" s="9" t="str">
        <x:f>IF($A248="","",MAX(0,($X248-$Y248)+$J248+$Z248+$N248-$AA248-$AB248-$O248))</x:f>
      </x:c>
    </x:row>
    <x:row r="249">
      <x:c r="A249" s="13"/>
      <x:c r="B249" s="14"/>
      <x:c r="C249" s="8"/>
      <x:c r="D249" s="13"/>
      <x:c r="E249" s="7"/>
      <x:c r="F249" s="13"/>
      <x:c r="G249" s="7"/>
      <x:c r="H249" s="7"/>
      <x:c r="I249" s="10"/>
      <x:c r="J249" s="9"/>
      <x:c r="K249" s="10"/>
      <x:c r="L249" s="10"/>
      <x:c r="M249" s="10"/>
      <x:c r="N249" s="9"/>
      <x:c r="O249" s="9"/>
      <x:c r="P249" s="7"/>
      <x:c r="Q249" s="9"/>
      <x:c r="R249" s="8"/>
      <x:c r="S249" s="9"/>
      <x:c r="T249" s="8"/>
      <x:c r="U249" s="13"/>
      <x:c r="V249" s="7"/>
      <x:c r="W249" s="7"/>
      <x:c r="X249" s="9" t="str">
        <x:f>IF($A249="","",SUMIF(Purchase_Items!$A$2:$A$501,$A249,Purchase_Items!$P$2:$P$501))</x:f>
      </x:c>
      <x:c r="Y249" s="9" t="str">
        <x:f>IF($A249="","",$X249*$I249/100)</x:f>
      </x:c>
      <x:c r="Z249" s="9" t="str">
        <x:f>IF($A249="","",MAX(0,($X249-$Y249)*$K249/100))</x:f>
      </x:c>
      <x:c r="AA249" s="9" t="str">
        <x:f>IF($A249="","",MAX(0,($X249-$Y249)*$L249/100))</x:f>
      </x:c>
      <x:c r="AB249" s="9" t="str">
        <x:f>IF($A249="","",MAX(0,($X249-$Y249)*$M249/100))</x:f>
      </x:c>
      <x:c r="AC249" s="9" t="str">
        <x:f>IF($A249="","",MAX(0,($X249-$Y249)+$J249+$Z249+$N249-$AA249-$AB249-$O249))</x:f>
      </x:c>
    </x:row>
    <x:row r="250">
      <x:c r="A250" s="13"/>
      <x:c r="B250" s="14"/>
      <x:c r="C250" s="8"/>
      <x:c r="D250" s="13"/>
      <x:c r="E250" s="7"/>
      <x:c r="F250" s="13"/>
      <x:c r="G250" s="7"/>
      <x:c r="H250" s="7"/>
      <x:c r="I250" s="10"/>
      <x:c r="J250" s="9"/>
      <x:c r="K250" s="10"/>
      <x:c r="L250" s="10"/>
      <x:c r="M250" s="10"/>
      <x:c r="N250" s="9"/>
      <x:c r="O250" s="9"/>
      <x:c r="P250" s="7"/>
      <x:c r="Q250" s="9"/>
      <x:c r="R250" s="8"/>
      <x:c r="S250" s="9"/>
      <x:c r="T250" s="8"/>
      <x:c r="U250" s="13"/>
      <x:c r="V250" s="7"/>
      <x:c r="W250" s="7"/>
      <x:c r="X250" s="9" t="str">
        <x:f>IF($A250="","",SUMIF(Purchase_Items!$A$2:$A$501,$A250,Purchase_Items!$P$2:$P$501))</x:f>
      </x:c>
      <x:c r="Y250" s="9" t="str">
        <x:f>IF($A250="","",$X250*$I250/100)</x:f>
      </x:c>
      <x:c r="Z250" s="9" t="str">
        <x:f>IF($A250="","",MAX(0,($X250-$Y250)*$K250/100))</x:f>
      </x:c>
      <x:c r="AA250" s="9" t="str">
        <x:f>IF($A250="","",MAX(0,($X250-$Y250)*$L250/100))</x:f>
      </x:c>
      <x:c r="AB250" s="9" t="str">
        <x:f>IF($A250="","",MAX(0,($X250-$Y250)*$M250/100))</x:f>
      </x:c>
      <x:c r="AC250" s="9" t="str">
        <x:f>IF($A250="","",MAX(0,($X250-$Y250)+$J250+$Z250+$N250-$AA250-$AB250-$O250))</x:f>
      </x:c>
    </x:row>
    <x:row r="251">
      <x:c r="A251" s="13"/>
      <x:c r="B251" s="14"/>
      <x:c r="C251" s="8"/>
      <x:c r="D251" s="13"/>
      <x:c r="E251" s="7"/>
      <x:c r="F251" s="13"/>
      <x:c r="G251" s="7"/>
      <x:c r="H251" s="7"/>
      <x:c r="I251" s="10"/>
      <x:c r="J251" s="9"/>
      <x:c r="K251" s="10"/>
      <x:c r="L251" s="10"/>
      <x:c r="M251" s="10"/>
      <x:c r="N251" s="9"/>
      <x:c r="O251" s="9"/>
      <x:c r="P251" s="7"/>
      <x:c r="Q251" s="9"/>
      <x:c r="R251" s="8"/>
      <x:c r="S251" s="9"/>
      <x:c r="T251" s="8"/>
      <x:c r="U251" s="13"/>
      <x:c r="V251" s="7"/>
      <x:c r="W251" s="7"/>
      <x:c r="X251" s="9" t="str">
        <x:f>IF($A251="","",SUMIF(Purchase_Items!$A$2:$A$501,$A251,Purchase_Items!$P$2:$P$501))</x:f>
      </x:c>
      <x:c r="Y251" s="9" t="str">
        <x:f>IF($A251="","",$X251*$I251/100)</x:f>
      </x:c>
      <x:c r="Z251" s="9" t="str">
        <x:f>IF($A251="","",MAX(0,($X251-$Y251)*$K251/100))</x:f>
      </x:c>
      <x:c r="AA251" s="9" t="str">
        <x:f>IF($A251="","",MAX(0,($X251-$Y251)*$L251/100))</x:f>
      </x:c>
      <x:c r="AB251" s="9" t="str">
        <x:f>IF($A251="","",MAX(0,($X251-$Y251)*$M251/100))</x:f>
      </x:c>
      <x:c r="AC251" s="9" t="str">
        <x:f>IF($A251="","",MAX(0,($X251-$Y251)+$J251+$Z251+$N251-$AA251-$AB251-$O251))</x:f>
      </x:c>
    </x:row>
    <x:row r="252">
      <x:c r="A252" s="13"/>
      <x:c r="B252" s="14"/>
      <x:c r="C252" s="8"/>
      <x:c r="D252" s="13"/>
      <x:c r="E252" s="7"/>
      <x:c r="F252" s="13"/>
      <x:c r="G252" s="7"/>
      <x:c r="H252" s="7"/>
      <x:c r="I252" s="10"/>
      <x:c r="J252" s="9"/>
      <x:c r="K252" s="10"/>
      <x:c r="L252" s="10"/>
      <x:c r="M252" s="10"/>
      <x:c r="N252" s="9"/>
      <x:c r="O252" s="9"/>
      <x:c r="P252" s="7"/>
      <x:c r="Q252" s="9"/>
      <x:c r="R252" s="8"/>
      <x:c r="S252" s="9"/>
      <x:c r="T252" s="8"/>
      <x:c r="U252" s="13"/>
      <x:c r="V252" s="7"/>
      <x:c r="W252" s="7"/>
      <x:c r="X252" s="9" t="str">
        <x:f>IF($A252="","",SUMIF(Purchase_Items!$A$2:$A$501,$A252,Purchase_Items!$P$2:$P$501))</x:f>
      </x:c>
      <x:c r="Y252" s="9" t="str">
        <x:f>IF($A252="","",$X252*$I252/100)</x:f>
      </x:c>
      <x:c r="Z252" s="9" t="str">
        <x:f>IF($A252="","",MAX(0,($X252-$Y252)*$K252/100))</x:f>
      </x:c>
      <x:c r="AA252" s="9" t="str">
        <x:f>IF($A252="","",MAX(0,($X252-$Y252)*$L252/100))</x:f>
      </x:c>
      <x:c r="AB252" s="9" t="str">
        <x:f>IF($A252="","",MAX(0,($X252-$Y252)*$M252/100))</x:f>
      </x:c>
      <x:c r="AC252" s="9" t="str">
        <x:f>IF($A252="","",MAX(0,($X252-$Y252)+$J252+$Z252+$N252-$AA252-$AB252-$O252))</x:f>
      </x:c>
    </x:row>
    <x:row r="253">
      <x:c r="A253" s="13"/>
      <x:c r="B253" s="14"/>
      <x:c r="C253" s="8"/>
      <x:c r="D253" s="13"/>
      <x:c r="E253" s="7"/>
      <x:c r="F253" s="13"/>
      <x:c r="G253" s="7"/>
      <x:c r="H253" s="7"/>
      <x:c r="I253" s="10"/>
      <x:c r="J253" s="9"/>
      <x:c r="K253" s="10"/>
      <x:c r="L253" s="10"/>
      <x:c r="M253" s="10"/>
      <x:c r="N253" s="9"/>
      <x:c r="O253" s="9"/>
      <x:c r="P253" s="7"/>
      <x:c r="Q253" s="9"/>
      <x:c r="R253" s="8"/>
      <x:c r="S253" s="9"/>
      <x:c r="T253" s="8"/>
      <x:c r="U253" s="13"/>
      <x:c r="V253" s="7"/>
      <x:c r="W253" s="7"/>
      <x:c r="X253" s="9" t="str">
        <x:f>IF($A253="","",SUMIF(Purchase_Items!$A$2:$A$501,$A253,Purchase_Items!$P$2:$P$501))</x:f>
      </x:c>
      <x:c r="Y253" s="9" t="str">
        <x:f>IF($A253="","",$X253*$I253/100)</x:f>
      </x:c>
      <x:c r="Z253" s="9" t="str">
        <x:f>IF($A253="","",MAX(0,($X253-$Y253)*$K253/100))</x:f>
      </x:c>
      <x:c r="AA253" s="9" t="str">
        <x:f>IF($A253="","",MAX(0,($X253-$Y253)*$L253/100))</x:f>
      </x:c>
      <x:c r="AB253" s="9" t="str">
        <x:f>IF($A253="","",MAX(0,($X253-$Y253)*$M253/100))</x:f>
      </x:c>
      <x:c r="AC253" s="9" t="str">
        <x:f>IF($A253="","",MAX(0,($X253-$Y253)+$J253+$Z253+$N253-$AA253-$AB253-$O253))</x:f>
      </x:c>
    </x:row>
    <x:row r="254">
      <x:c r="A254" s="13"/>
      <x:c r="B254" s="14"/>
      <x:c r="C254" s="8"/>
      <x:c r="D254" s="13"/>
      <x:c r="E254" s="7"/>
      <x:c r="F254" s="13"/>
      <x:c r="G254" s="7"/>
      <x:c r="H254" s="7"/>
      <x:c r="I254" s="10"/>
      <x:c r="J254" s="9"/>
      <x:c r="K254" s="10"/>
      <x:c r="L254" s="10"/>
      <x:c r="M254" s="10"/>
      <x:c r="N254" s="9"/>
      <x:c r="O254" s="9"/>
      <x:c r="P254" s="7"/>
      <x:c r="Q254" s="9"/>
      <x:c r="R254" s="8"/>
      <x:c r="S254" s="9"/>
      <x:c r="T254" s="8"/>
      <x:c r="U254" s="13"/>
      <x:c r="V254" s="7"/>
      <x:c r="W254" s="7"/>
      <x:c r="X254" s="9" t="str">
        <x:f>IF($A254="","",SUMIF(Purchase_Items!$A$2:$A$501,$A254,Purchase_Items!$P$2:$P$501))</x:f>
      </x:c>
      <x:c r="Y254" s="9" t="str">
        <x:f>IF($A254="","",$X254*$I254/100)</x:f>
      </x:c>
      <x:c r="Z254" s="9" t="str">
        <x:f>IF($A254="","",MAX(0,($X254-$Y254)*$K254/100))</x:f>
      </x:c>
      <x:c r="AA254" s="9" t="str">
        <x:f>IF($A254="","",MAX(0,($X254-$Y254)*$L254/100))</x:f>
      </x:c>
      <x:c r="AB254" s="9" t="str">
        <x:f>IF($A254="","",MAX(0,($X254-$Y254)*$M254/100))</x:f>
      </x:c>
      <x:c r="AC254" s="9" t="str">
        <x:f>IF($A254="","",MAX(0,($X254-$Y254)+$J254+$Z254+$N254-$AA254-$AB254-$O254))</x:f>
      </x:c>
    </x:row>
    <x:row r="255">
      <x:c r="A255" s="13"/>
      <x:c r="B255" s="14"/>
      <x:c r="C255" s="8"/>
      <x:c r="D255" s="13"/>
      <x:c r="E255" s="7"/>
      <x:c r="F255" s="13"/>
      <x:c r="G255" s="7"/>
      <x:c r="H255" s="7"/>
      <x:c r="I255" s="10"/>
      <x:c r="J255" s="9"/>
      <x:c r="K255" s="10"/>
      <x:c r="L255" s="10"/>
      <x:c r="M255" s="10"/>
      <x:c r="N255" s="9"/>
      <x:c r="O255" s="9"/>
      <x:c r="P255" s="7"/>
      <x:c r="Q255" s="9"/>
      <x:c r="R255" s="8"/>
      <x:c r="S255" s="9"/>
      <x:c r="T255" s="8"/>
      <x:c r="U255" s="13"/>
      <x:c r="V255" s="7"/>
      <x:c r="W255" s="7"/>
      <x:c r="X255" s="9" t="str">
        <x:f>IF($A255="","",SUMIF(Purchase_Items!$A$2:$A$501,$A255,Purchase_Items!$P$2:$P$501))</x:f>
      </x:c>
      <x:c r="Y255" s="9" t="str">
        <x:f>IF($A255="","",$X255*$I255/100)</x:f>
      </x:c>
      <x:c r="Z255" s="9" t="str">
        <x:f>IF($A255="","",MAX(0,($X255-$Y255)*$K255/100))</x:f>
      </x:c>
      <x:c r="AA255" s="9" t="str">
        <x:f>IF($A255="","",MAX(0,($X255-$Y255)*$L255/100))</x:f>
      </x:c>
      <x:c r="AB255" s="9" t="str">
        <x:f>IF($A255="","",MAX(0,($X255-$Y255)*$M255/100))</x:f>
      </x:c>
      <x:c r="AC255" s="9" t="str">
        <x:f>IF($A255="","",MAX(0,($X255-$Y255)+$J255+$Z255+$N255-$AA255-$AB255-$O255))</x:f>
      </x:c>
    </x:row>
    <x:row r="256">
      <x:c r="A256" s="13"/>
      <x:c r="B256" s="14"/>
      <x:c r="C256" s="8"/>
      <x:c r="D256" s="13"/>
      <x:c r="E256" s="7"/>
      <x:c r="F256" s="13"/>
      <x:c r="G256" s="7"/>
      <x:c r="H256" s="7"/>
      <x:c r="I256" s="10"/>
      <x:c r="J256" s="9"/>
      <x:c r="K256" s="10"/>
      <x:c r="L256" s="10"/>
      <x:c r="M256" s="10"/>
      <x:c r="N256" s="9"/>
      <x:c r="O256" s="9"/>
      <x:c r="P256" s="7"/>
      <x:c r="Q256" s="9"/>
      <x:c r="R256" s="8"/>
      <x:c r="S256" s="9"/>
      <x:c r="T256" s="8"/>
      <x:c r="U256" s="13"/>
      <x:c r="V256" s="7"/>
      <x:c r="W256" s="7"/>
      <x:c r="X256" s="9" t="str">
        <x:f>IF($A256="","",SUMIF(Purchase_Items!$A$2:$A$501,$A256,Purchase_Items!$P$2:$P$501))</x:f>
      </x:c>
      <x:c r="Y256" s="9" t="str">
        <x:f>IF($A256="","",$X256*$I256/100)</x:f>
      </x:c>
      <x:c r="Z256" s="9" t="str">
        <x:f>IF($A256="","",MAX(0,($X256-$Y256)*$K256/100))</x:f>
      </x:c>
      <x:c r="AA256" s="9" t="str">
        <x:f>IF($A256="","",MAX(0,($X256-$Y256)*$L256/100))</x:f>
      </x:c>
      <x:c r="AB256" s="9" t="str">
        <x:f>IF($A256="","",MAX(0,($X256-$Y256)*$M256/100))</x:f>
      </x:c>
      <x:c r="AC256" s="9" t="str">
        <x:f>IF($A256="","",MAX(0,($X256-$Y256)+$J256+$Z256+$N256-$AA256-$AB256-$O256))</x:f>
      </x:c>
    </x:row>
    <x:row r="257">
      <x:c r="A257" s="13"/>
      <x:c r="B257" s="14"/>
      <x:c r="C257" s="8"/>
      <x:c r="D257" s="13"/>
      <x:c r="E257" s="7"/>
      <x:c r="F257" s="13"/>
      <x:c r="G257" s="7"/>
      <x:c r="H257" s="7"/>
      <x:c r="I257" s="10"/>
      <x:c r="J257" s="9"/>
      <x:c r="K257" s="10"/>
      <x:c r="L257" s="10"/>
      <x:c r="M257" s="10"/>
      <x:c r="N257" s="9"/>
      <x:c r="O257" s="9"/>
      <x:c r="P257" s="7"/>
      <x:c r="Q257" s="9"/>
      <x:c r="R257" s="8"/>
      <x:c r="S257" s="9"/>
      <x:c r="T257" s="8"/>
      <x:c r="U257" s="13"/>
      <x:c r="V257" s="7"/>
      <x:c r="W257" s="7"/>
      <x:c r="X257" s="9" t="str">
        <x:f>IF($A257="","",SUMIF(Purchase_Items!$A$2:$A$501,$A257,Purchase_Items!$P$2:$P$501))</x:f>
      </x:c>
      <x:c r="Y257" s="9" t="str">
        <x:f>IF($A257="","",$X257*$I257/100)</x:f>
      </x:c>
      <x:c r="Z257" s="9" t="str">
        <x:f>IF($A257="","",MAX(0,($X257-$Y257)*$K257/100))</x:f>
      </x:c>
      <x:c r="AA257" s="9" t="str">
        <x:f>IF($A257="","",MAX(0,($X257-$Y257)*$L257/100))</x:f>
      </x:c>
      <x:c r="AB257" s="9" t="str">
        <x:f>IF($A257="","",MAX(0,($X257-$Y257)*$M257/100))</x:f>
      </x:c>
      <x:c r="AC257" s="9" t="str">
        <x:f>IF($A257="","",MAX(0,($X257-$Y257)+$J257+$Z257+$N257-$AA257-$AB257-$O257))</x:f>
      </x:c>
    </x:row>
    <x:row r="258">
      <x:c r="A258" s="13"/>
      <x:c r="B258" s="14"/>
      <x:c r="C258" s="8"/>
      <x:c r="D258" s="13"/>
      <x:c r="E258" s="7"/>
      <x:c r="F258" s="13"/>
      <x:c r="G258" s="7"/>
      <x:c r="H258" s="7"/>
      <x:c r="I258" s="10"/>
      <x:c r="J258" s="9"/>
      <x:c r="K258" s="10"/>
      <x:c r="L258" s="10"/>
      <x:c r="M258" s="10"/>
      <x:c r="N258" s="9"/>
      <x:c r="O258" s="9"/>
      <x:c r="P258" s="7"/>
      <x:c r="Q258" s="9"/>
      <x:c r="R258" s="8"/>
      <x:c r="S258" s="9"/>
      <x:c r="T258" s="8"/>
      <x:c r="U258" s="13"/>
      <x:c r="V258" s="7"/>
      <x:c r="W258" s="7"/>
      <x:c r="X258" s="9" t="str">
        <x:f>IF($A258="","",SUMIF(Purchase_Items!$A$2:$A$501,$A258,Purchase_Items!$P$2:$P$501))</x:f>
      </x:c>
      <x:c r="Y258" s="9" t="str">
        <x:f>IF($A258="","",$X258*$I258/100)</x:f>
      </x:c>
      <x:c r="Z258" s="9" t="str">
        <x:f>IF($A258="","",MAX(0,($X258-$Y258)*$K258/100))</x:f>
      </x:c>
      <x:c r="AA258" s="9" t="str">
        <x:f>IF($A258="","",MAX(0,($X258-$Y258)*$L258/100))</x:f>
      </x:c>
      <x:c r="AB258" s="9" t="str">
        <x:f>IF($A258="","",MAX(0,($X258-$Y258)*$M258/100))</x:f>
      </x:c>
      <x:c r="AC258" s="9" t="str">
        <x:f>IF($A258="","",MAX(0,($X258-$Y258)+$J258+$Z258+$N258-$AA258-$AB258-$O258))</x:f>
      </x:c>
    </x:row>
    <x:row r="259">
      <x:c r="A259" s="13"/>
      <x:c r="B259" s="14"/>
      <x:c r="C259" s="8"/>
      <x:c r="D259" s="13"/>
      <x:c r="E259" s="7"/>
      <x:c r="F259" s="13"/>
      <x:c r="G259" s="7"/>
      <x:c r="H259" s="7"/>
      <x:c r="I259" s="10"/>
      <x:c r="J259" s="9"/>
      <x:c r="K259" s="10"/>
      <x:c r="L259" s="10"/>
      <x:c r="M259" s="10"/>
      <x:c r="N259" s="9"/>
      <x:c r="O259" s="9"/>
      <x:c r="P259" s="7"/>
      <x:c r="Q259" s="9"/>
      <x:c r="R259" s="8"/>
      <x:c r="S259" s="9"/>
      <x:c r="T259" s="8"/>
      <x:c r="U259" s="13"/>
      <x:c r="V259" s="7"/>
      <x:c r="W259" s="7"/>
      <x:c r="X259" s="9" t="str">
        <x:f>IF($A259="","",SUMIF(Purchase_Items!$A$2:$A$501,$A259,Purchase_Items!$P$2:$P$501))</x:f>
      </x:c>
      <x:c r="Y259" s="9" t="str">
        <x:f>IF($A259="","",$X259*$I259/100)</x:f>
      </x:c>
      <x:c r="Z259" s="9" t="str">
        <x:f>IF($A259="","",MAX(0,($X259-$Y259)*$K259/100))</x:f>
      </x:c>
      <x:c r="AA259" s="9" t="str">
        <x:f>IF($A259="","",MAX(0,($X259-$Y259)*$L259/100))</x:f>
      </x:c>
      <x:c r="AB259" s="9" t="str">
        <x:f>IF($A259="","",MAX(0,($X259-$Y259)*$M259/100))</x:f>
      </x:c>
      <x:c r="AC259" s="9" t="str">
        <x:f>IF($A259="","",MAX(0,($X259-$Y259)+$J259+$Z259+$N259-$AA259-$AB259-$O259))</x:f>
      </x:c>
    </x:row>
    <x:row r="260">
      <x:c r="A260" s="13"/>
      <x:c r="B260" s="14"/>
      <x:c r="C260" s="8"/>
      <x:c r="D260" s="13"/>
      <x:c r="E260" s="7"/>
      <x:c r="F260" s="13"/>
      <x:c r="G260" s="7"/>
      <x:c r="H260" s="7"/>
      <x:c r="I260" s="10"/>
      <x:c r="J260" s="9"/>
      <x:c r="K260" s="10"/>
      <x:c r="L260" s="10"/>
      <x:c r="M260" s="10"/>
      <x:c r="N260" s="9"/>
      <x:c r="O260" s="9"/>
      <x:c r="P260" s="7"/>
      <x:c r="Q260" s="9"/>
      <x:c r="R260" s="8"/>
      <x:c r="S260" s="9"/>
      <x:c r="T260" s="8"/>
      <x:c r="U260" s="13"/>
      <x:c r="V260" s="7"/>
      <x:c r="W260" s="7"/>
      <x:c r="X260" s="9" t="str">
        <x:f>IF($A260="","",SUMIF(Purchase_Items!$A$2:$A$501,$A260,Purchase_Items!$P$2:$P$501))</x:f>
      </x:c>
      <x:c r="Y260" s="9" t="str">
        <x:f>IF($A260="","",$X260*$I260/100)</x:f>
      </x:c>
      <x:c r="Z260" s="9" t="str">
        <x:f>IF($A260="","",MAX(0,($X260-$Y260)*$K260/100))</x:f>
      </x:c>
      <x:c r="AA260" s="9" t="str">
        <x:f>IF($A260="","",MAX(0,($X260-$Y260)*$L260/100))</x:f>
      </x:c>
      <x:c r="AB260" s="9" t="str">
        <x:f>IF($A260="","",MAX(0,($X260-$Y260)*$M260/100))</x:f>
      </x:c>
      <x:c r="AC260" s="9" t="str">
        <x:f>IF($A260="","",MAX(0,($X260-$Y260)+$J260+$Z260+$N260-$AA260-$AB260-$O260))</x:f>
      </x:c>
    </x:row>
    <x:row r="261">
      <x:c r="A261" s="13"/>
      <x:c r="B261" s="14"/>
      <x:c r="C261" s="8"/>
      <x:c r="D261" s="13"/>
      <x:c r="E261" s="7"/>
      <x:c r="F261" s="13"/>
      <x:c r="G261" s="7"/>
      <x:c r="H261" s="7"/>
      <x:c r="I261" s="10"/>
      <x:c r="J261" s="9"/>
      <x:c r="K261" s="10"/>
      <x:c r="L261" s="10"/>
      <x:c r="M261" s="10"/>
      <x:c r="N261" s="9"/>
      <x:c r="O261" s="9"/>
      <x:c r="P261" s="7"/>
      <x:c r="Q261" s="9"/>
      <x:c r="R261" s="8"/>
      <x:c r="S261" s="9"/>
      <x:c r="T261" s="8"/>
      <x:c r="U261" s="13"/>
      <x:c r="V261" s="7"/>
      <x:c r="W261" s="7"/>
      <x:c r="X261" s="9" t="str">
        <x:f>IF($A261="","",SUMIF(Purchase_Items!$A$2:$A$501,$A261,Purchase_Items!$P$2:$P$501))</x:f>
      </x:c>
      <x:c r="Y261" s="9" t="str">
        <x:f>IF($A261="","",$X261*$I261/100)</x:f>
      </x:c>
      <x:c r="Z261" s="9" t="str">
        <x:f>IF($A261="","",MAX(0,($X261-$Y261)*$K261/100))</x:f>
      </x:c>
      <x:c r="AA261" s="9" t="str">
        <x:f>IF($A261="","",MAX(0,($X261-$Y261)*$L261/100))</x:f>
      </x:c>
      <x:c r="AB261" s="9" t="str">
        <x:f>IF($A261="","",MAX(0,($X261-$Y261)*$M261/100))</x:f>
      </x:c>
      <x:c r="AC261" s="9" t="str">
        <x:f>IF($A261="","",MAX(0,($X261-$Y261)+$J261+$Z261+$N261-$AA261-$AB261-$O261))</x:f>
      </x:c>
    </x:row>
    <x:row r="262">
      <x:c r="A262" s="13"/>
      <x:c r="B262" s="14"/>
      <x:c r="C262" s="8"/>
      <x:c r="D262" s="13"/>
      <x:c r="E262" s="7"/>
      <x:c r="F262" s="13"/>
      <x:c r="G262" s="7"/>
      <x:c r="H262" s="7"/>
      <x:c r="I262" s="10"/>
      <x:c r="J262" s="9"/>
      <x:c r="K262" s="10"/>
      <x:c r="L262" s="10"/>
      <x:c r="M262" s="10"/>
      <x:c r="N262" s="9"/>
      <x:c r="O262" s="9"/>
      <x:c r="P262" s="7"/>
      <x:c r="Q262" s="9"/>
      <x:c r="R262" s="8"/>
      <x:c r="S262" s="9"/>
      <x:c r="T262" s="8"/>
      <x:c r="U262" s="13"/>
      <x:c r="V262" s="7"/>
      <x:c r="W262" s="7"/>
      <x:c r="X262" s="9" t="str">
        <x:f>IF($A262="","",SUMIF(Purchase_Items!$A$2:$A$501,$A262,Purchase_Items!$P$2:$P$501))</x:f>
      </x:c>
      <x:c r="Y262" s="9" t="str">
        <x:f>IF($A262="","",$X262*$I262/100)</x:f>
      </x:c>
      <x:c r="Z262" s="9" t="str">
        <x:f>IF($A262="","",MAX(0,($X262-$Y262)*$K262/100))</x:f>
      </x:c>
      <x:c r="AA262" s="9" t="str">
        <x:f>IF($A262="","",MAX(0,($X262-$Y262)*$L262/100))</x:f>
      </x:c>
      <x:c r="AB262" s="9" t="str">
        <x:f>IF($A262="","",MAX(0,($X262-$Y262)*$M262/100))</x:f>
      </x:c>
      <x:c r="AC262" s="9" t="str">
        <x:f>IF($A262="","",MAX(0,($X262-$Y262)+$J262+$Z262+$N262-$AA262-$AB262-$O262))</x:f>
      </x:c>
    </x:row>
    <x:row r="263">
      <x:c r="A263" s="13"/>
      <x:c r="B263" s="14"/>
      <x:c r="C263" s="8"/>
      <x:c r="D263" s="13"/>
      <x:c r="E263" s="7"/>
      <x:c r="F263" s="13"/>
      <x:c r="G263" s="7"/>
      <x:c r="H263" s="7"/>
      <x:c r="I263" s="10"/>
      <x:c r="J263" s="9"/>
      <x:c r="K263" s="10"/>
      <x:c r="L263" s="10"/>
      <x:c r="M263" s="10"/>
      <x:c r="N263" s="9"/>
      <x:c r="O263" s="9"/>
      <x:c r="P263" s="7"/>
      <x:c r="Q263" s="9"/>
      <x:c r="R263" s="8"/>
      <x:c r="S263" s="9"/>
      <x:c r="T263" s="8"/>
      <x:c r="U263" s="13"/>
      <x:c r="V263" s="7"/>
      <x:c r="W263" s="7"/>
      <x:c r="X263" s="9" t="str">
        <x:f>IF($A263="","",SUMIF(Purchase_Items!$A$2:$A$501,$A263,Purchase_Items!$P$2:$P$501))</x:f>
      </x:c>
      <x:c r="Y263" s="9" t="str">
        <x:f>IF($A263="","",$X263*$I263/100)</x:f>
      </x:c>
      <x:c r="Z263" s="9" t="str">
        <x:f>IF($A263="","",MAX(0,($X263-$Y263)*$K263/100))</x:f>
      </x:c>
      <x:c r="AA263" s="9" t="str">
        <x:f>IF($A263="","",MAX(0,($X263-$Y263)*$L263/100))</x:f>
      </x:c>
      <x:c r="AB263" s="9" t="str">
        <x:f>IF($A263="","",MAX(0,($X263-$Y263)*$M263/100))</x:f>
      </x:c>
      <x:c r="AC263" s="9" t="str">
        <x:f>IF($A263="","",MAX(0,($X263-$Y263)+$J263+$Z263+$N263-$AA263-$AB263-$O263))</x:f>
      </x:c>
    </x:row>
    <x:row r="264">
      <x:c r="A264" s="13"/>
      <x:c r="B264" s="14"/>
      <x:c r="C264" s="8"/>
      <x:c r="D264" s="13"/>
      <x:c r="E264" s="7"/>
      <x:c r="F264" s="13"/>
      <x:c r="G264" s="7"/>
      <x:c r="H264" s="7"/>
      <x:c r="I264" s="10"/>
      <x:c r="J264" s="9"/>
      <x:c r="K264" s="10"/>
      <x:c r="L264" s="10"/>
      <x:c r="M264" s="10"/>
      <x:c r="N264" s="9"/>
      <x:c r="O264" s="9"/>
      <x:c r="P264" s="7"/>
      <x:c r="Q264" s="9"/>
      <x:c r="R264" s="8"/>
      <x:c r="S264" s="9"/>
      <x:c r="T264" s="8"/>
      <x:c r="U264" s="13"/>
      <x:c r="V264" s="7"/>
      <x:c r="W264" s="7"/>
      <x:c r="X264" s="9" t="str">
        <x:f>IF($A264="","",SUMIF(Purchase_Items!$A$2:$A$501,$A264,Purchase_Items!$P$2:$P$501))</x:f>
      </x:c>
      <x:c r="Y264" s="9" t="str">
        <x:f>IF($A264="","",$X264*$I264/100)</x:f>
      </x:c>
      <x:c r="Z264" s="9" t="str">
        <x:f>IF($A264="","",MAX(0,($X264-$Y264)*$K264/100))</x:f>
      </x:c>
      <x:c r="AA264" s="9" t="str">
        <x:f>IF($A264="","",MAX(0,($X264-$Y264)*$L264/100))</x:f>
      </x:c>
      <x:c r="AB264" s="9" t="str">
        <x:f>IF($A264="","",MAX(0,($X264-$Y264)*$M264/100))</x:f>
      </x:c>
      <x:c r="AC264" s="9" t="str">
        <x:f>IF($A264="","",MAX(0,($X264-$Y264)+$J264+$Z264+$N264-$AA264-$AB264-$O264))</x:f>
      </x:c>
    </x:row>
    <x:row r="265">
      <x:c r="A265" s="13"/>
      <x:c r="B265" s="14"/>
      <x:c r="C265" s="8"/>
      <x:c r="D265" s="13"/>
      <x:c r="E265" s="7"/>
      <x:c r="F265" s="13"/>
      <x:c r="G265" s="7"/>
      <x:c r="H265" s="7"/>
      <x:c r="I265" s="10"/>
      <x:c r="J265" s="9"/>
      <x:c r="K265" s="10"/>
      <x:c r="L265" s="10"/>
      <x:c r="M265" s="10"/>
      <x:c r="N265" s="9"/>
      <x:c r="O265" s="9"/>
      <x:c r="P265" s="7"/>
      <x:c r="Q265" s="9"/>
      <x:c r="R265" s="8"/>
      <x:c r="S265" s="9"/>
      <x:c r="T265" s="8"/>
      <x:c r="U265" s="13"/>
      <x:c r="V265" s="7"/>
      <x:c r="W265" s="7"/>
      <x:c r="X265" s="9" t="str">
        <x:f>IF($A265="","",SUMIF(Purchase_Items!$A$2:$A$501,$A265,Purchase_Items!$P$2:$P$501))</x:f>
      </x:c>
      <x:c r="Y265" s="9" t="str">
        <x:f>IF($A265="","",$X265*$I265/100)</x:f>
      </x:c>
      <x:c r="Z265" s="9" t="str">
        <x:f>IF($A265="","",MAX(0,($X265-$Y265)*$K265/100))</x:f>
      </x:c>
      <x:c r="AA265" s="9" t="str">
        <x:f>IF($A265="","",MAX(0,($X265-$Y265)*$L265/100))</x:f>
      </x:c>
      <x:c r="AB265" s="9" t="str">
        <x:f>IF($A265="","",MAX(0,($X265-$Y265)*$M265/100))</x:f>
      </x:c>
      <x:c r="AC265" s="9" t="str">
        <x:f>IF($A265="","",MAX(0,($X265-$Y265)+$J265+$Z265+$N265-$AA265-$AB265-$O265))</x:f>
      </x:c>
    </x:row>
    <x:row r="266">
      <x:c r="A266" s="13"/>
      <x:c r="B266" s="14"/>
      <x:c r="C266" s="8"/>
      <x:c r="D266" s="13"/>
      <x:c r="E266" s="7"/>
      <x:c r="F266" s="13"/>
      <x:c r="G266" s="7"/>
      <x:c r="H266" s="7"/>
      <x:c r="I266" s="10"/>
      <x:c r="J266" s="9"/>
      <x:c r="K266" s="10"/>
      <x:c r="L266" s="10"/>
      <x:c r="M266" s="10"/>
      <x:c r="N266" s="9"/>
      <x:c r="O266" s="9"/>
      <x:c r="P266" s="7"/>
      <x:c r="Q266" s="9"/>
      <x:c r="R266" s="8"/>
      <x:c r="S266" s="9"/>
      <x:c r="T266" s="8"/>
      <x:c r="U266" s="13"/>
      <x:c r="V266" s="7"/>
      <x:c r="W266" s="7"/>
      <x:c r="X266" s="9" t="str">
        <x:f>IF($A266="","",SUMIF(Purchase_Items!$A$2:$A$501,$A266,Purchase_Items!$P$2:$P$501))</x:f>
      </x:c>
      <x:c r="Y266" s="9" t="str">
        <x:f>IF($A266="","",$X266*$I266/100)</x:f>
      </x:c>
      <x:c r="Z266" s="9" t="str">
        <x:f>IF($A266="","",MAX(0,($X266-$Y266)*$K266/100))</x:f>
      </x:c>
      <x:c r="AA266" s="9" t="str">
        <x:f>IF($A266="","",MAX(0,($X266-$Y266)*$L266/100))</x:f>
      </x:c>
      <x:c r="AB266" s="9" t="str">
        <x:f>IF($A266="","",MAX(0,($X266-$Y266)*$M266/100))</x:f>
      </x:c>
      <x:c r="AC266" s="9" t="str">
        <x:f>IF($A266="","",MAX(0,($X266-$Y266)+$J266+$Z266+$N266-$AA266-$AB266-$O266))</x:f>
      </x:c>
    </x:row>
    <x:row r="267">
      <x:c r="A267" s="13"/>
      <x:c r="B267" s="14"/>
      <x:c r="C267" s="8"/>
      <x:c r="D267" s="13"/>
      <x:c r="E267" s="7"/>
      <x:c r="F267" s="13"/>
      <x:c r="G267" s="7"/>
      <x:c r="H267" s="7"/>
      <x:c r="I267" s="10"/>
      <x:c r="J267" s="9"/>
      <x:c r="K267" s="10"/>
      <x:c r="L267" s="10"/>
      <x:c r="M267" s="10"/>
      <x:c r="N267" s="9"/>
      <x:c r="O267" s="9"/>
      <x:c r="P267" s="7"/>
      <x:c r="Q267" s="9"/>
      <x:c r="R267" s="8"/>
      <x:c r="S267" s="9"/>
      <x:c r="T267" s="8"/>
      <x:c r="U267" s="13"/>
      <x:c r="V267" s="7"/>
      <x:c r="W267" s="7"/>
      <x:c r="X267" s="9" t="str">
        <x:f>IF($A267="","",SUMIF(Purchase_Items!$A$2:$A$501,$A267,Purchase_Items!$P$2:$P$501))</x:f>
      </x:c>
      <x:c r="Y267" s="9" t="str">
        <x:f>IF($A267="","",$X267*$I267/100)</x:f>
      </x:c>
      <x:c r="Z267" s="9" t="str">
        <x:f>IF($A267="","",MAX(0,($X267-$Y267)*$K267/100))</x:f>
      </x:c>
      <x:c r="AA267" s="9" t="str">
        <x:f>IF($A267="","",MAX(0,($X267-$Y267)*$L267/100))</x:f>
      </x:c>
      <x:c r="AB267" s="9" t="str">
        <x:f>IF($A267="","",MAX(0,($X267-$Y267)*$M267/100))</x:f>
      </x:c>
      <x:c r="AC267" s="9" t="str">
        <x:f>IF($A267="","",MAX(0,($X267-$Y267)+$J267+$Z267+$N267-$AA267-$AB267-$O267))</x:f>
      </x:c>
    </x:row>
    <x:row r="268">
      <x:c r="A268" s="13"/>
      <x:c r="B268" s="14"/>
      <x:c r="C268" s="8"/>
      <x:c r="D268" s="13"/>
      <x:c r="E268" s="7"/>
      <x:c r="F268" s="13"/>
      <x:c r="G268" s="7"/>
      <x:c r="H268" s="7"/>
      <x:c r="I268" s="10"/>
      <x:c r="J268" s="9"/>
      <x:c r="K268" s="10"/>
      <x:c r="L268" s="10"/>
      <x:c r="M268" s="10"/>
      <x:c r="N268" s="9"/>
      <x:c r="O268" s="9"/>
      <x:c r="P268" s="7"/>
      <x:c r="Q268" s="9"/>
      <x:c r="R268" s="8"/>
      <x:c r="S268" s="9"/>
      <x:c r="T268" s="8"/>
      <x:c r="U268" s="13"/>
      <x:c r="V268" s="7"/>
      <x:c r="W268" s="7"/>
      <x:c r="X268" s="9" t="str">
        <x:f>IF($A268="","",SUMIF(Purchase_Items!$A$2:$A$501,$A268,Purchase_Items!$P$2:$P$501))</x:f>
      </x:c>
      <x:c r="Y268" s="9" t="str">
        <x:f>IF($A268="","",$X268*$I268/100)</x:f>
      </x:c>
      <x:c r="Z268" s="9" t="str">
        <x:f>IF($A268="","",MAX(0,($X268-$Y268)*$K268/100))</x:f>
      </x:c>
      <x:c r="AA268" s="9" t="str">
        <x:f>IF($A268="","",MAX(0,($X268-$Y268)*$L268/100))</x:f>
      </x:c>
      <x:c r="AB268" s="9" t="str">
        <x:f>IF($A268="","",MAX(0,($X268-$Y268)*$M268/100))</x:f>
      </x:c>
      <x:c r="AC268" s="9" t="str">
        <x:f>IF($A268="","",MAX(0,($X268-$Y268)+$J268+$Z268+$N268-$AA268-$AB268-$O268))</x:f>
      </x:c>
    </x:row>
    <x:row r="269">
      <x:c r="A269" s="13"/>
      <x:c r="B269" s="14"/>
      <x:c r="C269" s="8"/>
      <x:c r="D269" s="13"/>
      <x:c r="E269" s="7"/>
      <x:c r="F269" s="13"/>
      <x:c r="G269" s="7"/>
      <x:c r="H269" s="7"/>
      <x:c r="I269" s="10"/>
      <x:c r="J269" s="9"/>
      <x:c r="K269" s="10"/>
      <x:c r="L269" s="10"/>
      <x:c r="M269" s="10"/>
      <x:c r="N269" s="9"/>
      <x:c r="O269" s="9"/>
      <x:c r="P269" s="7"/>
      <x:c r="Q269" s="9"/>
      <x:c r="R269" s="8"/>
      <x:c r="S269" s="9"/>
      <x:c r="T269" s="8"/>
      <x:c r="U269" s="13"/>
      <x:c r="V269" s="7"/>
      <x:c r="W269" s="7"/>
      <x:c r="X269" s="9" t="str">
        <x:f>IF($A269="","",SUMIF(Purchase_Items!$A$2:$A$501,$A269,Purchase_Items!$P$2:$P$501))</x:f>
      </x:c>
      <x:c r="Y269" s="9" t="str">
        <x:f>IF($A269="","",$X269*$I269/100)</x:f>
      </x:c>
      <x:c r="Z269" s="9" t="str">
        <x:f>IF($A269="","",MAX(0,($X269-$Y269)*$K269/100))</x:f>
      </x:c>
      <x:c r="AA269" s="9" t="str">
        <x:f>IF($A269="","",MAX(0,($X269-$Y269)*$L269/100))</x:f>
      </x:c>
      <x:c r="AB269" s="9" t="str">
        <x:f>IF($A269="","",MAX(0,($X269-$Y269)*$M269/100))</x:f>
      </x:c>
      <x:c r="AC269" s="9" t="str">
        <x:f>IF($A269="","",MAX(0,($X269-$Y269)+$J269+$Z269+$N269-$AA269-$AB269-$O269))</x:f>
      </x:c>
    </x:row>
    <x:row r="270">
      <x:c r="A270" s="13"/>
      <x:c r="B270" s="14"/>
      <x:c r="C270" s="8"/>
      <x:c r="D270" s="13"/>
      <x:c r="E270" s="7"/>
      <x:c r="F270" s="13"/>
      <x:c r="G270" s="7"/>
      <x:c r="H270" s="7"/>
      <x:c r="I270" s="10"/>
      <x:c r="J270" s="9"/>
      <x:c r="K270" s="10"/>
      <x:c r="L270" s="10"/>
      <x:c r="M270" s="10"/>
      <x:c r="N270" s="9"/>
      <x:c r="O270" s="9"/>
      <x:c r="P270" s="7"/>
      <x:c r="Q270" s="9"/>
      <x:c r="R270" s="8"/>
      <x:c r="S270" s="9"/>
      <x:c r="T270" s="8"/>
      <x:c r="U270" s="13"/>
      <x:c r="V270" s="7"/>
      <x:c r="W270" s="7"/>
      <x:c r="X270" s="9" t="str">
        <x:f>IF($A270="","",SUMIF(Purchase_Items!$A$2:$A$501,$A270,Purchase_Items!$P$2:$P$501))</x:f>
      </x:c>
      <x:c r="Y270" s="9" t="str">
        <x:f>IF($A270="","",$X270*$I270/100)</x:f>
      </x:c>
      <x:c r="Z270" s="9" t="str">
        <x:f>IF($A270="","",MAX(0,($X270-$Y270)*$K270/100))</x:f>
      </x:c>
      <x:c r="AA270" s="9" t="str">
        <x:f>IF($A270="","",MAX(0,($X270-$Y270)*$L270/100))</x:f>
      </x:c>
      <x:c r="AB270" s="9" t="str">
        <x:f>IF($A270="","",MAX(0,($X270-$Y270)*$M270/100))</x:f>
      </x:c>
      <x:c r="AC270" s="9" t="str">
        <x:f>IF($A270="","",MAX(0,($X270-$Y270)+$J270+$Z270+$N270-$AA270-$AB270-$O270))</x:f>
      </x:c>
    </x:row>
    <x:row r="271">
      <x:c r="A271" s="13"/>
      <x:c r="B271" s="14"/>
      <x:c r="C271" s="8"/>
      <x:c r="D271" s="13"/>
      <x:c r="E271" s="7"/>
      <x:c r="F271" s="13"/>
      <x:c r="G271" s="7"/>
      <x:c r="H271" s="7"/>
      <x:c r="I271" s="10"/>
      <x:c r="J271" s="9"/>
      <x:c r="K271" s="10"/>
      <x:c r="L271" s="10"/>
      <x:c r="M271" s="10"/>
      <x:c r="N271" s="9"/>
      <x:c r="O271" s="9"/>
      <x:c r="P271" s="7"/>
      <x:c r="Q271" s="9"/>
      <x:c r="R271" s="8"/>
      <x:c r="S271" s="9"/>
      <x:c r="T271" s="8"/>
      <x:c r="U271" s="13"/>
      <x:c r="V271" s="7"/>
      <x:c r="W271" s="7"/>
      <x:c r="X271" s="9" t="str">
        <x:f>IF($A271="","",SUMIF(Purchase_Items!$A$2:$A$501,$A271,Purchase_Items!$P$2:$P$501))</x:f>
      </x:c>
      <x:c r="Y271" s="9" t="str">
        <x:f>IF($A271="","",$X271*$I271/100)</x:f>
      </x:c>
      <x:c r="Z271" s="9" t="str">
        <x:f>IF($A271="","",MAX(0,($X271-$Y271)*$K271/100))</x:f>
      </x:c>
      <x:c r="AA271" s="9" t="str">
        <x:f>IF($A271="","",MAX(0,($X271-$Y271)*$L271/100))</x:f>
      </x:c>
      <x:c r="AB271" s="9" t="str">
        <x:f>IF($A271="","",MAX(0,($X271-$Y271)*$M271/100))</x:f>
      </x:c>
      <x:c r="AC271" s="9" t="str">
        <x:f>IF($A271="","",MAX(0,($X271-$Y271)+$J271+$Z271+$N271-$AA271-$AB271-$O271))</x:f>
      </x:c>
    </x:row>
    <x:row r="272">
      <x:c r="A272" s="13"/>
      <x:c r="B272" s="14"/>
      <x:c r="C272" s="8"/>
      <x:c r="D272" s="13"/>
      <x:c r="E272" s="7"/>
      <x:c r="F272" s="13"/>
      <x:c r="G272" s="7"/>
      <x:c r="H272" s="7"/>
      <x:c r="I272" s="10"/>
      <x:c r="J272" s="9"/>
      <x:c r="K272" s="10"/>
      <x:c r="L272" s="10"/>
      <x:c r="M272" s="10"/>
      <x:c r="N272" s="9"/>
      <x:c r="O272" s="9"/>
      <x:c r="P272" s="7"/>
      <x:c r="Q272" s="9"/>
      <x:c r="R272" s="8"/>
      <x:c r="S272" s="9"/>
      <x:c r="T272" s="8"/>
      <x:c r="U272" s="13"/>
      <x:c r="V272" s="7"/>
      <x:c r="W272" s="7"/>
      <x:c r="X272" s="9" t="str">
        <x:f>IF($A272="","",SUMIF(Purchase_Items!$A$2:$A$501,$A272,Purchase_Items!$P$2:$P$501))</x:f>
      </x:c>
      <x:c r="Y272" s="9" t="str">
        <x:f>IF($A272="","",$X272*$I272/100)</x:f>
      </x:c>
      <x:c r="Z272" s="9" t="str">
        <x:f>IF($A272="","",MAX(0,($X272-$Y272)*$K272/100))</x:f>
      </x:c>
      <x:c r="AA272" s="9" t="str">
        <x:f>IF($A272="","",MAX(0,($X272-$Y272)*$L272/100))</x:f>
      </x:c>
      <x:c r="AB272" s="9" t="str">
        <x:f>IF($A272="","",MAX(0,($X272-$Y272)*$M272/100))</x:f>
      </x:c>
      <x:c r="AC272" s="9" t="str">
        <x:f>IF($A272="","",MAX(0,($X272-$Y272)+$J272+$Z272+$N272-$AA272-$AB272-$O272))</x:f>
      </x:c>
    </x:row>
    <x:row r="273">
      <x:c r="A273" s="13"/>
      <x:c r="B273" s="14"/>
      <x:c r="C273" s="8"/>
      <x:c r="D273" s="13"/>
      <x:c r="E273" s="7"/>
      <x:c r="F273" s="13"/>
      <x:c r="G273" s="7"/>
      <x:c r="H273" s="7"/>
      <x:c r="I273" s="10"/>
      <x:c r="J273" s="9"/>
      <x:c r="K273" s="10"/>
      <x:c r="L273" s="10"/>
      <x:c r="M273" s="10"/>
      <x:c r="N273" s="9"/>
      <x:c r="O273" s="9"/>
      <x:c r="P273" s="7"/>
      <x:c r="Q273" s="9"/>
      <x:c r="R273" s="8"/>
      <x:c r="S273" s="9"/>
      <x:c r="T273" s="8"/>
      <x:c r="U273" s="13"/>
      <x:c r="V273" s="7"/>
      <x:c r="W273" s="7"/>
      <x:c r="X273" s="9" t="str">
        <x:f>IF($A273="","",SUMIF(Purchase_Items!$A$2:$A$501,$A273,Purchase_Items!$P$2:$P$501))</x:f>
      </x:c>
      <x:c r="Y273" s="9" t="str">
        <x:f>IF($A273="","",$X273*$I273/100)</x:f>
      </x:c>
      <x:c r="Z273" s="9" t="str">
        <x:f>IF($A273="","",MAX(0,($X273-$Y273)*$K273/100))</x:f>
      </x:c>
      <x:c r="AA273" s="9" t="str">
        <x:f>IF($A273="","",MAX(0,($X273-$Y273)*$L273/100))</x:f>
      </x:c>
      <x:c r="AB273" s="9" t="str">
        <x:f>IF($A273="","",MAX(0,($X273-$Y273)*$M273/100))</x:f>
      </x:c>
      <x:c r="AC273" s="9" t="str">
        <x:f>IF($A273="","",MAX(0,($X273-$Y273)+$J273+$Z273+$N273-$AA273-$AB273-$O273))</x:f>
      </x:c>
    </x:row>
    <x:row r="274">
      <x:c r="A274" s="13"/>
      <x:c r="B274" s="14"/>
      <x:c r="C274" s="8"/>
      <x:c r="D274" s="13"/>
      <x:c r="E274" s="7"/>
      <x:c r="F274" s="13"/>
      <x:c r="G274" s="7"/>
      <x:c r="H274" s="7"/>
      <x:c r="I274" s="10"/>
      <x:c r="J274" s="9"/>
      <x:c r="K274" s="10"/>
      <x:c r="L274" s="10"/>
      <x:c r="M274" s="10"/>
      <x:c r="N274" s="9"/>
      <x:c r="O274" s="9"/>
      <x:c r="P274" s="7"/>
      <x:c r="Q274" s="9"/>
      <x:c r="R274" s="8"/>
      <x:c r="S274" s="9"/>
      <x:c r="T274" s="8"/>
      <x:c r="U274" s="13"/>
      <x:c r="V274" s="7"/>
      <x:c r="W274" s="7"/>
      <x:c r="X274" s="9" t="str">
        <x:f>IF($A274="","",SUMIF(Purchase_Items!$A$2:$A$501,$A274,Purchase_Items!$P$2:$P$501))</x:f>
      </x:c>
      <x:c r="Y274" s="9" t="str">
        <x:f>IF($A274="","",$X274*$I274/100)</x:f>
      </x:c>
      <x:c r="Z274" s="9" t="str">
        <x:f>IF($A274="","",MAX(0,($X274-$Y274)*$K274/100))</x:f>
      </x:c>
      <x:c r="AA274" s="9" t="str">
        <x:f>IF($A274="","",MAX(0,($X274-$Y274)*$L274/100))</x:f>
      </x:c>
      <x:c r="AB274" s="9" t="str">
        <x:f>IF($A274="","",MAX(0,($X274-$Y274)*$M274/100))</x:f>
      </x:c>
      <x:c r="AC274" s="9" t="str">
        <x:f>IF($A274="","",MAX(0,($X274-$Y274)+$J274+$Z274+$N274-$AA274-$AB274-$O274))</x:f>
      </x:c>
    </x:row>
    <x:row r="275">
      <x:c r="A275" s="13"/>
      <x:c r="B275" s="14"/>
      <x:c r="C275" s="8"/>
      <x:c r="D275" s="13"/>
      <x:c r="E275" s="7"/>
      <x:c r="F275" s="13"/>
      <x:c r="G275" s="7"/>
      <x:c r="H275" s="7"/>
      <x:c r="I275" s="10"/>
      <x:c r="J275" s="9"/>
      <x:c r="K275" s="10"/>
      <x:c r="L275" s="10"/>
      <x:c r="M275" s="10"/>
      <x:c r="N275" s="9"/>
      <x:c r="O275" s="9"/>
      <x:c r="P275" s="7"/>
      <x:c r="Q275" s="9"/>
      <x:c r="R275" s="8"/>
      <x:c r="S275" s="9"/>
      <x:c r="T275" s="8"/>
      <x:c r="U275" s="13"/>
      <x:c r="V275" s="7"/>
      <x:c r="W275" s="7"/>
      <x:c r="X275" s="9" t="str">
        <x:f>IF($A275="","",SUMIF(Purchase_Items!$A$2:$A$501,$A275,Purchase_Items!$P$2:$P$501))</x:f>
      </x:c>
      <x:c r="Y275" s="9" t="str">
        <x:f>IF($A275="","",$X275*$I275/100)</x:f>
      </x:c>
      <x:c r="Z275" s="9" t="str">
        <x:f>IF($A275="","",MAX(0,($X275-$Y275)*$K275/100))</x:f>
      </x:c>
      <x:c r="AA275" s="9" t="str">
        <x:f>IF($A275="","",MAX(0,($X275-$Y275)*$L275/100))</x:f>
      </x:c>
      <x:c r="AB275" s="9" t="str">
        <x:f>IF($A275="","",MAX(0,($X275-$Y275)*$M275/100))</x:f>
      </x:c>
      <x:c r="AC275" s="9" t="str">
        <x:f>IF($A275="","",MAX(0,($X275-$Y275)+$J275+$Z275+$N275-$AA275-$AB275-$O275))</x:f>
      </x:c>
    </x:row>
    <x:row r="276">
      <x:c r="A276" s="13"/>
      <x:c r="B276" s="14"/>
      <x:c r="C276" s="8"/>
      <x:c r="D276" s="13"/>
      <x:c r="E276" s="7"/>
      <x:c r="F276" s="13"/>
      <x:c r="G276" s="7"/>
      <x:c r="H276" s="7"/>
      <x:c r="I276" s="10"/>
      <x:c r="J276" s="9"/>
      <x:c r="K276" s="10"/>
      <x:c r="L276" s="10"/>
      <x:c r="M276" s="10"/>
      <x:c r="N276" s="9"/>
      <x:c r="O276" s="9"/>
      <x:c r="P276" s="7"/>
      <x:c r="Q276" s="9"/>
      <x:c r="R276" s="8"/>
      <x:c r="S276" s="9"/>
      <x:c r="T276" s="8"/>
      <x:c r="U276" s="13"/>
      <x:c r="V276" s="7"/>
      <x:c r="W276" s="7"/>
      <x:c r="X276" s="9" t="str">
        <x:f>IF($A276="","",SUMIF(Purchase_Items!$A$2:$A$501,$A276,Purchase_Items!$P$2:$P$501))</x:f>
      </x:c>
      <x:c r="Y276" s="9" t="str">
        <x:f>IF($A276="","",$X276*$I276/100)</x:f>
      </x:c>
      <x:c r="Z276" s="9" t="str">
        <x:f>IF($A276="","",MAX(0,($X276-$Y276)*$K276/100))</x:f>
      </x:c>
      <x:c r="AA276" s="9" t="str">
        <x:f>IF($A276="","",MAX(0,($X276-$Y276)*$L276/100))</x:f>
      </x:c>
      <x:c r="AB276" s="9" t="str">
        <x:f>IF($A276="","",MAX(0,($X276-$Y276)*$M276/100))</x:f>
      </x:c>
      <x:c r="AC276" s="9" t="str">
        <x:f>IF($A276="","",MAX(0,($X276-$Y276)+$J276+$Z276+$N276-$AA276-$AB276-$O276))</x:f>
      </x:c>
    </x:row>
    <x:row r="277">
      <x:c r="A277" s="13"/>
      <x:c r="B277" s="14"/>
      <x:c r="C277" s="8"/>
      <x:c r="D277" s="13"/>
      <x:c r="E277" s="7"/>
      <x:c r="F277" s="13"/>
      <x:c r="G277" s="7"/>
      <x:c r="H277" s="7"/>
      <x:c r="I277" s="10"/>
      <x:c r="J277" s="9"/>
      <x:c r="K277" s="10"/>
      <x:c r="L277" s="10"/>
      <x:c r="M277" s="10"/>
      <x:c r="N277" s="9"/>
      <x:c r="O277" s="9"/>
      <x:c r="P277" s="7"/>
      <x:c r="Q277" s="9"/>
      <x:c r="R277" s="8"/>
      <x:c r="S277" s="9"/>
      <x:c r="T277" s="8"/>
      <x:c r="U277" s="13"/>
      <x:c r="V277" s="7"/>
      <x:c r="W277" s="7"/>
      <x:c r="X277" s="9" t="str">
        <x:f>IF($A277="","",SUMIF(Purchase_Items!$A$2:$A$501,$A277,Purchase_Items!$P$2:$P$501))</x:f>
      </x:c>
      <x:c r="Y277" s="9" t="str">
        <x:f>IF($A277="","",$X277*$I277/100)</x:f>
      </x:c>
      <x:c r="Z277" s="9" t="str">
        <x:f>IF($A277="","",MAX(0,($X277-$Y277)*$K277/100))</x:f>
      </x:c>
      <x:c r="AA277" s="9" t="str">
        <x:f>IF($A277="","",MAX(0,($X277-$Y277)*$L277/100))</x:f>
      </x:c>
      <x:c r="AB277" s="9" t="str">
        <x:f>IF($A277="","",MAX(0,($X277-$Y277)*$M277/100))</x:f>
      </x:c>
      <x:c r="AC277" s="9" t="str">
        <x:f>IF($A277="","",MAX(0,($X277-$Y277)+$J277+$Z277+$N277-$AA277-$AB277-$O277))</x:f>
      </x:c>
    </x:row>
    <x:row r="278">
      <x:c r="A278" s="13"/>
      <x:c r="B278" s="14"/>
      <x:c r="C278" s="8"/>
      <x:c r="D278" s="13"/>
      <x:c r="E278" s="7"/>
      <x:c r="F278" s="13"/>
      <x:c r="G278" s="7"/>
      <x:c r="H278" s="7"/>
      <x:c r="I278" s="10"/>
      <x:c r="J278" s="9"/>
      <x:c r="K278" s="10"/>
      <x:c r="L278" s="10"/>
      <x:c r="M278" s="10"/>
      <x:c r="N278" s="9"/>
      <x:c r="O278" s="9"/>
      <x:c r="P278" s="7"/>
      <x:c r="Q278" s="9"/>
      <x:c r="R278" s="8"/>
      <x:c r="S278" s="9"/>
      <x:c r="T278" s="8"/>
      <x:c r="U278" s="13"/>
      <x:c r="V278" s="7"/>
      <x:c r="W278" s="7"/>
      <x:c r="X278" s="9" t="str">
        <x:f>IF($A278="","",SUMIF(Purchase_Items!$A$2:$A$501,$A278,Purchase_Items!$P$2:$P$501))</x:f>
      </x:c>
      <x:c r="Y278" s="9" t="str">
        <x:f>IF($A278="","",$X278*$I278/100)</x:f>
      </x:c>
      <x:c r="Z278" s="9" t="str">
        <x:f>IF($A278="","",MAX(0,($X278-$Y278)*$K278/100))</x:f>
      </x:c>
      <x:c r="AA278" s="9" t="str">
        <x:f>IF($A278="","",MAX(0,($X278-$Y278)*$L278/100))</x:f>
      </x:c>
      <x:c r="AB278" s="9" t="str">
        <x:f>IF($A278="","",MAX(0,($X278-$Y278)*$M278/100))</x:f>
      </x:c>
      <x:c r="AC278" s="9" t="str">
        <x:f>IF($A278="","",MAX(0,($X278-$Y278)+$J278+$Z278+$N278-$AA278-$AB278-$O278))</x:f>
      </x:c>
    </x:row>
    <x:row r="279">
      <x:c r="A279" s="13"/>
      <x:c r="B279" s="14"/>
      <x:c r="C279" s="8"/>
      <x:c r="D279" s="13"/>
      <x:c r="E279" s="7"/>
      <x:c r="F279" s="13"/>
      <x:c r="G279" s="7"/>
      <x:c r="H279" s="7"/>
      <x:c r="I279" s="10"/>
      <x:c r="J279" s="9"/>
      <x:c r="K279" s="10"/>
      <x:c r="L279" s="10"/>
      <x:c r="M279" s="10"/>
      <x:c r="N279" s="9"/>
      <x:c r="O279" s="9"/>
      <x:c r="P279" s="7"/>
      <x:c r="Q279" s="9"/>
      <x:c r="R279" s="8"/>
      <x:c r="S279" s="9"/>
      <x:c r="T279" s="8"/>
      <x:c r="U279" s="13"/>
      <x:c r="V279" s="7"/>
      <x:c r="W279" s="7"/>
      <x:c r="X279" s="9" t="str">
        <x:f>IF($A279="","",SUMIF(Purchase_Items!$A$2:$A$501,$A279,Purchase_Items!$P$2:$P$501))</x:f>
      </x:c>
      <x:c r="Y279" s="9" t="str">
        <x:f>IF($A279="","",$X279*$I279/100)</x:f>
      </x:c>
      <x:c r="Z279" s="9" t="str">
        <x:f>IF($A279="","",MAX(0,($X279-$Y279)*$K279/100))</x:f>
      </x:c>
      <x:c r="AA279" s="9" t="str">
        <x:f>IF($A279="","",MAX(0,($X279-$Y279)*$L279/100))</x:f>
      </x:c>
      <x:c r="AB279" s="9" t="str">
        <x:f>IF($A279="","",MAX(0,($X279-$Y279)*$M279/100))</x:f>
      </x:c>
      <x:c r="AC279" s="9" t="str">
        <x:f>IF($A279="","",MAX(0,($X279-$Y279)+$J279+$Z279+$N279-$AA279-$AB279-$O279))</x:f>
      </x:c>
    </x:row>
    <x:row r="280">
      <x:c r="A280" s="13"/>
      <x:c r="B280" s="14"/>
      <x:c r="C280" s="8"/>
      <x:c r="D280" s="13"/>
      <x:c r="E280" s="7"/>
      <x:c r="F280" s="13"/>
      <x:c r="G280" s="7"/>
      <x:c r="H280" s="7"/>
      <x:c r="I280" s="10"/>
      <x:c r="J280" s="9"/>
      <x:c r="K280" s="10"/>
      <x:c r="L280" s="10"/>
      <x:c r="M280" s="10"/>
      <x:c r="N280" s="9"/>
      <x:c r="O280" s="9"/>
      <x:c r="P280" s="7"/>
      <x:c r="Q280" s="9"/>
      <x:c r="R280" s="8"/>
      <x:c r="S280" s="9"/>
      <x:c r="T280" s="8"/>
      <x:c r="U280" s="13"/>
      <x:c r="V280" s="7"/>
      <x:c r="W280" s="7"/>
      <x:c r="X280" s="9" t="str">
        <x:f>IF($A280="","",SUMIF(Purchase_Items!$A$2:$A$501,$A280,Purchase_Items!$P$2:$P$501))</x:f>
      </x:c>
      <x:c r="Y280" s="9" t="str">
        <x:f>IF($A280="","",$X280*$I280/100)</x:f>
      </x:c>
      <x:c r="Z280" s="9" t="str">
        <x:f>IF($A280="","",MAX(0,($X280-$Y280)*$K280/100))</x:f>
      </x:c>
      <x:c r="AA280" s="9" t="str">
        <x:f>IF($A280="","",MAX(0,($X280-$Y280)*$L280/100))</x:f>
      </x:c>
      <x:c r="AB280" s="9" t="str">
        <x:f>IF($A280="","",MAX(0,($X280-$Y280)*$M280/100))</x:f>
      </x:c>
      <x:c r="AC280" s="9" t="str">
        <x:f>IF($A280="","",MAX(0,($X280-$Y280)+$J280+$Z280+$N280-$AA280-$AB280-$O280))</x:f>
      </x:c>
    </x:row>
    <x:row r="281">
      <x:c r="A281" s="13"/>
      <x:c r="B281" s="14"/>
      <x:c r="C281" s="8"/>
      <x:c r="D281" s="13"/>
      <x:c r="E281" s="7"/>
      <x:c r="F281" s="13"/>
      <x:c r="G281" s="7"/>
      <x:c r="H281" s="7"/>
      <x:c r="I281" s="10"/>
      <x:c r="J281" s="9"/>
      <x:c r="K281" s="10"/>
      <x:c r="L281" s="10"/>
      <x:c r="M281" s="10"/>
      <x:c r="N281" s="9"/>
      <x:c r="O281" s="9"/>
      <x:c r="P281" s="7"/>
      <x:c r="Q281" s="9"/>
      <x:c r="R281" s="8"/>
      <x:c r="S281" s="9"/>
      <x:c r="T281" s="8"/>
      <x:c r="U281" s="13"/>
      <x:c r="V281" s="7"/>
      <x:c r="W281" s="7"/>
      <x:c r="X281" s="9" t="str">
        <x:f>IF($A281="","",SUMIF(Purchase_Items!$A$2:$A$501,$A281,Purchase_Items!$P$2:$P$501))</x:f>
      </x:c>
      <x:c r="Y281" s="9" t="str">
        <x:f>IF($A281="","",$X281*$I281/100)</x:f>
      </x:c>
      <x:c r="Z281" s="9" t="str">
        <x:f>IF($A281="","",MAX(0,($X281-$Y281)*$K281/100))</x:f>
      </x:c>
      <x:c r="AA281" s="9" t="str">
        <x:f>IF($A281="","",MAX(0,($X281-$Y281)*$L281/100))</x:f>
      </x:c>
      <x:c r="AB281" s="9" t="str">
        <x:f>IF($A281="","",MAX(0,($X281-$Y281)*$M281/100))</x:f>
      </x:c>
      <x:c r="AC281" s="9" t="str">
        <x:f>IF($A281="","",MAX(0,($X281-$Y281)+$J281+$Z281+$N281-$AA281-$AB281-$O281))</x:f>
      </x:c>
    </x:row>
    <x:row r="282">
      <x:c r="A282" s="13"/>
      <x:c r="B282" s="14"/>
      <x:c r="C282" s="8"/>
      <x:c r="D282" s="13"/>
      <x:c r="E282" s="7"/>
      <x:c r="F282" s="13"/>
      <x:c r="G282" s="7"/>
      <x:c r="H282" s="7"/>
      <x:c r="I282" s="10"/>
      <x:c r="J282" s="9"/>
      <x:c r="K282" s="10"/>
      <x:c r="L282" s="10"/>
      <x:c r="M282" s="10"/>
      <x:c r="N282" s="9"/>
      <x:c r="O282" s="9"/>
      <x:c r="P282" s="7"/>
      <x:c r="Q282" s="9"/>
      <x:c r="R282" s="8"/>
      <x:c r="S282" s="9"/>
      <x:c r="T282" s="8"/>
      <x:c r="U282" s="13"/>
      <x:c r="V282" s="7"/>
      <x:c r="W282" s="7"/>
      <x:c r="X282" s="9" t="str">
        <x:f>IF($A282="","",SUMIF(Purchase_Items!$A$2:$A$501,$A282,Purchase_Items!$P$2:$P$501))</x:f>
      </x:c>
      <x:c r="Y282" s="9" t="str">
        <x:f>IF($A282="","",$X282*$I282/100)</x:f>
      </x:c>
      <x:c r="Z282" s="9" t="str">
        <x:f>IF($A282="","",MAX(0,($X282-$Y282)*$K282/100))</x:f>
      </x:c>
      <x:c r="AA282" s="9" t="str">
        <x:f>IF($A282="","",MAX(0,($X282-$Y282)*$L282/100))</x:f>
      </x:c>
      <x:c r="AB282" s="9" t="str">
        <x:f>IF($A282="","",MAX(0,($X282-$Y282)*$M282/100))</x:f>
      </x:c>
      <x:c r="AC282" s="9" t="str">
        <x:f>IF($A282="","",MAX(0,($X282-$Y282)+$J282+$Z282+$N282-$AA282-$AB282-$O282))</x:f>
      </x:c>
    </x:row>
    <x:row r="283">
      <x:c r="A283" s="13"/>
      <x:c r="B283" s="14"/>
      <x:c r="C283" s="8"/>
      <x:c r="D283" s="13"/>
      <x:c r="E283" s="7"/>
      <x:c r="F283" s="13"/>
      <x:c r="G283" s="7"/>
      <x:c r="H283" s="7"/>
      <x:c r="I283" s="10"/>
      <x:c r="J283" s="9"/>
      <x:c r="K283" s="10"/>
      <x:c r="L283" s="10"/>
      <x:c r="M283" s="10"/>
      <x:c r="N283" s="9"/>
      <x:c r="O283" s="9"/>
      <x:c r="P283" s="7"/>
      <x:c r="Q283" s="9"/>
      <x:c r="R283" s="8"/>
      <x:c r="S283" s="9"/>
      <x:c r="T283" s="8"/>
      <x:c r="U283" s="13"/>
      <x:c r="V283" s="7"/>
      <x:c r="W283" s="7"/>
      <x:c r="X283" s="9" t="str">
        <x:f>IF($A283="","",SUMIF(Purchase_Items!$A$2:$A$501,$A283,Purchase_Items!$P$2:$P$501))</x:f>
      </x:c>
      <x:c r="Y283" s="9" t="str">
        <x:f>IF($A283="","",$X283*$I283/100)</x:f>
      </x:c>
      <x:c r="Z283" s="9" t="str">
        <x:f>IF($A283="","",MAX(0,($X283-$Y283)*$K283/100))</x:f>
      </x:c>
      <x:c r="AA283" s="9" t="str">
        <x:f>IF($A283="","",MAX(0,($X283-$Y283)*$L283/100))</x:f>
      </x:c>
      <x:c r="AB283" s="9" t="str">
        <x:f>IF($A283="","",MAX(0,($X283-$Y283)*$M283/100))</x:f>
      </x:c>
      <x:c r="AC283" s="9" t="str">
        <x:f>IF($A283="","",MAX(0,($X283-$Y283)+$J283+$Z283+$N283-$AA283-$AB283-$O283))</x:f>
      </x:c>
    </x:row>
    <x:row r="284">
      <x:c r="A284" s="13"/>
      <x:c r="B284" s="14"/>
      <x:c r="C284" s="8"/>
      <x:c r="D284" s="13"/>
      <x:c r="E284" s="7"/>
      <x:c r="F284" s="13"/>
      <x:c r="G284" s="7"/>
      <x:c r="H284" s="7"/>
      <x:c r="I284" s="10"/>
      <x:c r="J284" s="9"/>
      <x:c r="K284" s="10"/>
      <x:c r="L284" s="10"/>
      <x:c r="M284" s="10"/>
      <x:c r="N284" s="9"/>
      <x:c r="O284" s="9"/>
      <x:c r="P284" s="7"/>
      <x:c r="Q284" s="9"/>
      <x:c r="R284" s="8"/>
      <x:c r="S284" s="9"/>
      <x:c r="T284" s="8"/>
      <x:c r="U284" s="13"/>
      <x:c r="V284" s="7"/>
      <x:c r="W284" s="7"/>
      <x:c r="X284" s="9" t="str">
        <x:f>IF($A284="","",SUMIF(Purchase_Items!$A$2:$A$501,$A284,Purchase_Items!$P$2:$P$501))</x:f>
      </x:c>
      <x:c r="Y284" s="9" t="str">
        <x:f>IF($A284="","",$X284*$I284/100)</x:f>
      </x:c>
      <x:c r="Z284" s="9" t="str">
        <x:f>IF($A284="","",MAX(0,($X284-$Y284)*$K284/100))</x:f>
      </x:c>
      <x:c r="AA284" s="9" t="str">
        <x:f>IF($A284="","",MAX(0,($X284-$Y284)*$L284/100))</x:f>
      </x:c>
      <x:c r="AB284" s="9" t="str">
        <x:f>IF($A284="","",MAX(0,($X284-$Y284)*$M284/100))</x:f>
      </x:c>
      <x:c r="AC284" s="9" t="str">
        <x:f>IF($A284="","",MAX(0,($X284-$Y284)+$J284+$Z284+$N284-$AA284-$AB284-$O284))</x:f>
      </x:c>
    </x:row>
    <x:row r="285">
      <x:c r="A285" s="13"/>
      <x:c r="B285" s="14"/>
      <x:c r="C285" s="8"/>
      <x:c r="D285" s="13"/>
      <x:c r="E285" s="7"/>
      <x:c r="F285" s="13"/>
      <x:c r="G285" s="7"/>
      <x:c r="H285" s="7"/>
      <x:c r="I285" s="10"/>
      <x:c r="J285" s="9"/>
      <x:c r="K285" s="10"/>
      <x:c r="L285" s="10"/>
      <x:c r="M285" s="10"/>
      <x:c r="N285" s="9"/>
      <x:c r="O285" s="9"/>
      <x:c r="P285" s="7"/>
      <x:c r="Q285" s="9"/>
      <x:c r="R285" s="8"/>
      <x:c r="S285" s="9"/>
      <x:c r="T285" s="8"/>
      <x:c r="U285" s="13"/>
      <x:c r="V285" s="7"/>
      <x:c r="W285" s="7"/>
      <x:c r="X285" s="9" t="str">
        <x:f>IF($A285="","",SUMIF(Purchase_Items!$A$2:$A$501,$A285,Purchase_Items!$P$2:$P$501))</x:f>
      </x:c>
      <x:c r="Y285" s="9" t="str">
        <x:f>IF($A285="","",$X285*$I285/100)</x:f>
      </x:c>
      <x:c r="Z285" s="9" t="str">
        <x:f>IF($A285="","",MAX(0,($X285-$Y285)*$K285/100))</x:f>
      </x:c>
      <x:c r="AA285" s="9" t="str">
        <x:f>IF($A285="","",MAX(0,($X285-$Y285)*$L285/100))</x:f>
      </x:c>
      <x:c r="AB285" s="9" t="str">
        <x:f>IF($A285="","",MAX(0,($X285-$Y285)*$M285/100))</x:f>
      </x:c>
      <x:c r="AC285" s="9" t="str">
        <x:f>IF($A285="","",MAX(0,($X285-$Y285)+$J285+$Z285+$N285-$AA285-$AB285-$O285))</x:f>
      </x:c>
    </x:row>
    <x:row r="286">
      <x:c r="A286" s="13"/>
      <x:c r="B286" s="14"/>
      <x:c r="C286" s="8"/>
      <x:c r="D286" s="13"/>
      <x:c r="E286" s="7"/>
      <x:c r="F286" s="13"/>
      <x:c r="G286" s="7"/>
      <x:c r="H286" s="7"/>
      <x:c r="I286" s="10"/>
      <x:c r="J286" s="9"/>
      <x:c r="K286" s="10"/>
      <x:c r="L286" s="10"/>
      <x:c r="M286" s="10"/>
      <x:c r="N286" s="9"/>
      <x:c r="O286" s="9"/>
      <x:c r="P286" s="7"/>
      <x:c r="Q286" s="9"/>
      <x:c r="R286" s="8"/>
      <x:c r="S286" s="9"/>
      <x:c r="T286" s="8"/>
      <x:c r="U286" s="13"/>
      <x:c r="V286" s="7"/>
      <x:c r="W286" s="7"/>
      <x:c r="X286" s="9" t="str">
        <x:f>IF($A286="","",SUMIF(Purchase_Items!$A$2:$A$501,$A286,Purchase_Items!$P$2:$P$501))</x:f>
      </x:c>
      <x:c r="Y286" s="9" t="str">
        <x:f>IF($A286="","",$X286*$I286/100)</x:f>
      </x:c>
      <x:c r="Z286" s="9" t="str">
        <x:f>IF($A286="","",MAX(0,($X286-$Y286)*$K286/100))</x:f>
      </x:c>
      <x:c r="AA286" s="9" t="str">
        <x:f>IF($A286="","",MAX(0,($X286-$Y286)*$L286/100))</x:f>
      </x:c>
      <x:c r="AB286" s="9" t="str">
        <x:f>IF($A286="","",MAX(0,($X286-$Y286)*$M286/100))</x:f>
      </x:c>
      <x:c r="AC286" s="9" t="str">
        <x:f>IF($A286="","",MAX(0,($X286-$Y286)+$J286+$Z286+$N286-$AA286-$AB286-$O286))</x:f>
      </x:c>
    </x:row>
    <x:row r="287">
      <x:c r="A287" s="13"/>
      <x:c r="B287" s="14"/>
      <x:c r="C287" s="8"/>
      <x:c r="D287" s="13"/>
      <x:c r="E287" s="7"/>
      <x:c r="F287" s="13"/>
      <x:c r="G287" s="7"/>
      <x:c r="H287" s="7"/>
      <x:c r="I287" s="10"/>
      <x:c r="J287" s="9"/>
      <x:c r="K287" s="10"/>
      <x:c r="L287" s="10"/>
      <x:c r="M287" s="10"/>
      <x:c r="N287" s="9"/>
      <x:c r="O287" s="9"/>
      <x:c r="P287" s="7"/>
      <x:c r="Q287" s="9"/>
      <x:c r="R287" s="8"/>
      <x:c r="S287" s="9"/>
      <x:c r="T287" s="8"/>
      <x:c r="U287" s="13"/>
      <x:c r="V287" s="7"/>
      <x:c r="W287" s="7"/>
      <x:c r="X287" s="9" t="str">
        <x:f>IF($A287="","",SUMIF(Purchase_Items!$A$2:$A$501,$A287,Purchase_Items!$P$2:$P$501))</x:f>
      </x:c>
      <x:c r="Y287" s="9" t="str">
        <x:f>IF($A287="","",$X287*$I287/100)</x:f>
      </x:c>
      <x:c r="Z287" s="9" t="str">
        <x:f>IF($A287="","",MAX(0,($X287-$Y287)*$K287/100))</x:f>
      </x:c>
      <x:c r="AA287" s="9" t="str">
        <x:f>IF($A287="","",MAX(0,($X287-$Y287)*$L287/100))</x:f>
      </x:c>
      <x:c r="AB287" s="9" t="str">
        <x:f>IF($A287="","",MAX(0,($X287-$Y287)*$M287/100))</x:f>
      </x:c>
      <x:c r="AC287" s="9" t="str">
        <x:f>IF($A287="","",MAX(0,($X287-$Y287)+$J287+$Z287+$N287-$AA287-$AB287-$O287))</x:f>
      </x:c>
    </x:row>
    <x:row r="288">
      <x:c r="A288" s="13"/>
      <x:c r="B288" s="14"/>
      <x:c r="C288" s="8"/>
      <x:c r="D288" s="13"/>
      <x:c r="E288" s="7"/>
      <x:c r="F288" s="13"/>
      <x:c r="G288" s="7"/>
      <x:c r="H288" s="7"/>
      <x:c r="I288" s="10"/>
      <x:c r="J288" s="9"/>
      <x:c r="K288" s="10"/>
      <x:c r="L288" s="10"/>
      <x:c r="M288" s="10"/>
      <x:c r="N288" s="9"/>
      <x:c r="O288" s="9"/>
      <x:c r="P288" s="7"/>
      <x:c r="Q288" s="9"/>
      <x:c r="R288" s="8"/>
      <x:c r="S288" s="9"/>
      <x:c r="T288" s="8"/>
      <x:c r="U288" s="13"/>
      <x:c r="V288" s="7"/>
      <x:c r="W288" s="7"/>
      <x:c r="X288" s="9" t="str">
        <x:f>IF($A288="","",SUMIF(Purchase_Items!$A$2:$A$501,$A288,Purchase_Items!$P$2:$P$501))</x:f>
      </x:c>
      <x:c r="Y288" s="9" t="str">
        <x:f>IF($A288="","",$X288*$I288/100)</x:f>
      </x:c>
      <x:c r="Z288" s="9" t="str">
        <x:f>IF($A288="","",MAX(0,($X288-$Y288)*$K288/100))</x:f>
      </x:c>
      <x:c r="AA288" s="9" t="str">
        <x:f>IF($A288="","",MAX(0,($X288-$Y288)*$L288/100))</x:f>
      </x:c>
      <x:c r="AB288" s="9" t="str">
        <x:f>IF($A288="","",MAX(0,($X288-$Y288)*$M288/100))</x:f>
      </x:c>
      <x:c r="AC288" s="9" t="str">
        <x:f>IF($A288="","",MAX(0,($X288-$Y288)+$J288+$Z288+$N288-$AA288-$AB288-$O288))</x:f>
      </x:c>
    </x:row>
    <x:row r="289">
      <x:c r="A289" s="13"/>
      <x:c r="B289" s="14"/>
      <x:c r="C289" s="8"/>
      <x:c r="D289" s="13"/>
      <x:c r="E289" s="7"/>
      <x:c r="F289" s="13"/>
      <x:c r="G289" s="7"/>
      <x:c r="H289" s="7"/>
      <x:c r="I289" s="10"/>
      <x:c r="J289" s="9"/>
      <x:c r="K289" s="10"/>
      <x:c r="L289" s="10"/>
      <x:c r="M289" s="10"/>
      <x:c r="N289" s="9"/>
      <x:c r="O289" s="9"/>
      <x:c r="P289" s="7"/>
      <x:c r="Q289" s="9"/>
      <x:c r="R289" s="8"/>
      <x:c r="S289" s="9"/>
      <x:c r="T289" s="8"/>
      <x:c r="U289" s="13"/>
      <x:c r="V289" s="7"/>
      <x:c r="W289" s="7"/>
      <x:c r="X289" s="9" t="str">
        <x:f>IF($A289="","",SUMIF(Purchase_Items!$A$2:$A$501,$A289,Purchase_Items!$P$2:$P$501))</x:f>
      </x:c>
      <x:c r="Y289" s="9" t="str">
        <x:f>IF($A289="","",$X289*$I289/100)</x:f>
      </x:c>
      <x:c r="Z289" s="9" t="str">
        <x:f>IF($A289="","",MAX(0,($X289-$Y289)*$K289/100))</x:f>
      </x:c>
      <x:c r="AA289" s="9" t="str">
        <x:f>IF($A289="","",MAX(0,($X289-$Y289)*$L289/100))</x:f>
      </x:c>
      <x:c r="AB289" s="9" t="str">
        <x:f>IF($A289="","",MAX(0,($X289-$Y289)*$M289/100))</x:f>
      </x:c>
      <x:c r="AC289" s="9" t="str">
        <x:f>IF($A289="","",MAX(0,($X289-$Y289)+$J289+$Z289+$N289-$AA289-$AB289-$O289))</x:f>
      </x:c>
    </x:row>
    <x:row r="290">
      <x:c r="A290" s="13"/>
      <x:c r="B290" s="14"/>
      <x:c r="C290" s="8"/>
      <x:c r="D290" s="13"/>
      <x:c r="E290" s="7"/>
      <x:c r="F290" s="13"/>
      <x:c r="G290" s="7"/>
      <x:c r="H290" s="7"/>
      <x:c r="I290" s="10"/>
      <x:c r="J290" s="9"/>
      <x:c r="K290" s="10"/>
      <x:c r="L290" s="10"/>
      <x:c r="M290" s="10"/>
      <x:c r="N290" s="9"/>
      <x:c r="O290" s="9"/>
      <x:c r="P290" s="7"/>
      <x:c r="Q290" s="9"/>
      <x:c r="R290" s="8"/>
      <x:c r="S290" s="9"/>
      <x:c r="T290" s="8"/>
      <x:c r="U290" s="13"/>
      <x:c r="V290" s="7"/>
      <x:c r="W290" s="7"/>
      <x:c r="X290" s="9" t="str">
        <x:f>IF($A290="","",SUMIF(Purchase_Items!$A$2:$A$501,$A290,Purchase_Items!$P$2:$P$501))</x:f>
      </x:c>
      <x:c r="Y290" s="9" t="str">
        <x:f>IF($A290="","",$X290*$I290/100)</x:f>
      </x:c>
      <x:c r="Z290" s="9" t="str">
        <x:f>IF($A290="","",MAX(0,($X290-$Y290)*$K290/100))</x:f>
      </x:c>
      <x:c r="AA290" s="9" t="str">
        <x:f>IF($A290="","",MAX(0,($X290-$Y290)*$L290/100))</x:f>
      </x:c>
      <x:c r="AB290" s="9" t="str">
        <x:f>IF($A290="","",MAX(0,($X290-$Y290)*$M290/100))</x:f>
      </x:c>
      <x:c r="AC290" s="9" t="str">
        <x:f>IF($A290="","",MAX(0,($X290-$Y290)+$J290+$Z290+$N290-$AA290-$AB290-$O290))</x:f>
      </x:c>
    </x:row>
    <x:row r="291">
      <x:c r="A291" s="13"/>
      <x:c r="B291" s="14"/>
      <x:c r="C291" s="8"/>
      <x:c r="D291" s="13"/>
      <x:c r="E291" s="7"/>
      <x:c r="F291" s="13"/>
      <x:c r="G291" s="7"/>
      <x:c r="H291" s="7"/>
      <x:c r="I291" s="10"/>
      <x:c r="J291" s="9"/>
      <x:c r="K291" s="10"/>
      <x:c r="L291" s="10"/>
      <x:c r="M291" s="10"/>
      <x:c r="N291" s="9"/>
      <x:c r="O291" s="9"/>
      <x:c r="P291" s="7"/>
      <x:c r="Q291" s="9"/>
      <x:c r="R291" s="8"/>
      <x:c r="S291" s="9"/>
      <x:c r="T291" s="8"/>
      <x:c r="U291" s="13"/>
      <x:c r="V291" s="7"/>
      <x:c r="W291" s="7"/>
      <x:c r="X291" s="9" t="str">
        <x:f>IF($A291="","",SUMIF(Purchase_Items!$A$2:$A$501,$A291,Purchase_Items!$P$2:$P$501))</x:f>
      </x:c>
      <x:c r="Y291" s="9" t="str">
        <x:f>IF($A291="","",$X291*$I291/100)</x:f>
      </x:c>
      <x:c r="Z291" s="9" t="str">
        <x:f>IF($A291="","",MAX(0,($X291-$Y291)*$K291/100))</x:f>
      </x:c>
      <x:c r="AA291" s="9" t="str">
        <x:f>IF($A291="","",MAX(0,($X291-$Y291)*$L291/100))</x:f>
      </x:c>
      <x:c r="AB291" s="9" t="str">
        <x:f>IF($A291="","",MAX(0,($X291-$Y291)*$M291/100))</x:f>
      </x:c>
      <x:c r="AC291" s="9" t="str">
        <x:f>IF($A291="","",MAX(0,($X291-$Y291)+$J291+$Z291+$N291-$AA291-$AB291-$O291))</x:f>
      </x:c>
    </x:row>
    <x:row r="292">
      <x:c r="A292" s="13"/>
      <x:c r="B292" s="14"/>
      <x:c r="C292" s="8"/>
      <x:c r="D292" s="13"/>
      <x:c r="E292" s="7"/>
      <x:c r="F292" s="13"/>
      <x:c r="G292" s="7"/>
      <x:c r="H292" s="7"/>
      <x:c r="I292" s="10"/>
      <x:c r="J292" s="9"/>
      <x:c r="K292" s="10"/>
      <x:c r="L292" s="10"/>
      <x:c r="M292" s="10"/>
      <x:c r="N292" s="9"/>
      <x:c r="O292" s="9"/>
      <x:c r="P292" s="7"/>
      <x:c r="Q292" s="9"/>
      <x:c r="R292" s="8"/>
      <x:c r="S292" s="9"/>
      <x:c r="T292" s="8"/>
      <x:c r="U292" s="13"/>
      <x:c r="V292" s="7"/>
      <x:c r="W292" s="7"/>
      <x:c r="X292" s="9" t="str">
        <x:f>IF($A292="","",SUMIF(Purchase_Items!$A$2:$A$501,$A292,Purchase_Items!$P$2:$P$501))</x:f>
      </x:c>
      <x:c r="Y292" s="9" t="str">
        <x:f>IF($A292="","",$X292*$I292/100)</x:f>
      </x:c>
      <x:c r="Z292" s="9" t="str">
        <x:f>IF($A292="","",MAX(0,($X292-$Y292)*$K292/100))</x:f>
      </x:c>
      <x:c r="AA292" s="9" t="str">
        <x:f>IF($A292="","",MAX(0,($X292-$Y292)*$L292/100))</x:f>
      </x:c>
      <x:c r="AB292" s="9" t="str">
        <x:f>IF($A292="","",MAX(0,($X292-$Y292)*$M292/100))</x:f>
      </x:c>
      <x:c r="AC292" s="9" t="str">
        <x:f>IF($A292="","",MAX(0,($X292-$Y292)+$J292+$Z292+$N292-$AA292-$AB292-$O292))</x:f>
      </x:c>
    </x:row>
    <x:row r="293">
      <x:c r="A293" s="13"/>
      <x:c r="B293" s="14"/>
      <x:c r="C293" s="8"/>
      <x:c r="D293" s="13"/>
      <x:c r="E293" s="7"/>
      <x:c r="F293" s="13"/>
      <x:c r="G293" s="7"/>
      <x:c r="H293" s="7"/>
      <x:c r="I293" s="10"/>
      <x:c r="J293" s="9"/>
      <x:c r="K293" s="10"/>
      <x:c r="L293" s="10"/>
      <x:c r="M293" s="10"/>
      <x:c r="N293" s="9"/>
      <x:c r="O293" s="9"/>
      <x:c r="P293" s="7"/>
      <x:c r="Q293" s="9"/>
      <x:c r="R293" s="8"/>
      <x:c r="S293" s="9"/>
      <x:c r="T293" s="8"/>
      <x:c r="U293" s="13"/>
      <x:c r="V293" s="7"/>
      <x:c r="W293" s="7"/>
      <x:c r="X293" s="9" t="str">
        <x:f>IF($A293="","",SUMIF(Purchase_Items!$A$2:$A$501,$A293,Purchase_Items!$P$2:$P$501))</x:f>
      </x:c>
      <x:c r="Y293" s="9" t="str">
        <x:f>IF($A293="","",$X293*$I293/100)</x:f>
      </x:c>
      <x:c r="Z293" s="9" t="str">
        <x:f>IF($A293="","",MAX(0,($X293-$Y293)*$K293/100))</x:f>
      </x:c>
      <x:c r="AA293" s="9" t="str">
        <x:f>IF($A293="","",MAX(0,($X293-$Y293)*$L293/100))</x:f>
      </x:c>
      <x:c r="AB293" s="9" t="str">
        <x:f>IF($A293="","",MAX(0,($X293-$Y293)*$M293/100))</x:f>
      </x:c>
      <x:c r="AC293" s="9" t="str">
        <x:f>IF($A293="","",MAX(0,($X293-$Y293)+$J293+$Z293+$N293-$AA293-$AB293-$O293))</x:f>
      </x:c>
    </x:row>
    <x:row r="294">
      <x:c r="A294" s="13"/>
      <x:c r="B294" s="14"/>
      <x:c r="C294" s="8"/>
      <x:c r="D294" s="13"/>
      <x:c r="E294" s="7"/>
      <x:c r="F294" s="13"/>
      <x:c r="G294" s="7"/>
      <x:c r="H294" s="7"/>
      <x:c r="I294" s="10"/>
      <x:c r="J294" s="9"/>
      <x:c r="K294" s="10"/>
      <x:c r="L294" s="10"/>
      <x:c r="M294" s="10"/>
      <x:c r="N294" s="9"/>
      <x:c r="O294" s="9"/>
      <x:c r="P294" s="7"/>
      <x:c r="Q294" s="9"/>
      <x:c r="R294" s="8"/>
      <x:c r="S294" s="9"/>
      <x:c r="T294" s="8"/>
      <x:c r="U294" s="13"/>
      <x:c r="V294" s="7"/>
      <x:c r="W294" s="7"/>
      <x:c r="X294" s="9" t="str">
        <x:f>IF($A294="","",SUMIF(Purchase_Items!$A$2:$A$501,$A294,Purchase_Items!$P$2:$P$501))</x:f>
      </x:c>
      <x:c r="Y294" s="9" t="str">
        <x:f>IF($A294="","",$X294*$I294/100)</x:f>
      </x:c>
      <x:c r="Z294" s="9" t="str">
        <x:f>IF($A294="","",MAX(0,($X294-$Y294)*$K294/100))</x:f>
      </x:c>
      <x:c r="AA294" s="9" t="str">
        <x:f>IF($A294="","",MAX(0,($X294-$Y294)*$L294/100))</x:f>
      </x:c>
      <x:c r="AB294" s="9" t="str">
        <x:f>IF($A294="","",MAX(0,($X294-$Y294)*$M294/100))</x:f>
      </x:c>
      <x:c r="AC294" s="9" t="str">
        <x:f>IF($A294="","",MAX(0,($X294-$Y294)+$J294+$Z294+$N294-$AA294-$AB294-$O294))</x:f>
      </x:c>
    </x:row>
    <x:row r="295">
      <x:c r="A295" s="13"/>
      <x:c r="B295" s="14"/>
      <x:c r="C295" s="8"/>
      <x:c r="D295" s="13"/>
      <x:c r="E295" s="7"/>
      <x:c r="F295" s="13"/>
      <x:c r="G295" s="7"/>
      <x:c r="H295" s="7"/>
      <x:c r="I295" s="10"/>
      <x:c r="J295" s="9"/>
      <x:c r="K295" s="10"/>
      <x:c r="L295" s="10"/>
      <x:c r="M295" s="10"/>
      <x:c r="N295" s="9"/>
      <x:c r="O295" s="9"/>
      <x:c r="P295" s="7"/>
      <x:c r="Q295" s="9"/>
      <x:c r="R295" s="8"/>
      <x:c r="S295" s="9"/>
      <x:c r="T295" s="8"/>
      <x:c r="U295" s="13"/>
      <x:c r="V295" s="7"/>
      <x:c r="W295" s="7"/>
      <x:c r="X295" s="9" t="str">
        <x:f>IF($A295="","",SUMIF(Purchase_Items!$A$2:$A$501,$A295,Purchase_Items!$P$2:$P$501))</x:f>
      </x:c>
      <x:c r="Y295" s="9" t="str">
        <x:f>IF($A295="","",$X295*$I295/100)</x:f>
      </x:c>
      <x:c r="Z295" s="9" t="str">
        <x:f>IF($A295="","",MAX(0,($X295-$Y295)*$K295/100))</x:f>
      </x:c>
      <x:c r="AA295" s="9" t="str">
        <x:f>IF($A295="","",MAX(0,($X295-$Y295)*$L295/100))</x:f>
      </x:c>
      <x:c r="AB295" s="9" t="str">
        <x:f>IF($A295="","",MAX(0,($X295-$Y295)*$M295/100))</x:f>
      </x:c>
      <x:c r="AC295" s="9" t="str">
        <x:f>IF($A295="","",MAX(0,($X295-$Y295)+$J295+$Z295+$N295-$AA295-$AB295-$O295))</x:f>
      </x:c>
    </x:row>
    <x:row r="296">
      <x:c r="A296" s="13"/>
      <x:c r="B296" s="14"/>
      <x:c r="C296" s="8"/>
      <x:c r="D296" s="13"/>
      <x:c r="E296" s="7"/>
      <x:c r="F296" s="13"/>
      <x:c r="G296" s="7"/>
      <x:c r="H296" s="7"/>
      <x:c r="I296" s="10"/>
      <x:c r="J296" s="9"/>
      <x:c r="K296" s="10"/>
      <x:c r="L296" s="10"/>
      <x:c r="M296" s="10"/>
      <x:c r="N296" s="9"/>
      <x:c r="O296" s="9"/>
      <x:c r="P296" s="7"/>
      <x:c r="Q296" s="9"/>
      <x:c r="R296" s="8"/>
      <x:c r="S296" s="9"/>
      <x:c r="T296" s="8"/>
      <x:c r="U296" s="13"/>
      <x:c r="V296" s="7"/>
      <x:c r="W296" s="7"/>
      <x:c r="X296" s="9" t="str">
        <x:f>IF($A296="","",SUMIF(Purchase_Items!$A$2:$A$501,$A296,Purchase_Items!$P$2:$P$501))</x:f>
      </x:c>
      <x:c r="Y296" s="9" t="str">
        <x:f>IF($A296="","",$X296*$I296/100)</x:f>
      </x:c>
      <x:c r="Z296" s="9" t="str">
        <x:f>IF($A296="","",MAX(0,($X296-$Y296)*$K296/100))</x:f>
      </x:c>
      <x:c r="AA296" s="9" t="str">
        <x:f>IF($A296="","",MAX(0,($X296-$Y296)*$L296/100))</x:f>
      </x:c>
      <x:c r="AB296" s="9" t="str">
        <x:f>IF($A296="","",MAX(0,($X296-$Y296)*$M296/100))</x:f>
      </x:c>
      <x:c r="AC296" s="9" t="str">
        <x:f>IF($A296="","",MAX(0,($X296-$Y296)+$J296+$Z296+$N296-$AA296-$AB296-$O296))</x:f>
      </x:c>
    </x:row>
    <x:row r="297">
      <x:c r="A297" s="13"/>
      <x:c r="B297" s="14"/>
      <x:c r="C297" s="8"/>
      <x:c r="D297" s="13"/>
      <x:c r="E297" s="7"/>
      <x:c r="F297" s="13"/>
      <x:c r="G297" s="7"/>
      <x:c r="H297" s="7"/>
      <x:c r="I297" s="10"/>
      <x:c r="J297" s="9"/>
      <x:c r="K297" s="10"/>
      <x:c r="L297" s="10"/>
      <x:c r="M297" s="10"/>
      <x:c r="N297" s="9"/>
      <x:c r="O297" s="9"/>
      <x:c r="P297" s="7"/>
      <x:c r="Q297" s="9"/>
      <x:c r="R297" s="8"/>
      <x:c r="S297" s="9"/>
      <x:c r="T297" s="8"/>
      <x:c r="U297" s="13"/>
      <x:c r="V297" s="7"/>
      <x:c r="W297" s="7"/>
      <x:c r="X297" s="9" t="str">
        <x:f>IF($A297="","",SUMIF(Purchase_Items!$A$2:$A$501,$A297,Purchase_Items!$P$2:$P$501))</x:f>
      </x:c>
      <x:c r="Y297" s="9" t="str">
        <x:f>IF($A297="","",$X297*$I297/100)</x:f>
      </x:c>
      <x:c r="Z297" s="9" t="str">
        <x:f>IF($A297="","",MAX(0,($X297-$Y297)*$K297/100))</x:f>
      </x:c>
      <x:c r="AA297" s="9" t="str">
        <x:f>IF($A297="","",MAX(0,($X297-$Y297)*$L297/100))</x:f>
      </x:c>
      <x:c r="AB297" s="9" t="str">
        <x:f>IF($A297="","",MAX(0,($X297-$Y297)*$M297/100))</x:f>
      </x:c>
      <x:c r="AC297" s="9" t="str">
        <x:f>IF($A297="","",MAX(0,($X297-$Y297)+$J297+$Z297+$N297-$AA297-$AB297-$O297))</x:f>
      </x:c>
    </x:row>
    <x:row r="298">
      <x:c r="A298" s="13"/>
      <x:c r="B298" s="14"/>
      <x:c r="C298" s="8"/>
      <x:c r="D298" s="13"/>
      <x:c r="E298" s="7"/>
      <x:c r="F298" s="13"/>
      <x:c r="G298" s="7"/>
      <x:c r="H298" s="7"/>
      <x:c r="I298" s="10"/>
      <x:c r="J298" s="9"/>
      <x:c r="K298" s="10"/>
      <x:c r="L298" s="10"/>
      <x:c r="M298" s="10"/>
      <x:c r="N298" s="9"/>
      <x:c r="O298" s="9"/>
      <x:c r="P298" s="7"/>
      <x:c r="Q298" s="9"/>
      <x:c r="R298" s="8"/>
      <x:c r="S298" s="9"/>
      <x:c r="T298" s="8"/>
      <x:c r="U298" s="13"/>
      <x:c r="V298" s="7"/>
      <x:c r="W298" s="7"/>
      <x:c r="X298" s="9" t="str">
        <x:f>IF($A298="","",SUMIF(Purchase_Items!$A$2:$A$501,$A298,Purchase_Items!$P$2:$P$501))</x:f>
      </x:c>
      <x:c r="Y298" s="9" t="str">
        <x:f>IF($A298="","",$X298*$I298/100)</x:f>
      </x:c>
      <x:c r="Z298" s="9" t="str">
        <x:f>IF($A298="","",MAX(0,($X298-$Y298)*$K298/100))</x:f>
      </x:c>
      <x:c r="AA298" s="9" t="str">
        <x:f>IF($A298="","",MAX(0,($X298-$Y298)*$L298/100))</x:f>
      </x:c>
      <x:c r="AB298" s="9" t="str">
        <x:f>IF($A298="","",MAX(0,($X298-$Y298)*$M298/100))</x:f>
      </x:c>
      <x:c r="AC298" s="9" t="str">
        <x:f>IF($A298="","",MAX(0,($X298-$Y298)+$J298+$Z298+$N298-$AA298-$AB298-$O298))</x:f>
      </x:c>
    </x:row>
    <x:row r="299">
      <x:c r="A299" s="13"/>
      <x:c r="B299" s="14"/>
      <x:c r="C299" s="8"/>
      <x:c r="D299" s="13"/>
      <x:c r="E299" s="7"/>
      <x:c r="F299" s="13"/>
      <x:c r="G299" s="7"/>
      <x:c r="H299" s="7"/>
      <x:c r="I299" s="10"/>
      <x:c r="J299" s="9"/>
      <x:c r="K299" s="10"/>
      <x:c r="L299" s="10"/>
      <x:c r="M299" s="10"/>
      <x:c r="N299" s="9"/>
      <x:c r="O299" s="9"/>
      <x:c r="P299" s="7"/>
      <x:c r="Q299" s="9"/>
      <x:c r="R299" s="8"/>
      <x:c r="S299" s="9"/>
      <x:c r="T299" s="8"/>
      <x:c r="U299" s="13"/>
      <x:c r="V299" s="7"/>
      <x:c r="W299" s="7"/>
      <x:c r="X299" s="9" t="str">
        <x:f>IF($A299="","",SUMIF(Purchase_Items!$A$2:$A$501,$A299,Purchase_Items!$P$2:$P$501))</x:f>
      </x:c>
      <x:c r="Y299" s="9" t="str">
        <x:f>IF($A299="","",$X299*$I299/100)</x:f>
      </x:c>
      <x:c r="Z299" s="9" t="str">
        <x:f>IF($A299="","",MAX(0,($X299-$Y299)*$K299/100))</x:f>
      </x:c>
      <x:c r="AA299" s="9" t="str">
        <x:f>IF($A299="","",MAX(0,($X299-$Y299)*$L299/100))</x:f>
      </x:c>
      <x:c r="AB299" s="9" t="str">
        <x:f>IF($A299="","",MAX(0,($X299-$Y299)*$M299/100))</x:f>
      </x:c>
      <x:c r="AC299" s="9" t="str">
        <x:f>IF($A299="","",MAX(0,($X299-$Y299)+$J299+$Z299+$N299-$AA299-$AB299-$O299))</x:f>
      </x:c>
    </x:row>
    <x:row r="300">
      <x:c r="A300" s="13"/>
      <x:c r="B300" s="14"/>
      <x:c r="C300" s="8"/>
      <x:c r="D300" s="13"/>
      <x:c r="E300" s="7"/>
      <x:c r="F300" s="13"/>
      <x:c r="G300" s="7"/>
      <x:c r="H300" s="7"/>
      <x:c r="I300" s="10"/>
      <x:c r="J300" s="9"/>
      <x:c r="K300" s="10"/>
      <x:c r="L300" s="10"/>
      <x:c r="M300" s="10"/>
      <x:c r="N300" s="9"/>
      <x:c r="O300" s="9"/>
      <x:c r="P300" s="7"/>
      <x:c r="Q300" s="9"/>
      <x:c r="R300" s="8"/>
      <x:c r="S300" s="9"/>
      <x:c r="T300" s="8"/>
      <x:c r="U300" s="13"/>
      <x:c r="V300" s="7"/>
      <x:c r="W300" s="7"/>
      <x:c r="X300" s="9" t="str">
        <x:f>IF($A300="","",SUMIF(Purchase_Items!$A$2:$A$501,$A300,Purchase_Items!$P$2:$P$501))</x:f>
      </x:c>
      <x:c r="Y300" s="9" t="str">
        <x:f>IF($A300="","",$X300*$I300/100)</x:f>
      </x:c>
      <x:c r="Z300" s="9" t="str">
        <x:f>IF($A300="","",MAX(0,($X300-$Y300)*$K300/100))</x:f>
      </x:c>
      <x:c r="AA300" s="9" t="str">
        <x:f>IF($A300="","",MAX(0,($X300-$Y300)*$L300/100))</x:f>
      </x:c>
      <x:c r="AB300" s="9" t="str">
        <x:f>IF($A300="","",MAX(0,($X300-$Y300)*$M300/100))</x:f>
      </x:c>
      <x:c r="AC300" s="9" t="str">
        <x:f>IF($A300="","",MAX(0,($X300-$Y300)+$J300+$Z300+$N300-$AA300-$AB300-$O300))</x:f>
      </x:c>
    </x:row>
    <x:row r="301">
      <x:c r="A301" s="13"/>
      <x:c r="B301" s="14"/>
      <x:c r="C301" s="8"/>
      <x:c r="D301" s="13"/>
      <x:c r="E301" s="7"/>
      <x:c r="F301" s="13"/>
      <x:c r="G301" s="7"/>
      <x:c r="H301" s="7"/>
      <x:c r="I301" s="10"/>
      <x:c r="J301" s="9"/>
      <x:c r="K301" s="10"/>
      <x:c r="L301" s="10"/>
      <x:c r="M301" s="10"/>
      <x:c r="N301" s="9"/>
      <x:c r="O301" s="9"/>
      <x:c r="P301" s="7"/>
      <x:c r="Q301" s="9"/>
      <x:c r="R301" s="8"/>
      <x:c r="S301" s="9"/>
      <x:c r="T301" s="8"/>
      <x:c r="U301" s="13"/>
      <x:c r="V301" s="7"/>
      <x:c r="W301" s="7"/>
      <x:c r="X301" s="9" t="str">
        <x:f>IF($A301="","",SUMIF(Purchase_Items!$A$2:$A$501,$A301,Purchase_Items!$P$2:$P$501))</x:f>
      </x:c>
      <x:c r="Y301" s="9" t="str">
        <x:f>IF($A301="","",$X301*$I301/100)</x:f>
      </x:c>
      <x:c r="Z301" s="9" t="str">
        <x:f>IF($A301="","",MAX(0,($X301-$Y301)*$K301/100))</x:f>
      </x:c>
      <x:c r="AA301" s="9" t="str">
        <x:f>IF($A301="","",MAX(0,($X301-$Y301)*$L301/100))</x:f>
      </x:c>
      <x:c r="AB301" s="9" t="str">
        <x:f>IF($A301="","",MAX(0,($X301-$Y301)*$M301/100))</x:f>
      </x:c>
      <x:c r="AC301" s="9" t="str">
        <x:f>IF($A301="","",MAX(0,($X301-$Y301)+$J301+$Z301+$N301-$AA301-$AB301-$O301))</x:f>
      </x:c>
    </x:row>
    <x:row r="302">
      <x:c r="A302" s="13"/>
      <x:c r="B302" s="14"/>
      <x:c r="C302" s="8"/>
      <x:c r="D302" s="13"/>
      <x:c r="E302" s="7"/>
      <x:c r="F302" s="13"/>
      <x:c r="G302" s="7"/>
      <x:c r="H302" s="7"/>
      <x:c r="I302" s="10"/>
      <x:c r="J302" s="9"/>
      <x:c r="K302" s="10"/>
      <x:c r="L302" s="10"/>
      <x:c r="M302" s="10"/>
      <x:c r="N302" s="9"/>
      <x:c r="O302" s="9"/>
      <x:c r="P302" s="7"/>
      <x:c r="Q302" s="9"/>
      <x:c r="R302" s="8"/>
      <x:c r="S302" s="9"/>
      <x:c r="T302" s="8"/>
      <x:c r="U302" s="13"/>
      <x:c r="V302" s="7"/>
      <x:c r="W302" s="7"/>
      <x:c r="X302" s="9" t="str">
        <x:f>IF($A302="","",SUMIF(Purchase_Items!$A$2:$A$501,$A302,Purchase_Items!$P$2:$P$501))</x:f>
      </x:c>
      <x:c r="Y302" s="9" t="str">
        <x:f>IF($A302="","",$X302*$I302/100)</x:f>
      </x:c>
      <x:c r="Z302" s="9" t="str">
        <x:f>IF($A302="","",MAX(0,($X302-$Y302)*$K302/100))</x:f>
      </x:c>
      <x:c r="AA302" s="9" t="str">
        <x:f>IF($A302="","",MAX(0,($X302-$Y302)*$L302/100))</x:f>
      </x:c>
      <x:c r="AB302" s="9" t="str">
        <x:f>IF($A302="","",MAX(0,($X302-$Y302)*$M302/100))</x:f>
      </x:c>
      <x:c r="AC302" s="9" t="str">
        <x:f>IF($A302="","",MAX(0,($X302-$Y302)+$J302+$Z302+$N302-$AA302-$AB302-$O302))</x:f>
      </x:c>
    </x:row>
    <x:row r="303">
      <x:c r="A303" s="13"/>
      <x:c r="B303" s="14"/>
      <x:c r="C303" s="8"/>
      <x:c r="D303" s="13"/>
      <x:c r="E303" s="7"/>
      <x:c r="F303" s="13"/>
      <x:c r="G303" s="7"/>
      <x:c r="H303" s="7"/>
      <x:c r="I303" s="10"/>
      <x:c r="J303" s="9"/>
      <x:c r="K303" s="10"/>
      <x:c r="L303" s="10"/>
      <x:c r="M303" s="10"/>
      <x:c r="N303" s="9"/>
      <x:c r="O303" s="9"/>
      <x:c r="P303" s="7"/>
      <x:c r="Q303" s="9"/>
      <x:c r="R303" s="8"/>
      <x:c r="S303" s="9"/>
      <x:c r="T303" s="8"/>
      <x:c r="U303" s="13"/>
      <x:c r="V303" s="7"/>
      <x:c r="W303" s="7"/>
      <x:c r="X303" s="9" t="str">
        <x:f>IF($A303="","",SUMIF(Purchase_Items!$A$2:$A$501,$A303,Purchase_Items!$P$2:$P$501))</x:f>
      </x:c>
      <x:c r="Y303" s="9" t="str">
        <x:f>IF($A303="","",$X303*$I303/100)</x:f>
      </x:c>
      <x:c r="Z303" s="9" t="str">
        <x:f>IF($A303="","",MAX(0,($X303-$Y303)*$K303/100))</x:f>
      </x:c>
      <x:c r="AA303" s="9" t="str">
        <x:f>IF($A303="","",MAX(0,($X303-$Y303)*$L303/100))</x:f>
      </x:c>
      <x:c r="AB303" s="9" t="str">
        <x:f>IF($A303="","",MAX(0,($X303-$Y303)*$M303/100))</x:f>
      </x:c>
      <x:c r="AC303" s="9" t="str">
        <x:f>IF($A303="","",MAX(0,($X303-$Y303)+$J303+$Z303+$N303-$AA303-$AB303-$O303))</x:f>
      </x:c>
    </x:row>
    <x:row r="304">
      <x:c r="A304" s="13"/>
      <x:c r="B304" s="14"/>
      <x:c r="C304" s="8"/>
      <x:c r="D304" s="13"/>
      <x:c r="E304" s="7"/>
      <x:c r="F304" s="13"/>
      <x:c r="G304" s="7"/>
      <x:c r="H304" s="7"/>
      <x:c r="I304" s="10"/>
      <x:c r="J304" s="9"/>
      <x:c r="K304" s="10"/>
      <x:c r="L304" s="10"/>
      <x:c r="M304" s="10"/>
      <x:c r="N304" s="9"/>
      <x:c r="O304" s="9"/>
      <x:c r="P304" s="7"/>
      <x:c r="Q304" s="9"/>
      <x:c r="R304" s="8"/>
      <x:c r="S304" s="9"/>
      <x:c r="T304" s="8"/>
      <x:c r="U304" s="13"/>
      <x:c r="V304" s="7"/>
      <x:c r="W304" s="7"/>
      <x:c r="X304" s="9" t="str">
        <x:f>IF($A304="","",SUMIF(Purchase_Items!$A$2:$A$501,$A304,Purchase_Items!$P$2:$P$501))</x:f>
      </x:c>
      <x:c r="Y304" s="9" t="str">
        <x:f>IF($A304="","",$X304*$I304/100)</x:f>
      </x:c>
      <x:c r="Z304" s="9" t="str">
        <x:f>IF($A304="","",MAX(0,($X304-$Y304)*$K304/100))</x:f>
      </x:c>
      <x:c r="AA304" s="9" t="str">
        <x:f>IF($A304="","",MAX(0,($X304-$Y304)*$L304/100))</x:f>
      </x:c>
      <x:c r="AB304" s="9" t="str">
        <x:f>IF($A304="","",MAX(0,($X304-$Y304)*$M304/100))</x:f>
      </x:c>
      <x:c r="AC304" s="9" t="str">
        <x:f>IF($A304="","",MAX(0,($X304-$Y304)+$J304+$Z304+$N304-$AA304-$AB304-$O304))</x:f>
      </x:c>
    </x:row>
    <x:row r="305">
      <x:c r="A305" s="13"/>
      <x:c r="B305" s="14"/>
      <x:c r="C305" s="8"/>
      <x:c r="D305" s="13"/>
      <x:c r="E305" s="7"/>
      <x:c r="F305" s="13"/>
      <x:c r="G305" s="7"/>
      <x:c r="H305" s="7"/>
      <x:c r="I305" s="10"/>
      <x:c r="J305" s="9"/>
      <x:c r="K305" s="10"/>
      <x:c r="L305" s="10"/>
      <x:c r="M305" s="10"/>
      <x:c r="N305" s="9"/>
      <x:c r="O305" s="9"/>
      <x:c r="P305" s="7"/>
      <x:c r="Q305" s="9"/>
      <x:c r="R305" s="8"/>
      <x:c r="S305" s="9"/>
      <x:c r="T305" s="8"/>
      <x:c r="U305" s="13"/>
      <x:c r="V305" s="7"/>
      <x:c r="W305" s="7"/>
      <x:c r="X305" s="9" t="str">
        <x:f>IF($A305="","",SUMIF(Purchase_Items!$A$2:$A$501,$A305,Purchase_Items!$P$2:$P$501))</x:f>
      </x:c>
      <x:c r="Y305" s="9" t="str">
        <x:f>IF($A305="","",$X305*$I305/100)</x:f>
      </x:c>
      <x:c r="Z305" s="9" t="str">
        <x:f>IF($A305="","",MAX(0,($X305-$Y305)*$K305/100))</x:f>
      </x:c>
      <x:c r="AA305" s="9" t="str">
        <x:f>IF($A305="","",MAX(0,($X305-$Y305)*$L305/100))</x:f>
      </x:c>
      <x:c r="AB305" s="9" t="str">
        <x:f>IF($A305="","",MAX(0,($X305-$Y305)*$M305/100))</x:f>
      </x:c>
      <x:c r="AC305" s="9" t="str">
        <x:f>IF($A305="","",MAX(0,($X305-$Y305)+$J305+$Z305+$N305-$AA305-$AB305-$O305))</x:f>
      </x:c>
    </x:row>
    <x:row r="306">
      <x:c r="A306" s="13"/>
      <x:c r="B306" s="14"/>
      <x:c r="C306" s="8"/>
      <x:c r="D306" s="13"/>
      <x:c r="E306" s="7"/>
      <x:c r="F306" s="13"/>
      <x:c r="G306" s="7"/>
      <x:c r="H306" s="7"/>
      <x:c r="I306" s="10"/>
      <x:c r="J306" s="9"/>
      <x:c r="K306" s="10"/>
      <x:c r="L306" s="10"/>
      <x:c r="M306" s="10"/>
      <x:c r="N306" s="9"/>
      <x:c r="O306" s="9"/>
      <x:c r="P306" s="7"/>
      <x:c r="Q306" s="9"/>
      <x:c r="R306" s="8"/>
      <x:c r="S306" s="9"/>
      <x:c r="T306" s="8"/>
      <x:c r="U306" s="13"/>
      <x:c r="V306" s="7"/>
      <x:c r="W306" s="7"/>
      <x:c r="X306" s="9" t="str">
        <x:f>IF($A306="","",SUMIF(Purchase_Items!$A$2:$A$501,$A306,Purchase_Items!$P$2:$P$501))</x:f>
      </x:c>
      <x:c r="Y306" s="9" t="str">
        <x:f>IF($A306="","",$X306*$I306/100)</x:f>
      </x:c>
      <x:c r="Z306" s="9" t="str">
        <x:f>IF($A306="","",MAX(0,($X306-$Y306)*$K306/100))</x:f>
      </x:c>
      <x:c r="AA306" s="9" t="str">
        <x:f>IF($A306="","",MAX(0,($X306-$Y306)*$L306/100))</x:f>
      </x:c>
      <x:c r="AB306" s="9" t="str">
        <x:f>IF($A306="","",MAX(0,($X306-$Y306)*$M306/100))</x:f>
      </x:c>
      <x:c r="AC306" s="9" t="str">
        <x:f>IF($A306="","",MAX(0,($X306-$Y306)+$J306+$Z306+$N306-$AA306-$AB306-$O306))</x:f>
      </x:c>
    </x:row>
    <x:row r="307">
      <x:c r="A307" s="13"/>
      <x:c r="B307" s="14"/>
      <x:c r="C307" s="8"/>
      <x:c r="D307" s="13"/>
      <x:c r="E307" s="7"/>
      <x:c r="F307" s="13"/>
      <x:c r="G307" s="7"/>
      <x:c r="H307" s="7"/>
      <x:c r="I307" s="10"/>
      <x:c r="J307" s="9"/>
      <x:c r="K307" s="10"/>
      <x:c r="L307" s="10"/>
      <x:c r="M307" s="10"/>
      <x:c r="N307" s="9"/>
      <x:c r="O307" s="9"/>
      <x:c r="P307" s="7"/>
      <x:c r="Q307" s="9"/>
      <x:c r="R307" s="8"/>
      <x:c r="S307" s="9"/>
      <x:c r="T307" s="8"/>
      <x:c r="U307" s="13"/>
      <x:c r="V307" s="7"/>
      <x:c r="W307" s="7"/>
      <x:c r="X307" s="9" t="str">
        <x:f>IF($A307="","",SUMIF(Purchase_Items!$A$2:$A$501,$A307,Purchase_Items!$P$2:$P$501))</x:f>
      </x:c>
      <x:c r="Y307" s="9" t="str">
        <x:f>IF($A307="","",$X307*$I307/100)</x:f>
      </x:c>
      <x:c r="Z307" s="9" t="str">
        <x:f>IF($A307="","",MAX(0,($X307-$Y307)*$K307/100))</x:f>
      </x:c>
      <x:c r="AA307" s="9" t="str">
        <x:f>IF($A307="","",MAX(0,($X307-$Y307)*$L307/100))</x:f>
      </x:c>
      <x:c r="AB307" s="9" t="str">
        <x:f>IF($A307="","",MAX(0,($X307-$Y307)*$M307/100))</x:f>
      </x:c>
      <x:c r="AC307" s="9" t="str">
        <x:f>IF($A307="","",MAX(0,($X307-$Y307)+$J307+$Z307+$N307-$AA307-$AB307-$O307))</x:f>
      </x:c>
    </x:row>
    <x:row r="308">
      <x:c r="A308" s="13"/>
      <x:c r="B308" s="14"/>
      <x:c r="C308" s="8"/>
      <x:c r="D308" s="13"/>
      <x:c r="E308" s="7"/>
      <x:c r="F308" s="13"/>
      <x:c r="G308" s="7"/>
      <x:c r="H308" s="7"/>
      <x:c r="I308" s="10"/>
      <x:c r="J308" s="9"/>
      <x:c r="K308" s="10"/>
      <x:c r="L308" s="10"/>
      <x:c r="M308" s="10"/>
      <x:c r="N308" s="9"/>
      <x:c r="O308" s="9"/>
      <x:c r="P308" s="7"/>
      <x:c r="Q308" s="9"/>
      <x:c r="R308" s="8"/>
      <x:c r="S308" s="9"/>
      <x:c r="T308" s="8"/>
      <x:c r="U308" s="13"/>
      <x:c r="V308" s="7"/>
      <x:c r="W308" s="7"/>
      <x:c r="X308" s="9" t="str">
        <x:f>IF($A308="","",SUMIF(Purchase_Items!$A$2:$A$501,$A308,Purchase_Items!$P$2:$P$501))</x:f>
      </x:c>
      <x:c r="Y308" s="9" t="str">
        <x:f>IF($A308="","",$X308*$I308/100)</x:f>
      </x:c>
      <x:c r="Z308" s="9" t="str">
        <x:f>IF($A308="","",MAX(0,($X308-$Y308)*$K308/100))</x:f>
      </x:c>
      <x:c r="AA308" s="9" t="str">
        <x:f>IF($A308="","",MAX(0,($X308-$Y308)*$L308/100))</x:f>
      </x:c>
      <x:c r="AB308" s="9" t="str">
        <x:f>IF($A308="","",MAX(0,($X308-$Y308)*$M308/100))</x:f>
      </x:c>
      <x:c r="AC308" s="9" t="str">
        <x:f>IF($A308="","",MAX(0,($X308-$Y308)+$J308+$Z308+$N308-$AA308-$AB308-$O308))</x:f>
      </x:c>
    </x:row>
    <x:row r="309">
      <x:c r="A309" s="13"/>
      <x:c r="B309" s="14"/>
      <x:c r="C309" s="8"/>
      <x:c r="D309" s="13"/>
      <x:c r="E309" s="7"/>
      <x:c r="F309" s="13"/>
      <x:c r="G309" s="7"/>
      <x:c r="H309" s="7"/>
      <x:c r="I309" s="10"/>
      <x:c r="J309" s="9"/>
      <x:c r="K309" s="10"/>
      <x:c r="L309" s="10"/>
      <x:c r="M309" s="10"/>
      <x:c r="N309" s="9"/>
      <x:c r="O309" s="9"/>
      <x:c r="P309" s="7"/>
      <x:c r="Q309" s="9"/>
      <x:c r="R309" s="8"/>
      <x:c r="S309" s="9"/>
      <x:c r="T309" s="8"/>
      <x:c r="U309" s="13"/>
      <x:c r="V309" s="7"/>
      <x:c r="W309" s="7"/>
      <x:c r="X309" s="9" t="str">
        <x:f>IF($A309="","",SUMIF(Purchase_Items!$A$2:$A$501,$A309,Purchase_Items!$P$2:$P$501))</x:f>
      </x:c>
      <x:c r="Y309" s="9" t="str">
        <x:f>IF($A309="","",$X309*$I309/100)</x:f>
      </x:c>
      <x:c r="Z309" s="9" t="str">
        <x:f>IF($A309="","",MAX(0,($X309-$Y309)*$K309/100))</x:f>
      </x:c>
      <x:c r="AA309" s="9" t="str">
        <x:f>IF($A309="","",MAX(0,($X309-$Y309)*$L309/100))</x:f>
      </x:c>
      <x:c r="AB309" s="9" t="str">
        <x:f>IF($A309="","",MAX(0,($X309-$Y309)*$M309/100))</x:f>
      </x:c>
      <x:c r="AC309" s="9" t="str">
        <x:f>IF($A309="","",MAX(0,($X309-$Y309)+$J309+$Z309+$N309-$AA309-$AB309-$O309))</x:f>
      </x:c>
    </x:row>
    <x:row r="310">
      <x:c r="A310" s="13"/>
      <x:c r="B310" s="14"/>
      <x:c r="C310" s="8"/>
      <x:c r="D310" s="13"/>
      <x:c r="E310" s="7"/>
      <x:c r="F310" s="13"/>
      <x:c r="G310" s="7"/>
      <x:c r="H310" s="7"/>
      <x:c r="I310" s="10"/>
      <x:c r="J310" s="9"/>
      <x:c r="K310" s="10"/>
      <x:c r="L310" s="10"/>
      <x:c r="M310" s="10"/>
      <x:c r="N310" s="9"/>
      <x:c r="O310" s="9"/>
      <x:c r="P310" s="7"/>
      <x:c r="Q310" s="9"/>
      <x:c r="R310" s="8"/>
      <x:c r="S310" s="9"/>
      <x:c r="T310" s="8"/>
      <x:c r="U310" s="13"/>
      <x:c r="V310" s="7"/>
      <x:c r="W310" s="7"/>
      <x:c r="X310" s="9" t="str">
        <x:f>IF($A310="","",SUMIF(Purchase_Items!$A$2:$A$501,$A310,Purchase_Items!$P$2:$P$501))</x:f>
      </x:c>
      <x:c r="Y310" s="9" t="str">
        <x:f>IF($A310="","",$X310*$I310/100)</x:f>
      </x:c>
      <x:c r="Z310" s="9" t="str">
        <x:f>IF($A310="","",MAX(0,($X310-$Y310)*$K310/100))</x:f>
      </x:c>
      <x:c r="AA310" s="9" t="str">
        <x:f>IF($A310="","",MAX(0,($X310-$Y310)*$L310/100))</x:f>
      </x:c>
      <x:c r="AB310" s="9" t="str">
        <x:f>IF($A310="","",MAX(0,($X310-$Y310)*$M310/100))</x:f>
      </x:c>
      <x:c r="AC310" s="9" t="str">
        <x:f>IF($A310="","",MAX(0,($X310-$Y310)+$J310+$Z310+$N310-$AA310-$AB310-$O310))</x:f>
      </x:c>
    </x:row>
    <x:row r="311">
      <x:c r="A311" s="13"/>
      <x:c r="B311" s="14"/>
      <x:c r="C311" s="8"/>
      <x:c r="D311" s="13"/>
      <x:c r="E311" s="7"/>
      <x:c r="F311" s="13"/>
      <x:c r="G311" s="7"/>
      <x:c r="H311" s="7"/>
      <x:c r="I311" s="10"/>
      <x:c r="J311" s="9"/>
      <x:c r="K311" s="10"/>
      <x:c r="L311" s="10"/>
      <x:c r="M311" s="10"/>
      <x:c r="N311" s="9"/>
      <x:c r="O311" s="9"/>
      <x:c r="P311" s="7"/>
      <x:c r="Q311" s="9"/>
      <x:c r="R311" s="8"/>
      <x:c r="S311" s="9"/>
      <x:c r="T311" s="8"/>
      <x:c r="U311" s="13"/>
      <x:c r="V311" s="7"/>
      <x:c r="W311" s="7"/>
      <x:c r="X311" s="9" t="str">
        <x:f>IF($A311="","",SUMIF(Purchase_Items!$A$2:$A$501,$A311,Purchase_Items!$P$2:$P$501))</x:f>
      </x:c>
      <x:c r="Y311" s="9" t="str">
        <x:f>IF($A311="","",$X311*$I311/100)</x:f>
      </x:c>
      <x:c r="Z311" s="9" t="str">
        <x:f>IF($A311="","",MAX(0,($X311-$Y311)*$K311/100))</x:f>
      </x:c>
      <x:c r="AA311" s="9" t="str">
        <x:f>IF($A311="","",MAX(0,($X311-$Y311)*$L311/100))</x:f>
      </x:c>
      <x:c r="AB311" s="9" t="str">
        <x:f>IF($A311="","",MAX(0,($X311-$Y311)*$M311/100))</x:f>
      </x:c>
      <x:c r="AC311" s="9" t="str">
        <x:f>IF($A311="","",MAX(0,($X311-$Y311)+$J311+$Z311+$N311-$AA311-$AB311-$O311))</x:f>
      </x:c>
    </x:row>
    <x:row r="312">
      <x:c r="A312" s="13"/>
      <x:c r="B312" s="14"/>
      <x:c r="C312" s="8"/>
      <x:c r="D312" s="13"/>
      <x:c r="E312" s="7"/>
      <x:c r="F312" s="13"/>
      <x:c r="G312" s="7"/>
      <x:c r="H312" s="7"/>
      <x:c r="I312" s="10"/>
      <x:c r="J312" s="9"/>
      <x:c r="K312" s="10"/>
      <x:c r="L312" s="10"/>
      <x:c r="M312" s="10"/>
      <x:c r="N312" s="9"/>
      <x:c r="O312" s="9"/>
      <x:c r="P312" s="7"/>
      <x:c r="Q312" s="9"/>
      <x:c r="R312" s="8"/>
      <x:c r="S312" s="9"/>
      <x:c r="T312" s="8"/>
      <x:c r="U312" s="13"/>
      <x:c r="V312" s="7"/>
      <x:c r="W312" s="7"/>
      <x:c r="X312" s="9" t="str">
        <x:f>IF($A312="","",SUMIF(Purchase_Items!$A$2:$A$501,$A312,Purchase_Items!$P$2:$P$501))</x:f>
      </x:c>
      <x:c r="Y312" s="9" t="str">
        <x:f>IF($A312="","",$X312*$I312/100)</x:f>
      </x:c>
      <x:c r="Z312" s="9" t="str">
        <x:f>IF($A312="","",MAX(0,($X312-$Y312)*$K312/100))</x:f>
      </x:c>
      <x:c r="AA312" s="9" t="str">
        <x:f>IF($A312="","",MAX(0,($X312-$Y312)*$L312/100))</x:f>
      </x:c>
      <x:c r="AB312" s="9" t="str">
        <x:f>IF($A312="","",MAX(0,($X312-$Y312)*$M312/100))</x:f>
      </x:c>
      <x:c r="AC312" s="9" t="str">
        <x:f>IF($A312="","",MAX(0,($X312-$Y312)+$J312+$Z312+$N312-$AA312-$AB312-$O312))</x:f>
      </x:c>
    </x:row>
    <x:row r="313">
      <x:c r="A313" s="13"/>
      <x:c r="B313" s="14"/>
      <x:c r="C313" s="8"/>
      <x:c r="D313" s="13"/>
      <x:c r="E313" s="7"/>
      <x:c r="F313" s="13"/>
      <x:c r="G313" s="7"/>
      <x:c r="H313" s="7"/>
      <x:c r="I313" s="10"/>
      <x:c r="J313" s="9"/>
      <x:c r="K313" s="10"/>
      <x:c r="L313" s="10"/>
      <x:c r="M313" s="10"/>
      <x:c r="N313" s="9"/>
      <x:c r="O313" s="9"/>
      <x:c r="P313" s="7"/>
      <x:c r="Q313" s="9"/>
      <x:c r="R313" s="8"/>
      <x:c r="S313" s="9"/>
      <x:c r="T313" s="8"/>
      <x:c r="U313" s="13"/>
      <x:c r="V313" s="7"/>
      <x:c r="W313" s="7"/>
      <x:c r="X313" s="9" t="str">
        <x:f>IF($A313="","",SUMIF(Purchase_Items!$A$2:$A$501,$A313,Purchase_Items!$P$2:$P$501))</x:f>
      </x:c>
      <x:c r="Y313" s="9" t="str">
        <x:f>IF($A313="","",$X313*$I313/100)</x:f>
      </x:c>
      <x:c r="Z313" s="9" t="str">
        <x:f>IF($A313="","",MAX(0,($X313-$Y313)*$K313/100))</x:f>
      </x:c>
      <x:c r="AA313" s="9" t="str">
        <x:f>IF($A313="","",MAX(0,($X313-$Y313)*$L313/100))</x:f>
      </x:c>
      <x:c r="AB313" s="9" t="str">
        <x:f>IF($A313="","",MAX(0,($X313-$Y313)*$M313/100))</x:f>
      </x:c>
      <x:c r="AC313" s="9" t="str">
        <x:f>IF($A313="","",MAX(0,($X313-$Y313)+$J313+$Z313+$N313-$AA313-$AB313-$O313))</x:f>
      </x:c>
    </x:row>
    <x:row r="314">
      <x:c r="A314" s="13"/>
      <x:c r="B314" s="14"/>
      <x:c r="C314" s="8"/>
      <x:c r="D314" s="13"/>
      <x:c r="E314" s="7"/>
      <x:c r="F314" s="13"/>
      <x:c r="G314" s="7"/>
      <x:c r="H314" s="7"/>
      <x:c r="I314" s="10"/>
      <x:c r="J314" s="9"/>
      <x:c r="K314" s="10"/>
      <x:c r="L314" s="10"/>
      <x:c r="M314" s="10"/>
      <x:c r="N314" s="9"/>
      <x:c r="O314" s="9"/>
      <x:c r="P314" s="7"/>
      <x:c r="Q314" s="9"/>
      <x:c r="R314" s="8"/>
      <x:c r="S314" s="9"/>
      <x:c r="T314" s="8"/>
      <x:c r="U314" s="13"/>
      <x:c r="V314" s="7"/>
      <x:c r="W314" s="7"/>
      <x:c r="X314" s="9" t="str">
        <x:f>IF($A314="","",SUMIF(Purchase_Items!$A$2:$A$501,$A314,Purchase_Items!$P$2:$P$501))</x:f>
      </x:c>
      <x:c r="Y314" s="9" t="str">
        <x:f>IF($A314="","",$X314*$I314/100)</x:f>
      </x:c>
      <x:c r="Z314" s="9" t="str">
        <x:f>IF($A314="","",MAX(0,($X314-$Y314)*$K314/100))</x:f>
      </x:c>
      <x:c r="AA314" s="9" t="str">
        <x:f>IF($A314="","",MAX(0,($X314-$Y314)*$L314/100))</x:f>
      </x:c>
      <x:c r="AB314" s="9" t="str">
        <x:f>IF($A314="","",MAX(0,($X314-$Y314)*$M314/100))</x:f>
      </x:c>
      <x:c r="AC314" s="9" t="str">
        <x:f>IF($A314="","",MAX(0,($X314-$Y314)+$J314+$Z314+$N314-$AA314-$AB314-$O314))</x:f>
      </x:c>
    </x:row>
    <x:row r="315">
      <x:c r="A315" s="13"/>
      <x:c r="B315" s="14"/>
      <x:c r="C315" s="8"/>
      <x:c r="D315" s="13"/>
      <x:c r="E315" s="7"/>
      <x:c r="F315" s="13"/>
      <x:c r="G315" s="7"/>
      <x:c r="H315" s="7"/>
      <x:c r="I315" s="10"/>
      <x:c r="J315" s="9"/>
      <x:c r="K315" s="10"/>
      <x:c r="L315" s="10"/>
      <x:c r="M315" s="10"/>
      <x:c r="N315" s="9"/>
      <x:c r="O315" s="9"/>
      <x:c r="P315" s="7"/>
      <x:c r="Q315" s="9"/>
      <x:c r="R315" s="8"/>
      <x:c r="S315" s="9"/>
      <x:c r="T315" s="8"/>
      <x:c r="U315" s="13"/>
      <x:c r="V315" s="7"/>
      <x:c r="W315" s="7"/>
      <x:c r="X315" s="9" t="str">
        <x:f>IF($A315="","",SUMIF(Purchase_Items!$A$2:$A$501,$A315,Purchase_Items!$P$2:$P$501))</x:f>
      </x:c>
      <x:c r="Y315" s="9" t="str">
        <x:f>IF($A315="","",$X315*$I315/100)</x:f>
      </x:c>
      <x:c r="Z315" s="9" t="str">
        <x:f>IF($A315="","",MAX(0,($X315-$Y315)*$K315/100))</x:f>
      </x:c>
      <x:c r="AA315" s="9" t="str">
        <x:f>IF($A315="","",MAX(0,($X315-$Y315)*$L315/100))</x:f>
      </x:c>
      <x:c r="AB315" s="9" t="str">
        <x:f>IF($A315="","",MAX(0,($X315-$Y315)*$M315/100))</x:f>
      </x:c>
      <x:c r="AC315" s="9" t="str">
        <x:f>IF($A315="","",MAX(0,($X315-$Y315)+$J315+$Z315+$N315-$AA315-$AB315-$O315))</x:f>
      </x:c>
    </x:row>
    <x:row r="316">
      <x:c r="A316" s="13"/>
      <x:c r="B316" s="14"/>
      <x:c r="C316" s="8"/>
      <x:c r="D316" s="13"/>
      <x:c r="E316" s="7"/>
      <x:c r="F316" s="13"/>
      <x:c r="G316" s="7"/>
      <x:c r="H316" s="7"/>
      <x:c r="I316" s="10"/>
      <x:c r="J316" s="9"/>
      <x:c r="K316" s="10"/>
      <x:c r="L316" s="10"/>
      <x:c r="M316" s="10"/>
      <x:c r="N316" s="9"/>
      <x:c r="O316" s="9"/>
      <x:c r="P316" s="7"/>
      <x:c r="Q316" s="9"/>
      <x:c r="R316" s="8"/>
      <x:c r="S316" s="9"/>
      <x:c r="T316" s="8"/>
      <x:c r="U316" s="13"/>
      <x:c r="V316" s="7"/>
      <x:c r="W316" s="7"/>
      <x:c r="X316" s="9" t="str">
        <x:f>IF($A316="","",SUMIF(Purchase_Items!$A$2:$A$501,$A316,Purchase_Items!$P$2:$P$501))</x:f>
      </x:c>
      <x:c r="Y316" s="9" t="str">
        <x:f>IF($A316="","",$X316*$I316/100)</x:f>
      </x:c>
      <x:c r="Z316" s="9" t="str">
        <x:f>IF($A316="","",MAX(0,($X316-$Y316)*$K316/100))</x:f>
      </x:c>
      <x:c r="AA316" s="9" t="str">
        <x:f>IF($A316="","",MAX(0,($X316-$Y316)*$L316/100))</x:f>
      </x:c>
      <x:c r="AB316" s="9" t="str">
        <x:f>IF($A316="","",MAX(0,($X316-$Y316)*$M316/100))</x:f>
      </x:c>
      <x:c r="AC316" s="9" t="str">
        <x:f>IF($A316="","",MAX(0,($X316-$Y316)+$J316+$Z316+$N316-$AA316-$AB316-$O316))</x:f>
      </x:c>
    </x:row>
    <x:row r="317">
      <x:c r="A317" s="13"/>
      <x:c r="B317" s="14"/>
      <x:c r="C317" s="8"/>
      <x:c r="D317" s="13"/>
      <x:c r="E317" s="7"/>
      <x:c r="F317" s="13"/>
      <x:c r="G317" s="7"/>
      <x:c r="H317" s="7"/>
      <x:c r="I317" s="10"/>
      <x:c r="J317" s="9"/>
      <x:c r="K317" s="10"/>
      <x:c r="L317" s="10"/>
      <x:c r="M317" s="10"/>
      <x:c r="N317" s="9"/>
      <x:c r="O317" s="9"/>
      <x:c r="P317" s="7"/>
      <x:c r="Q317" s="9"/>
      <x:c r="R317" s="8"/>
      <x:c r="S317" s="9"/>
      <x:c r="T317" s="8"/>
      <x:c r="U317" s="13"/>
      <x:c r="V317" s="7"/>
      <x:c r="W317" s="7"/>
      <x:c r="X317" s="9" t="str">
        <x:f>IF($A317="","",SUMIF(Purchase_Items!$A$2:$A$501,$A317,Purchase_Items!$P$2:$P$501))</x:f>
      </x:c>
      <x:c r="Y317" s="9" t="str">
        <x:f>IF($A317="","",$X317*$I317/100)</x:f>
      </x:c>
      <x:c r="Z317" s="9" t="str">
        <x:f>IF($A317="","",MAX(0,($X317-$Y317)*$K317/100))</x:f>
      </x:c>
      <x:c r="AA317" s="9" t="str">
        <x:f>IF($A317="","",MAX(0,($X317-$Y317)*$L317/100))</x:f>
      </x:c>
      <x:c r="AB317" s="9" t="str">
        <x:f>IF($A317="","",MAX(0,($X317-$Y317)*$M317/100))</x:f>
      </x:c>
      <x:c r="AC317" s="9" t="str">
        <x:f>IF($A317="","",MAX(0,($X317-$Y317)+$J317+$Z317+$N317-$AA317-$AB317-$O317))</x:f>
      </x:c>
    </x:row>
    <x:row r="318">
      <x:c r="A318" s="13"/>
      <x:c r="B318" s="14"/>
      <x:c r="C318" s="8"/>
      <x:c r="D318" s="13"/>
      <x:c r="E318" s="7"/>
      <x:c r="F318" s="13"/>
      <x:c r="G318" s="7"/>
      <x:c r="H318" s="7"/>
      <x:c r="I318" s="10"/>
      <x:c r="J318" s="9"/>
      <x:c r="K318" s="10"/>
      <x:c r="L318" s="10"/>
      <x:c r="M318" s="10"/>
      <x:c r="N318" s="9"/>
      <x:c r="O318" s="9"/>
      <x:c r="P318" s="7"/>
      <x:c r="Q318" s="9"/>
      <x:c r="R318" s="8"/>
      <x:c r="S318" s="9"/>
      <x:c r="T318" s="8"/>
      <x:c r="U318" s="13"/>
      <x:c r="V318" s="7"/>
      <x:c r="W318" s="7"/>
      <x:c r="X318" s="9" t="str">
        <x:f>IF($A318="","",SUMIF(Purchase_Items!$A$2:$A$501,$A318,Purchase_Items!$P$2:$P$501))</x:f>
      </x:c>
      <x:c r="Y318" s="9" t="str">
        <x:f>IF($A318="","",$X318*$I318/100)</x:f>
      </x:c>
      <x:c r="Z318" s="9" t="str">
        <x:f>IF($A318="","",MAX(0,($X318-$Y318)*$K318/100))</x:f>
      </x:c>
      <x:c r="AA318" s="9" t="str">
        <x:f>IF($A318="","",MAX(0,($X318-$Y318)*$L318/100))</x:f>
      </x:c>
      <x:c r="AB318" s="9" t="str">
        <x:f>IF($A318="","",MAX(0,($X318-$Y318)*$M318/100))</x:f>
      </x:c>
      <x:c r="AC318" s="9" t="str">
        <x:f>IF($A318="","",MAX(0,($X318-$Y318)+$J318+$Z318+$N318-$AA318-$AB318-$O318))</x:f>
      </x:c>
    </x:row>
    <x:row r="319">
      <x:c r="A319" s="13"/>
      <x:c r="B319" s="14"/>
      <x:c r="C319" s="8"/>
      <x:c r="D319" s="13"/>
      <x:c r="E319" s="7"/>
      <x:c r="F319" s="13"/>
      <x:c r="G319" s="7"/>
      <x:c r="H319" s="7"/>
      <x:c r="I319" s="10"/>
      <x:c r="J319" s="9"/>
      <x:c r="K319" s="10"/>
      <x:c r="L319" s="10"/>
      <x:c r="M319" s="10"/>
      <x:c r="N319" s="9"/>
      <x:c r="O319" s="9"/>
      <x:c r="P319" s="7"/>
      <x:c r="Q319" s="9"/>
      <x:c r="R319" s="8"/>
      <x:c r="S319" s="9"/>
      <x:c r="T319" s="8"/>
      <x:c r="U319" s="13"/>
      <x:c r="V319" s="7"/>
      <x:c r="W319" s="7"/>
      <x:c r="X319" s="9" t="str">
        <x:f>IF($A319="","",SUMIF(Purchase_Items!$A$2:$A$501,$A319,Purchase_Items!$P$2:$P$501))</x:f>
      </x:c>
      <x:c r="Y319" s="9" t="str">
        <x:f>IF($A319="","",$X319*$I319/100)</x:f>
      </x:c>
      <x:c r="Z319" s="9" t="str">
        <x:f>IF($A319="","",MAX(0,($X319-$Y319)*$K319/100))</x:f>
      </x:c>
      <x:c r="AA319" s="9" t="str">
        <x:f>IF($A319="","",MAX(0,($X319-$Y319)*$L319/100))</x:f>
      </x:c>
      <x:c r="AB319" s="9" t="str">
        <x:f>IF($A319="","",MAX(0,($X319-$Y319)*$M319/100))</x:f>
      </x:c>
      <x:c r="AC319" s="9" t="str">
        <x:f>IF($A319="","",MAX(0,($X319-$Y319)+$J319+$Z319+$N319-$AA319-$AB319-$O319))</x:f>
      </x:c>
    </x:row>
    <x:row r="320">
      <x:c r="A320" s="13"/>
      <x:c r="B320" s="14"/>
      <x:c r="C320" s="8"/>
      <x:c r="D320" s="13"/>
      <x:c r="E320" s="7"/>
      <x:c r="F320" s="13"/>
      <x:c r="G320" s="7"/>
      <x:c r="H320" s="7"/>
      <x:c r="I320" s="10"/>
      <x:c r="J320" s="9"/>
      <x:c r="K320" s="10"/>
      <x:c r="L320" s="10"/>
      <x:c r="M320" s="10"/>
      <x:c r="N320" s="9"/>
      <x:c r="O320" s="9"/>
      <x:c r="P320" s="7"/>
      <x:c r="Q320" s="9"/>
      <x:c r="R320" s="8"/>
      <x:c r="S320" s="9"/>
      <x:c r="T320" s="8"/>
      <x:c r="U320" s="13"/>
      <x:c r="V320" s="7"/>
      <x:c r="W320" s="7"/>
      <x:c r="X320" s="9" t="str">
        <x:f>IF($A320="","",SUMIF(Purchase_Items!$A$2:$A$501,$A320,Purchase_Items!$P$2:$P$501))</x:f>
      </x:c>
      <x:c r="Y320" s="9" t="str">
        <x:f>IF($A320="","",$X320*$I320/100)</x:f>
      </x:c>
      <x:c r="Z320" s="9" t="str">
        <x:f>IF($A320="","",MAX(0,($X320-$Y320)*$K320/100))</x:f>
      </x:c>
      <x:c r="AA320" s="9" t="str">
        <x:f>IF($A320="","",MAX(0,($X320-$Y320)*$L320/100))</x:f>
      </x:c>
      <x:c r="AB320" s="9" t="str">
        <x:f>IF($A320="","",MAX(0,($X320-$Y320)*$M320/100))</x:f>
      </x:c>
      <x:c r="AC320" s="9" t="str">
        <x:f>IF($A320="","",MAX(0,($X320-$Y320)+$J320+$Z320+$N320-$AA320-$AB320-$O320))</x:f>
      </x:c>
    </x:row>
    <x:row r="321">
      <x:c r="A321" s="13"/>
      <x:c r="B321" s="14"/>
      <x:c r="C321" s="8"/>
      <x:c r="D321" s="13"/>
      <x:c r="E321" s="7"/>
      <x:c r="F321" s="13"/>
      <x:c r="G321" s="7"/>
      <x:c r="H321" s="7"/>
      <x:c r="I321" s="10"/>
      <x:c r="J321" s="9"/>
      <x:c r="K321" s="10"/>
      <x:c r="L321" s="10"/>
      <x:c r="M321" s="10"/>
      <x:c r="N321" s="9"/>
      <x:c r="O321" s="9"/>
      <x:c r="P321" s="7"/>
      <x:c r="Q321" s="9"/>
      <x:c r="R321" s="8"/>
      <x:c r="S321" s="9"/>
      <x:c r="T321" s="8"/>
      <x:c r="U321" s="13"/>
      <x:c r="V321" s="7"/>
      <x:c r="W321" s="7"/>
      <x:c r="X321" s="9" t="str">
        <x:f>IF($A321="","",SUMIF(Purchase_Items!$A$2:$A$501,$A321,Purchase_Items!$P$2:$P$501))</x:f>
      </x:c>
      <x:c r="Y321" s="9" t="str">
        <x:f>IF($A321="","",$X321*$I321/100)</x:f>
      </x:c>
      <x:c r="Z321" s="9" t="str">
        <x:f>IF($A321="","",MAX(0,($X321-$Y321)*$K321/100))</x:f>
      </x:c>
      <x:c r="AA321" s="9" t="str">
        <x:f>IF($A321="","",MAX(0,($X321-$Y321)*$L321/100))</x:f>
      </x:c>
      <x:c r="AB321" s="9" t="str">
        <x:f>IF($A321="","",MAX(0,($X321-$Y321)*$M321/100))</x:f>
      </x:c>
      <x:c r="AC321" s="9" t="str">
        <x:f>IF($A321="","",MAX(0,($X321-$Y321)+$J321+$Z321+$N321-$AA321-$AB321-$O321))</x:f>
      </x:c>
    </x:row>
    <x:row r="322">
      <x:c r="A322" s="13"/>
      <x:c r="B322" s="14"/>
      <x:c r="C322" s="8"/>
      <x:c r="D322" s="13"/>
      <x:c r="E322" s="7"/>
      <x:c r="F322" s="13"/>
      <x:c r="G322" s="7"/>
      <x:c r="H322" s="7"/>
      <x:c r="I322" s="10"/>
      <x:c r="J322" s="9"/>
      <x:c r="K322" s="10"/>
      <x:c r="L322" s="10"/>
      <x:c r="M322" s="10"/>
      <x:c r="N322" s="9"/>
      <x:c r="O322" s="9"/>
      <x:c r="P322" s="7"/>
      <x:c r="Q322" s="9"/>
      <x:c r="R322" s="8"/>
      <x:c r="S322" s="9"/>
      <x:c r="T322" s="8"/>
      <x:c r="U322" s="13"/>
      <x:c r="V322" s="7"/>
      <x:c r="W322" s="7"/>
      <x:c r="X322" s="9" t="str">
        <x:f>IF($A322="","",SUMIF(Purchase_Items!$A$2:$A$501,$A322,Purchase_Items!$P$2:$P$501))</x:f>
      </x:c>
      <x:c r="Y322" s="9" t="str">
        <x:f>IF($A322="","",$X322*$I322/100)</x:f>
      </x:c>
      <x:c r="Z322" s="9" t="str">
        <x:f>IF($A322="","",MAX(0,($X322-$Y322)*$K322/100))</x:f>
      </x:c>
      <x:c r="AA322" s="9" t="str">
        <x:f>IF($A322="","",MAX(0,($X322-$Y322)*$L322/100))</x:f>
      </x:c>
      <x:c r="AB322" s="9" t="str">
        <x:f>IF($A322="","",MAX(0,($X322-$Y322)*$M322/100))</x:f>
      </x:c>
      <x:c r="AC322" s="9" t="str">
        <x:f>IF($A322="","",MAX(0,($X322-$Y322)+$J322+$Z322+$N322-$AA322-$AB322-$O322))</x:f>
      </x:c>
    </x:row>
    <x:row r="323">
      <x:c r="A323" s="13"/>
      <x:c r="B323" s="14"/>
      <x:c r="C323" s="8"/>
      <x:c r="D323" s="13"/>
      <x:c r="E323" s="7"/>
      <x:c r="F323" s="13"/>
      <x:c r="G323" s="7"/>
      <x:c r="H323" s="7"/>
      <x:c r="I323" s="10"/>
      <x:c r="J323" s="9"/>
      <x:c r="K323" s="10"/>
      <x:c r="L323" s="10"/>
      <x:c r="M323" s="10"/>
      <x:c r="N323" s="9"/>
      <x:c r="O323" s="9"/>
      <x:c r="P323" s="7"/>
      <x:c r="Q323" s="9"/>
      <x:c r="R323" s="8"/>
      <x:c r="S323" s="9"/>
      <x:c r="T323" s="8"/>
      <x:c r="U323" s="13"/>
      <x:c r="V323" s="7"/>
      <x:c r="W323" s="7"/>
      <x:c r="X323" s="9" t="str">
        <x:f>IF($A323="","",SUMIF(Purchase_Items!$A$2:$A$501,$A323,Purchase_Items!$P$2:$P$501))</x:f>
      </x:c>
      <x:c r="Y323" s="9" t="str">
        <x:f>IF($A323="","",$X323*$I323/100)</x:f>
      </x:c>
      <x:c r="Z323" s="9" t="str">
        <x:f>IF($A323="","",MAX(0,($X323-$Y323)*$K323/100))</x:f>
      </x:c>
      <x:c r="AA323" s="9" t="str">
        <x:f>IF($A323="","",MAX(0,($X323-$Y323)*$L323/100))</x:f>
      </x:c>
      <x:c r="AB323" s="9" t="str">
        <x:f>IF($A323="","",MAX(0,($X323-$Y323)*$M323/100))</x:f>
      </x:c>
      <x:c r="AC323" s="9" t="str">
        <x:f>IF($A323="","",MAX(0,($X323-$Y323)+$J323+$Z323+$N323-$AA323-$AB323-$O323))</x:f>
      </x:c>
    </x:row>
    <x:row r="324">
      <x:c r="A324" s="13"/>
      <x:c r="B324" s="14"/>
      <x:c r="C324" s="8"/>
      <x:c r="D324" s="13"/>
      <x:c r="E324" s="7"/>
      <x:c r="F324" s="13"/>
      <x:c r="G324" s="7"/>
      <x:c r="H324" s="7"/>
      <x:c r="I324" s="10"/>
      <x:c r="J324" s="9"/>
      <x:c r="K324" s="10"/>
      <x:c r="L324" s="10"/>
      <x:c r="M324" s="10"/>
      <x:c r="N324" s="9"/>
      <x:c r="O324" s="9"/>
      <x:c r="P324" s="7"/>
      <x:c r="Q324" s="9"/>
      <x:c r="R324" s="8"/>
      <x:c r="S324" s="9"/>
      <x:c r="T324" s="8"/>
      <x:c r="U324" s="13"/>
      <x:c r="V324" s="7"/>
      <x:c r="W324" s="7"/>
      <x:c r="X324" s="9" t="str">
        <x:f>IF($A324="","",SUMIF(Purchase_Items!$A$2:$A$501,$A324,Purchase_Items!$P$2:$P$501))</x:f>
      </x:c>
      <x:c r="Y324" s="9" t="str">
        <x:f>IF($A324="","",$X324*$I324/100)</x:f>
      </x:c>
      <x:c r="Z324" s="9" t="str">
        <x:f>IF($A324="","",MAX(0,($X324-$Y324)*$K324/100))</x:f>
      </x:c>
      <x:c r="AA324" s="9" t="str">
        <x:f>IF($A324="","",MAX(0,($X324-$Y324)*$L324/100))</x:f>
      </x:c>
      <x:c r="AB324" s="9" t="str">
        <x:f>IF($A324="","",MAX(0,($X324-$Y324)*$M324/100))</x:f>
      </x:c>
      <x:c r="AC324" s="9" t="str">
        <x:f>IF($A324="","",MAX(0,($X324-$Y324)+$J324+$Z324+$N324-$AA324-$AB324-$O324))</x:f>
      </x:c>
    </x:row>
    <x:row r="325">
      <x:c r="A325" s="13"/>
      <x:c r="B325" s="14"/>
      <x:c r="C325" s="8"/>
      <x:c r="D325" s="13"/>
      <x:c r="E325" s="7"/>
      <x:c r="F325" s="13"/>
      <x:c r="G325" s="7"/>
      <x:c r="H325" s="7"/>
      <x:c r="I325" s="10"/>
      <x:c r="J325" s="9"/>
      <x:c r="K325" s="10"/>
      <x:c r="L325" s="10"/>
      <x:c r="M325" s="10"/>
      <x:c r="N325" s="9"/>
      <x:c r="O325" s="9"/>
      <x:c r="P325" s="7"/>
      <x:c r="Q325" s="9"/>
      <x:c r="R325" s="8"/>
      <x:c r="S325" s="9"/>
      <x:c r="T325" s="8"/>
      <x:c r="U325" s="13"/>
      <x:c r="V325" s="7"/>
      <x:c r="W325" s="7"/>
      <x:c r="X325" s="9" t="str">
        <x:f>IF($A325="","",SUMIF(Purchase_Items!$A$2:$A$501,$A325,Purchase_Items!$P$2:$P$501))</x:f>
      </x:c>
      <x:c r="Y325" s="9" t="str">
        <x:f>IF($A325="","",$X325*$I325/100)</x:f>
      </x:c>
      <x:c r="Z325" s="9" t="str">
        <x:f>IF($A325="","",MAX(0,($X325-$Y325)*$K325/100))</x:f>
      </x:c>
      <x:c r="AA325" s="9" t="str">
        <x:f>IF($A325="","",MAX(0,($X325-$Y325)*$L325/100))</x:f>
      </x:c>
      <x:c r="AB325" s="9" t="str">
        <x:f>IF($A325="","",MAX(0,($X325-$Y325)*$M325/100))</x:f>
      </x:c>
      <x:c r="AC325" s="9" t="str">
        <x:f>IF($A325="","",MAX(0,($X325-$Y325)+$J325+$Z325+$N325-$AA325-$AB325-$O325))</x:f>
      </x:c>
    </x:row>
    <x:row r="326">
      <x:c r="A326" s="13"/>
      <x:c r="B326" s="14"/>
      <x:c r="C326" s="8"/>
      <x:c r="D326" s="13"/>
      <x:c r="E326" s="7"/>
      <x:c r="F326" s="13"/>
      <x:c r="G326" s="7"/>
      <x:c r="H326" s="7"/>
      <x:c r="I326" s="10"/>
      <x:c r="J326" s="9"/>
      <x:c r="K326" s="10"/>
      <x:c r="L326" s="10"/>
      <x:c r="M326" s="10"/>
      <x:c r="N326" s="9"/>
      <x:c r="O326" s="9"/>
      <x:c r="P326" s="7"/>
      <x:c r="Q326" s="9"/>
      <x:c r="R326" s="8"/>
      <x:c r="S326" s="9"/>
      <x:c r="T326" s="8"/>
      <x:c r="U326" s="13"/>
      <x:c r="V326" s="7"/>
      <x:c r="W326" s="7"/>
      <x:c r="X326" s="9" t="str">
        <x:f>IF($A326="","",SUMIF(Purchase_Items!$A$2:$A$501,$A326,Purchase_Items!$P$2:$P$501))</x:f>
      </x:c>
      <x:c r="Y326" s="9" t="str">
        <x:f>IF($A326="","",$X326*$I326/100)</x:f>
      </x:c>
      <x:c r="Z326" s="9" t="str">
        <x:f>IF($A326="","",MAX(0,($X326-$Y326)*$K326/100))</x:f>
      </x:c>
      <x:c r="AA326" s="9" t="str">
        <x:f>IF($A326="","",MAX(0,($X326-$Y326)*$L326/100))</x:f>
      </x:c>
      <x:c r="AB326" s="9" t="str">
        <x:f>IF($A326="","",MAX(0,($X326-$Y326)*$M326/100))</x:f>
      </x:c>
      <x:c r="AC326" s="9" t="str">
        <x:f>IF($A326="","",MAX(0,($X326-$Y326)+$J326+$Z326+$N326-$AA326-$AB326-$O326))</x:f>
      </x:c>
    </x:row>
    <x:row r="327">
      <x:c r="A327" s="13"/>
      <x:c r="B327" s="14"/>
      <x:c r="C327" s="8"/>
      <x:c r="D327" s="13"/>
      <x:c r="E327" s="7"/>
      <x:c r="F327" s="13"/>
      <x:c r="G327" s="7"/>
      <x:c r="H327" s="7"/>
      <x:c r="I327" s="10"/>
      <x:c r="J327" s="9"/>
      <x:c r="K327" s="10"/>
      <x:c r="L327" s="10"/>
      <x:c r="M327" s="10"/>
      <x:c r="N327" s="9"/>
      <x:c r="O327" s="9"/>
      <x:c r="P327" s="7"/>
      <x:c r="Q327" s="9"/>
      <x:c r="R327" s="8"/>
      <x:c r="S327" s="9"/>
      <x:c r="T327" s="8"/>
      <x:c r="U327" s="13"/>
      <x:c r="V327" s="7"/>
      <x:c r="W327" s="7"/>
      <x:c r="X327" s="9" t="str">
        <x:f>IF($A327="","",SUMIF(Purchase_Items!$A$2:$A$501,$A327,Purchase_Items!$P$2:$P$501))</x:f>
      </x:c>
      <x:c r="Y327" s="9" t="str">
        <x:f>IF($A327="","",$X327*$I327/100)</x:f>
      </x:c>
      <x:c r="Z327" s="9" t="str">
        <x:f>IF($A327="","",MAX(0,($X327-$Y327)*$K327/100))</x:f>
      </x:c>
      <x:c r="AA327" s="9" t="str">
        <x:f>IF($A327="","",MAX(0,($X327-$Y327)*$L327/100))</x:f>
      </x:c>
      <x:c r="AB327" s="9" t="str">
        <x:f>IF($A327="","",MAX(0,($X327-$Y327)*$M327/100))</x:f>
      </x:c>
      <x:c r="AC327" s="9" t="str">
        <x:f>IF($A327="","",MAX(0,($X327-$Y327)+$J327+$Z327+$N327-$AA327-$AB327-$O327))</x:f>
      </x:c>
    </x:row>
    <x:row r="328">
      <x:c r="A328" s="13"/>
      <x:c r="B328" s="14"/>
      <x:c r="C328" s="8"/>
      <x:c r="D328" s="13"/>
      <x:c r="E328" s="7"/>
      <x:c r="F328" s="13"/>
      <x:c r="G328" s="7"/>
      <x:c r="H328" s="7"/>
      <x:c r="I328" s="10"/>
      <x:c r="J328" s="9"/>
      <x:c r="K328" s="10"/>
      <x:c r="L328" s="10"/>
      <x:c r="M328" s="10"/>
      <x:c r="N328" s="9"/>
      <x:c r="O328" s="9"/>
      <x:c r="P328" s="7"/>
      <x:c r="Q328" s="9"/>
      <x:c r="R328" s="8"/>
      <x:c r="S328" s="9"/>
      <x:c r="T328" s="8"/>
      <x:c r="U328" s="13"/>
      <x:c r="V328" s="7"/>
      <x:c r="W328" s="7"/>
      <x:c r="X328" s="9" t="str">
        <x:f>IF($A328="","",SUMIF(Purchase_Items!$A$2:$A$501,$A328,Purchase_Items!$P$2:$P$501))</x:f>
      </x:c>
      <x:c r="Y328" s="9" t="str">
        <x:f>IF($A328="","",$X328*$I328/100)</x:f>
      </x:c>
      <x:c r="Z328" s="9" t="str">
        <x:f>IF($A328="","",MAX(0,($X328-$Y328)*$K328/100))</x:f>
      </x:c>
      <x:c r="AA328" s="9" t="str">
        <x:f>IF($A328="","",MAX(0,($X328-$Y328)*$L328/100))</x:f>
      </x:c>
      <x:c r="AB328" s="9" t="str">
        <x:f>IF($A328="","",MAX(0,($X328-$Y328)*$M328/100))</x:f>
      </x:c>
      <x:c r="AC328" s="9" t="str">
        <x:f>IF($A328="","",MAX(0,($X328-$Y328)+$J328+$Z328+$N328-$AA328-$AB328-$O328))</x:f>
      </x:c>
    </x:row>
    <x:row r="329">
      <x:c r="A329" s="13"/>
      <x:c r="B329" s="14"/>
      <x:c r="C329" s="8"/>
      <x:c r="D329" s="13"/>
      <x:c r="E329" s="7"/>
      <x:c r="F329" s="13"/>
      <x:c r="G329" s="7"/>
      <x:c r="H329" s="7"/>
      <x:c r="I329" s="10"/>
      <x:c r="J329" s="9"/>
      <x:c r="K329" s="10"/>
      <x:c r="L329" s="10"/>
      <x:c r="M329" s="10"/>
      <x:c r="N329" s="9"/>
      <x:c r="O329" s="9"/>
      <x:c r="P329" s="7"/>
      <x:c r="Q329" s="9"/>
      <x:c r="R329" s="8"/>
      <x:c r="S329" s="9"/>
      <x:c r="T329" s="8"/>
      <x:c r="U329" s="13"/>
      <x:c r="V329" s="7"/>
      <x:c r="W329" s="7"/>
      <x:c r="X329" s="9" t="str">
        <x:f>IF($A329="","",SUMIF(Purchase_Items!$A$2:$A$501,$A329,Purchase_Items!$P$2:$P$501))</x:f>
      </x:c>
      <x:c r="Y329" s="9" t="str">
        <x:f>IF($A329="","",$X329*$I329/100)</x:f>
      </x:c>
      <x:c r="Z329" s="9" t="str">
        <x:f>IF($A329="","",MAX(0,($X329-$Y329)*$K329/100))</x:f>
      </x:c>
      <x:c r="AA329" s="9" t="str">
        <x:f>IF($A329="","",MAX(0,($X329-$Y329)*$L329/100))</x:f>
      </x:c>
      <x:c r="AB329" s="9" t="str">
        <x:f>IF($A329="","",MAX(0,($X329-$Y329)*$M329/100))</x:f>
      </x:c>
      <x:c r="AC329" s="9" t="str">
        <x:f>IF($A329="","",MAX(0,($X329-$Y329)+$J329+$Z329+$N329-$AA329-$AB329-$O329))</x:f>
      </x:c>
    </x:row>
    <x:row r="330">
      <x:c r="A330" s="13"/>
      <x:c r="B330" s="14"/>
      <x:c r="C330" s="8"/>
      <x:c r="D330" s="13"/>
      <x:c r="E330" s="7"/>
      <x:c r="F330" s="13"/>
      <x:c r="G330" s="7"/>
      <x:c r="H330" s="7"/>
      <x:c r="I330" s="10"/>
      <x:c r="J330" s="9"/>
      <x:c r="K330" s="10"/>
      <x:c r="L330" s="10"/>
      <x:c r="M330" s="10"/>
      <x:c r="N330" s="9"/>
      <x:c r="O330" s="9"/>
      <x:c r="P330" s="7"/>
      <x:c r="Q330" s="9"/>
      <x:c r="R330" s="8"/>
      <x:c r="S330" s="9"/>
      <x:c r="T330" s="8"/>
      <x:c r="U330" s="13"/>
      <x:c r="V330" s="7"/>
      <x:c r="W330" s="7"/>
      <x:c r="X330" s="9" t="str">
        <x:f>IF($A330="","",SUMIF(Purchase_Items!$A$2:$A$501,$A330,Purchase_Items!$P$2:$P$501))</x:f>
      </x:c>
      <x:c r="Y330" s="9" t="str">
        <x:f>IF($A330="","",$X330*$I330/100)</x:f>
      </x:c>
      <x:c r="Z330" s="9" t="str">
        <x:f>IF($A330="","",MAX(0,($X330-$Y330)*$K330/100))</x:f>
      </x:c>
      <x:c r="AA330" s="9" t="str">
        <x:f>IF($A330="","",MAX(0,($X330-$Y330)*$L330/100))</x:f>
      </x:c>
      <x:c r="AB330" s="9" t="str">
        <x:f>IF($A330="","",MAX(0,($X330-$Y330)*$M330/100))</x:f>
      </x:c>
      <x:c r="AC330" s="9" t="str">
        <x:f>IF($A330="","",MAX(0,($X330-$Y330)+$J330+$Z330+$N330-$AA330-$AB330-$O330))</x:f>
      </x:c>
    </x:row>
    <x:row r="331">
      <x:c r="A331" s="13"/>
      <x:c r="B331" s="14"/>
      <x:c r="C331" s="8"/>
      <x:c r="D331" s="13"/>
      <x:c r="E331" s="7"/>
      <x:c r="F331" s="13"/>
      <x:c r="G331" s="7"/>
      <x:c r="H331" s="7"/>
      <x:c r="I331" s="10"/>
      <x:c r="J331" s="9"/>
      <x:c r="K331" s="10"/>
      <x:c r="L331" s="10"/>
      <x:c r="M331" s="10"/>
      <x:c r="N331" s="9"/>
      <x:c r="O331" s="9"/>
      <x:c r="P331" s="7"/>
      <x:c r="Q331" s="9"/>
      <x:c r="R331" s="8"/>
      <x:c r="S331" s="9"/>
      <x:c r="T331" s="8"/>
      <x:c r="U331" s="13"/>
      <x:c r="V331" s="7"/>
      <x:c r="W331" s="7"/>
      <x:c r="X331" s="9" t="str">
        <x:f>IF($A331="","",SUMIF(Purchase_Items!$A$2:$A$501,$A331,Purchase_Items!$P$2:$P$501))</x:f>
      </x:c>
      <x:c r="Y331" s="9" t="str">
        <x:f>IF($A331="","",$X331*$I331/100)</x:f>
      </x:c>
      <x:c r="Z331" s="9" t="str">
        <x:f>IF($A331="","",MAX(0,($X331-$Y331)*$K331/100))</x:f>
      </x:c>
      <x:c r="AA331" s="9" t="str">
        <x:f>IF($A331="","",MAX(0,($X331-$Y331)*$L331/100))</x:f>
      </x:c>
      <x:c r="AB331" s="9" t="str">
        <x:f>IF($A331="","",MAX(0,($X331-$Y331)*$M331/100))</x:f>
      </x:c>
      <x:c r="AC331" s="9" t="str">
        <x:f>IF($A331="","",MAX(0,($X331-$Y331)+$J331+$Z331+$N331-$AA331-$AB331-$O331))</x:f>
      </x:c>
    </x:row>
    <x:row r="332">
      <x:c r="A332" s="13"/>
      <x:c r="B332" s="14"/>
      <x:c r="C332" s="8"/>
      <x:c r="D332" s="13"/>
      <x:c r="E332" s="7"/>
      <x:c r="F332" s="13"/>
      <x:c r="G332" s="7"/>
      <x:c r="H332" s="7"/>
      <x:c r="I332" s="10"/>
      <x:c r="J332" s="9"/>
      <x:c r="K332" s="10"/>
      <x:c r="L332" s="10"/>
      <x:c r="M332" s="10"/>
      <x:c r="N332" s="9"/>
      <x:c r="O332" s="9"/>
      <x:c r="P332" s="7"/>
      <x:c r="Q332" s="9"/>
      <x:c r="R332" s="8"/>
      <x:c r="S332" s="9"/>
      <x:c r="T332" s="8"/>
      <x:c r="U332" s="13"/>
      <x:c r="V332" s="7"/>
      <x:c r="W332" s="7"/>
      <x:c r="X332" s="9" t="str">
        <x:f>IF($A332="","",SUMIF(Purchase_Items!$A$2:$A$501,$A332,Purchase_Items!$P$2:$P$501))</x:f>
      </x:c>
      <x:c r="Y332" s="9" t="str">
        <x:f>IF($A332="","",$X332*$I332/100)</x:f>
      </x:c>
      <x:c r="Z332" s="9" t="str">
        <x:f>IF($A332="","",MAX(0,($X332-$Y332)*$K332/100))</x:f>
      </x:c>
      <x:c r="AA332" s="9" t="str">
        <x:f>IF($A332="","",MAX(0,($X332-$Y332)*$L332/100))</x:f>
      </x:c>
      <x:c r="AB332" s="9" t="str">
        <x:f>IF($A332="","",MAX(0,($X332-$Y332)*$M332/100))</x:f>
      </x:c>
      <x:c r="AC332" s="9" t="str">
        <x:f>IF($A332="","",MAX(0,($X332-$Y332)+$J332+$Z332+$N332-$AA332-$AB332-$O332))</x:f>
      </x:c>
    </x:row>
    <x:row r="333">
      <x:c r="A333" s="13"/>
      <x:c r="B333" s="14"/>
      <x:c r="C333" s="8"/>
      <x:c r="D333" s="13"/>
      <x:c r="E333" s="7"/>
      <x:c r="F333" s="13"/>
      <x:c r="G333" s="7"/>
      <x:c r="H333" s="7"/>
      <x:c r="I333" s="10"/>
      <x:c r="J333" s="9"/>
      <x:c r="K333" s="10"/>
      <x:c r="L333" s="10"/>
      <x:c r="M333" s="10"/>
      <x:c r="N333" s="9"/>
      <x:c r="O333" s="9"/>
      <x:c r="P333" s="7"/>
      <x:c r="Q333" s="9"/>
      <x:c r="R333" s="8"/>
      <x:c r="S333" s="9"/>
      <x:c r="T333" s="8"/>
      <x:c r="U333" s="13"/>
      <x:c r="V333" s="7"/>
      <x:c r="W333" s="7"/>
      <x:c r="X333" s="9" t="str">
        <x:f>IF($A333="","",SUMIF(Purchase_Items!$A$2:$A$501,$A333,Purchase_Items!$P$2:$P$501))</x:f>
      </x:c>
      <x:c r="Y333" s="9" t="str">
        <x:f>IF($A333="","",$X333*$I333/100)</x:f>
      </x:c>
      <x:c r="Z333" s="9" t="str">
        <x:f>IF($A333="","",MAX(0,($X333-$Y333)*$K333/100))</x:f>
      </x:c>
      <x:c r="AA333" s="9" t="str">
        <x:f>IF($A333="","",MAX(0,($X333-$Y333)*$L333/100))</x:f>
      </x:c>
      <x:c r="AB333" s="9" t="str">
        <x:f>IF($A333="","",MAX(0,($X333-$Y333)*$M333/100))</x:f>
      </x:c>
      <x:c r="AC333" s="9" t="str">
        <x:f>IF($A333="","",MAX(0,($X333-$Y333)+$J333+$Z333+$N333-$AA333-$AB333-$O333))</x:f>
      </x:c>
    </x:row>
    <x:row r="334">
      <x:c r="A334" s="13"/>
      <x:c r="B334" s="14"/>
      <x:c r="C334" s="8"/>
      <x:c r="D334" s="13"/>
      <x:c r="E334" s="7"/>
      <x:c r="F334" s="13"/>
      <x:c r="G334" s="7"/>
      <x:c r="H334" s="7"/>
      <x:c r="I334" s="10"/>
      <x:c r="J334" s="9"/>
      <x:c r="K334" s="10"/>
      <x:c r="L334" s="10"/>
      <x:c r="M334" s="10"/>
      <x:c r="N334" s="9"/>
      <x:c r="O334" s="9"/>
      <x:c r="P334" s="7"/>
      <x:c r="Q334" s="9"/>
      <x:c r="R334" s="8"/>
      <x:c r="S334" s="9"/>
      <x:c r="T334" s="8"/>
      <x:c r="U334" s="13"/>
      <x:c r="V334" s="7"/>
      <x:c r="W334" s="7"/>
      <x:c r="X334" s="9" t="str">
        <x:f>IF($A334="","",SUMIF(Purchase_Items!$A$2:$A$501,$A334,Purchase_Items!$P$2:$P$501))</x:f>
      </x:c>
      <x:c r="Y334" s="9" t="str">
        <x:f>IF($A334="","",$X334*$I334/100)</x:f>
      </x:c>
      <x:c r="Z334" s="9" t="str">
        <x:f>IF($A334="","",MAX(0,($X334-$Y334)*$K334/100))</x:f>
      </x:c>
      <x:c r="AA334" s="9" t="str">
        <x:f>IF($A334="","",MAX(0,($X334-$Y334)*$L334/100))</x:f>
      </x:c>
      <x:c r="AB334" s="9" t="str">
        <x:f>IF($A334="","",MAX(0,($X334-$Y334)*$M334/100))</x:f>
      </x:c>
      <x:c r="AC334" s="9" t="str">
        <x:f>IF($A334="","",MAX(0,($X334-$Y334)+$J334+$Z334+$N334-$AA334-$AB334-$O334))</x:f>
      </x:c>
    </x:row>
    <x:row r="335">
      <x:c r="A335" s="13"/>
      <x:c r="B335" s="14"/>
      <x:c r="C335" s="8"/>
      <x:c r="D335" s="13"/>
      <x:c r="E335" s="7"/>
      <x:c r="F335" s="13"/>
      <x:c r="G335" s="7"/>
      <x:c r="H335" s="7"/>
      <x:c r="I335" s="10"/>
      <x:c r="J335" s="9"/>
      <x:c r="K335" s="10"/>
      <x:c r="L335" s="10"/>
      <x:c r="M335" s="10"/>
      <x:c r="N335" s="9"/>
      <x:c r="O335" s="9"/>
      <x:c r="P335" s="7"/>
      <x:c r="Q335" s="9"/>
      <x:c r="R335" s="8"/>
      <x:c r="S335" s="9"/>
      <x:c r="T335" s="8"/>
      <x:c r="U335" s="13"/>
      <x:c r="V335" s="7"/>
      <x:c r="W335" s="7"/>
      <x:c r="X335" s="9" t="str">
        <x:f>IF($A335="","",SUMIF(Purchase_Items!$A$2:$A$501,$A335,Purchase_Items!$P$2:$P$501))</x:f>
      </x:c>
      <x:c r="Y335" s="9" t="str">
        <x:f>IF($A335="","",$X335*$I335/100)</x:f>
      </x:c>
      <x:c r="Z335" s="9" t="str">
        <x:f>IF($A335="","",MAX(0,($X335-$Y335)*$K335/100))</x:f>
      </x:c>
      <x:c r="AA335" s="9" t="str">
        <x:f>IF($A335="","",MAX(0,($X335-$Y335)*$L335/100))</x:f>
      </x:c>
      <x:c r="AB335" s="9" t="str">
        <x:f>IF($A335="","",MAX(0,($X335-$Y335)*$M335/100))</x:f>
      </x:c>
      <x:c r="AC335" s="9" t="str">
        <x:f>IF($A335="","",MAX(0,($X335-$Y335)+$J335+$Z335+$N335-$AA335-$AB335-$O335))</x:f>
      </x:c>
    </x:row>
    <x:row r="336">
      <x:c r="A336" s="13"/>
      <x:c r="B336" s="14"/>
      <x:c r="C336" s="8"/>
      <x:c r="D336" s="13"/>
      <x:c r="E336" s="7"/>
      <x:c r="F336" s="13"/>
      <x:c r="G336" s="7"/>
      <x:c r="H336" s="7"/>
      <x:c r="I336" s="10"/>
      <x:c r="J336" s="9"/>
      <x:c r="K336" s="10"/>
      <x:c r="L336" s="10"/>
      <x:c r="M336" s="10"/>
      <x:c r="N336" s="9"/>
      <x:c r="O336" s="9"/>
      <x:c r="P336" s="7"/>
      <x:c r="Q336" s="9"/>
      <x:c r="R336" s="8"/>
      <x:c r="S336" s="9"/>
      <x:c r="T336" s="8"/>
      <x:c r="U336" s="13"/>
      <x:c r="V336" s="7"/>
      <x:c r="W336" s="7"/>
      <x:c r="X336" s="9" t="str">
        <x:f>IF($A336="","",SUMIF(Purchase_Items!$A$2:$A$501,$A336,Purchase_Items!$P$2:$P$501))</x:f>
      </x:c>
      <x:c r="Y336" s="9" t="str">
        <x:f>IF($A336="","",$X336*$I336/100)</x:f>
      </x:c>
      <x:c r="Z336" s="9" t="str">
        <x:f>IF($A336="","",MAX(0,($X336-$Y336)*$K336/100))</x:f>
      </x:c>
      <x:c r="AA336" s="9" t="str">
        <x:f>IF($A336="","",MAX(0,($X336-$Y336)*$L336/100))</x:f>
      </x:c>
      <x:c r="AB336" s="9" t="str">
        <x:f>IF($A336="","",MAX(0,($X336-$Y336)*$M336/100))</x:f>
      </x:c>
      <x:c r="AC336" s="9" t="str">
        <x:f>IF($A336="","",MAX(0,($X336-$Y336)+$J336+$Z336+$N336-$AA336-$AB336-$O336))</x:f>
      </x:c>
    </x:row>
    <x:row r="337">
      <x:c r="A337" s="13"/>
      <x:c r="B337" s="14"/>
      <x:c r="C337" s="8"/>
      <x:c r="D337" s="13"/>
      <x:c r="E337" s="7"/>
      <x:c r="F337" s="13"/>
      <x:c r="G337" s="7"/>
      <x:c r="H337" s="7"/>
      <x:c r="I337" s="10"/>
      <x:c r="J337" s="9"/>
      <x:c r="K337" s="10"/>
      <x:c r="L337" s="10"/>
      <x:c r="M337" s="10"/>
      <x:c r="N337" s="9"/>
      <x:c r="O337" s="9"/>
      <x:c r="P337" s="7"/>
      <x:c r="Q337" s="9"/>
      <x:c r="R337" s="8"/>
      <x:c r="S337" s="9"/>
      <x:c r="T337" s="8"/>
      <x:c r="U337" s="13"/>
      <x:c r="V337" s="7"/>
      <x:c r="W337" s="7"/>
      <x:c r="X337" s="9" t="str">
        <x:f>IF($A337="","",SUMIF(Purchase_Items!$A$2:$A$501,$A337,Purchase_Items!$P$2:$P$501))</x:f>
      </x:c>
      <x:c r="Y337" s="9" t="str">
        <x:f>IF($A337="","",$X337*$I337/100)</x:f>
      </x:c>
      <x:c r="Z337" s="9" t="str">
        <x:f>IF($A337="","",MAX(0,($X337-$Y337)*$K337/100))</x:f>
      </x:c>
      <x:c r="AA337" s="9" t="str">
        <x:f>IF($A337="","",MAX(0,($X337-$Y337)*$L337/100))</x:f>
      </x:c>
      <x:c r="AB337" s="9" t="str">
        <x:f>IF($A337="","",MAX(0,($X337-$Y337)*$M337/100))</x:f>
      </x:c>
      <x:c r="AC337" s="9" t="str">
        <x:f>IF($A337="","",MAX(0,($X337-$Y337)+$J337+$Z337+$N337-$AA337-$AB337-$O337))</x:f>
      </x:c>
    </x:row>
    <x:row r="338">
      <x:c r="A338" s="13"/>
      <x:c r="B338" s="14"/>
      <x:c r="C338" s="8"/>
      <x:c r="D338" s="13"/>
      <x:c r="E338" s="7"/>
      <x:c r="F338" s="13"/>
      <x:c r="G338" s="7"/>
      <x:c r="H338" s="7"/>
      <x:c r="I338" s="10"/>
      <x:c r="J338" s="9"/>
      <x:c r="K338" s="10"/>
      <x:c r="L338" s="10"/>
      <x:c r="M338" s="10"/>
      <x:c r="N338" s="9"/>
      <x:c r="O338" s="9"/>
      <x:c r="P338" s="7"/>
      <x:c r="Q338" s="9"/>
      <x:c r="R338" s="8"/>
      <x:c r="S338" s="9"/>
      <x:c r="T338" s="8"/>
      <x:c r="U338" s="13"/>
      <x:c r="V338" s="7"/>
      <x:c r="W338" s="7"/>
      <x:c r="X338" s="9" t="str">
        <x:f>IF($A338="","",SUMIF(Purchase_Items!$A$2:$A$501,$A338,Purchase_Items!$P$2:$P$501))</x:f>
      </x:c>
      <x:c r="Y338" s="9" t="str">
        <x:f>IF($A338="","",$X338*$I338/100)</x:f>
      </x:c>
      <x:c r="Z338" s="9" t="str">
        <x:f>IF($A338="","",MAX(0,($X338-$Y338)*$K338/100))</x:f>
      </x:c>
      <x:c r="AA338" s="9" t="str">
        <x:f>IF($A338="","",MAX(0,($X338-$Y338)*$L338/100))</x:f>
      </x:c>
      <x:c r="AB338" s="9" t="str">
        <x:f>IF($A338="","",MAX(0,($X338-$Y338)*$M338/100))</x:f>
      </x:c>
      <x:c r="AC338" s="9" t="str">
        <x:f>IF($A338="","",MAX(0,($X338-$Y338)+$J338+$Z338+$N338-$AA338-$AB338-$O338))</x:f>
      </x:c>
    </x:row>
    <x:row r="339">
      <x:c r="A339" s="13"/>
      <x:c r="B339" s="14"/>
      <x:c r="C339" s="8"/>
      <x:c r="D339" s="13"/>
      <x:c r="E339" s="7"/>
      <x:c r="F339" s="13"/>
      <x:c r="G339" s="7"/>
      <x:c r="H339" s="7"/>
      <x:c r="I339" s="10"/>
      <x:c r="J339" s="9"/>
      <x:c r="K339" s="10"/>
      <x:c r="L339" s="10"/>
      <x:c r="M339" s="10"/>
      <x:c r="N339" s="9"/>
      <x:c r="O339" s="9"/>
      <x:c r="P339" s="7"/>
      <x:c r="Q339" s="9"/>
      <x:c r="R339" s="8"/>
      <x:c r="S339" s="9"/>
      <x:c r="T339" s="8"/>
      <x:c r="U339" s="13"/>
      <x:c r="V339" s="7"/>
      <x:c r="W339" s="7"/>
      <x:c r="X339" s="9" t="str">
        <x:f>IF($A339="","",SUMIF(Purchase_Items!$A$2:$A$501,$A339,Purchase_Items!$P$2:$P$501))</x:f>
      </x:c>
      <x:c r="Y339" s="9" t="str">
        <x:f>IF($A339="","",$X339*$I339/100)</x:f>
      </x:c>
      <x:c r="Z339" s="9" t="str">
        <x:f>IF($A339="","",MAX(0,($X339-$Y339)*$K339/100))</x:f>
      </x:c>
      <x:c r="AA339" s="9" t="str">
        <x:f>IF($A339="","",MAX(0,($X339-$Y339)*$L339/100))</x:f>
      </x:c>
      <x:c r="AB339" s="9" t="str">
        <x:f>IF($A339="","",MAX(0,($X339-$Y339)*$M339/100))</x:f>
      </x:c>
      <x:c r="AC339" s="9" t="str">
        <x:f>IF($A339="","",MAX(0,($X339-$Y339)+$J339+$Z339+$N339-$AA339-$AB339-$O339))</x:f>
      </x:c>
    </x:row>
    <x:row r="340">
      <x:c r="A340" s="13"/>
      <x:c r="B340" s="14"/>
      <x:c r="C340" s="8"/>
      <x:c r="D340" s="13"/>
      <x:c r="E340" s="7"/>
      <x:c r="F340" s="13"/>
      <x:c r="G340" s="7"/>
      <x:c r="H340" s="7"/>
      <x:c r="I340" s="10"/>
      <x:c r="J340" s="9"/>
      <x:c r="K340" s="10"/>
      <x:c r="L340" s="10"/>
      <x:c r="M340" s="10"/>
      <x:c r="N340" s="9"/>
      <x:c r="O340" s="9"/>
      <x:c r="P340" s="7"/>
      <x:c r="Q340" s="9"/>
      <x:c r="R340" s="8"/>
      <x:c r="S340" s="9"/>
      <x:c r="T340" s="8"/>
      <x:c r="U340" s="13"/>
      <x:c r="V340" s="7"/>
      <x:c r="W340" s="7"/>
      <x:c r="X340" s="9" t="str">
        <x:f>IF($A340="","",SUMIF(Purchase_Items!$A$2:$A$501,$A340,Purchase_Items!$P$2:$P$501))</x:f>
      </x:c>
      <x:c r="Y340" s="9" t="str">
        <x:f>IF($A340="","",$X340*$I340/100)</x:f>
      </x:c>
      <x:c r="Z340" s="9" t="str">
        <x:f>IF($A340="","",MAX(0,($X340-$Y340)*$K340/100))</x:f>
      </x:c>
      <x:c r="AA340" s="9" t="str">
        <x:f>IF($A340="","",MAX(0,($X340-$Y340)*$L340/100))</x:f>
      </x:c>
      <x:c r="AB340" s="9" t="str">
        <x:f>IF($A340="","",MAX(0,($X340-$Y340)*$M340/100))</x:f>
      </x:c>
      <x:c r="AC340" s="9" t="str">
        <x:f>IF($A340="","",MAX(0,($X340-$Y340)+$J340+$Z340+$N340-$AA340-$AB340-$O340))</x:f>
      </x:c>
    </x:row>
    <x:row r="341">
      <x:c r="A341" s="13"/>
      <x:c r="B341" s="14"/>
      <x:c r="C341" s="8"/>
      <x:c r="D341" s="13"/>
      <x:c r="E341" s="7"/>
      <x:c r="F341" s="13"/>
      <x:c r="G341" s="7"/>
      <x:c r="H341" s="7"/>
      <x:c r="I341" s="10"/>
      <x:c r="J341" s="9"/>
      <x:c r="K341" s="10"/>
      <x:c r="L341" s="10"/>
      <x:c r="M341" s="10"/>
      <x:c r="N341" s="9"/>
      <x:c r="O341" s="9"/>
      <x:c r="P341" s="7"/>
      <x:c r="Q341" s="9"/>
      <x:c r="R341" s="8"/>
      <x:c r="S341" s="9"/>
      <x:c r="T341" s="8"/>
      <x:c r="U341" s="13"/>
      <x:c r="V341" s="7"/>
      <x:c r="W341" s="7"/>
      <x:c r="X341" s="9" t="str">
        <x:f>IF($A341="","",SUMIF(Purchase_Items!$A$2:$A$501,$A341,Purchase_Items!$P$2:$P$501))</x:f>
      </x:c>
      <x:c r="Y341" s="9" t="str">
        <x:f>IF($A341="","",$X341*$I341/100)</x:f>
      </x:c>
      <x:c r="Z341" s="9" t="str">
        <x:f>IF($A341="","",MAX(0,($X341-$Y341)*$K341/100))</x:f>
      </x:c>
      <x:c r="AA341" s="9" t="str">
        <x:f>IF($A341="","",MAX(0,($X341-$Y341)*$L341/100))</x:f>
      </x:c>
      <x:c r="AB341" s="9" t="str">
        <x:f>IF($A341="","",MAX(0,($X341-$Y341)*$M341/100))</x:f>
      </x:c>
      <x:c r="AC341" s="9" t="str">
        <x:f>IF($A341="","",MAX(0,($X341-$Y341)+$J341+$Z341+$N341-$AA341-$AB341-$O341))</x:f>
      </x:c>
    </x:row>
    <x:row r="342">
      <x:c r="A342" s="13"/>
      <x:c r="B342" s="14"/>
      <x:c r="C342" s="8"/>
      <x:c r="D342" s="13"/>
      <x:c r="E342" s="7"/>
      <x:c r="F342" s="13"/>
      <x:c r="G342" s="7"/>
      <x:c r="H342" s="7"/>
      <x:c r="I342" s="10"/>
      <x:c r="J342" s="9"/>
      <x:c r="K342" s="10"/>
      <x:c r="L342" s="10"/>
      <x:c r="M342" s="10"/>
      <x:c r="N342" s="9"/>
      <x:c r="O342" s="9"/>
      <x:c r="P342" s="7"/>
      <x:c r="Q342" s="9"/>
      <x:c r="R342" s="8"/>
      <x:c r="S342" s="9"/>
      <x:c r="T342" s="8"/>
      <x:c r="U342" s="13"/>
      <x:c r="V342" s="7"/>
      <x:c r="W342" s="7"/>
      <x:c r="X342" s="9" t="str">
        <x:f>IF($A342="","",SUMIF(Purchase_Items!$A$2:$A$501,$A342,Purchase_Items!$P$2:$P$501))</x:f>
      </x:c>
      <x:c r="Y342" s="9" t="str">
        <x:f>IF($A342="","",$X342*$I342/100)</x:f>
      </x:c>
      <x:c r="Z342" s="9" t="str">
        <x:f>IF($A342="","",MAX(0,($X342-$Y342)*$K342/100))</x:f>
      </x:c>
      <x:c r="AA342" s="9" t="str">
        <x:f>IF($A342="","",MAX(0,($X342-$Y342)*$L342/100))</x:f>
      </x:c>
      <x:c r="AB342" s="9" t="str">
        <x:f>IF($A342="","",MAX(0,($X342-$Y342)*$M342/100))</x:f>
      </x:c>
      <x:c r="AC342" s="9" t="str">
        <x:f>IF($A342="","",MAX(0,($X342-$Y342)+$J342+$Z342+$N342-$AA342-$AB342-$O342))</x:f>
      </x:c>
    </x:row>
    <x:row r="343">
      <x:c r="A343" s="13"/>
      <x:c r="B343" s="14"/>
      <x:c r="C343" s="8"/>
      <x:c r="D343" s="13"/>
      <x:c r="E343" s="7"/>
      <x:c r="F343" s="13"/>
      <x:c r="G343" s="7"/>
      <x:c r="H343" s="7"/>
      <x:c r="I343" s="10"/>
      <x:c r="J343" s="9"/>
      <x:c r="K343" s="10"/>
      <x:c r="L343" s="10"/>
      <x:c r="M343" s="10"/>
      <x:c r="N343" s="9"/>
      <x:c r="O343" s="9"/>
      <x:c r="P343" s="7"/>
      <x:c r="Q343" s="9"/>
      <x:c r="R343" s="8"/>
      <x:c r="S343" s="9"/>
      <x:c r="T343" s="8"/>
      <x:c r="U343" s="13"/>
      <x:c r="V343" s="7"/>
      <x:c r="W343" s="7"/>
      <x:c r="X343" s="9" t="str">
        <x:f>IF($A343="","",SUMIF(Purchase_Items!$A$2:$A$501,$A343,Purchase_Items!$P$2:$P$501))</x:f>
      </x:c>
      <x:c r="Y343" s="9" t="str">
        <x:f>IF($A343="","",$X343*$I343/100)</x:f>
      </x:c>
      <x:c r="Z343" s="9" t="str">
        <x:f>IF($A343="","",MAX(0,($X343-$Y343)*$K343/100))</x:f>
      </x:c>
      <x:c r="AA343" s="9" t="str">
        <x:f>IF($A343="","",MAX(0,($X343-$Y343)*$L343/100))</x:f>
      </x:c>
      <x:c r="AB343" s="9" t="str">
        <x:f>IF($A343="","",MAX(0,($X343-$Y343)*$M343/100))</x:f>
      </x:c>
      <x:c r="AC343" s="9" t="str">
        <x:f>IF($A343="","",MAX(0,($X343-$Y343)+$J343+$Z343+$N343-$AA343-$AB343-$O343))</x:f>
      </x:c>
    </x:row>
    <x:row r="344">
      <x:c r="A344" s="13"/>
      <x:c r="B344" s="14"/>
      <x:c r="C344" s="8"/>
      <x:c r="D344" s="13"/>
      <x:c r="E344" s="7"/>
      <x:c r="F344" s="13"/>
      <x:c r="G344" s="7"/>
      <x:c r="H344" s="7"/>
      <x:c r="I344" s="10"/>
      <x:c r="J344" s="9"/>
      <x:c r="K344" s="10"/>
      <x:c r="L344" s="10"/>
      <x:c r="M344" s="10"/>
      <x:c r="N344" s="9"/>
      <x:c r="O344" s="9"/>
      <x:c r="P344" s="7"/>
      <x:c r="Q344" s="9"/>
      <x:c r="R344" s="8"/>
      <x:c r="S344" s="9"/>
      <x:c r="T344" s="8"/>
      <x:c r="U344" s="13"/>
      <x:c r="V344" s="7"/>
      <x:c r="W344" s="7"/>
      <x:c r="X344" s="9" t="str">
        <x:f>IF($A344="","",SUMIF(Purchase_Items!$A$2:$A$501,$A344,Purchase_Items!$P$2:$P$501))</x:f>
      </x:c>
      <x:c r="Y344" s="9" t="str">
        <x:f>IF($A344="","",$X344*$I344/100)</x:f>
      </x:c>
      <x:c r="Z344" s="9" t="str">
        <x:f>IF($A344="","",MAX(0,($X344-$Y344)*$K344/100))</x:f>
      </x:c>
      <x:c r="AA344" s="9" t="str">
        <x:f>IF($A344="","",MAX(0,($X344-$Y344)*$L344/100))</x:f>
      </x:c>
      <x:c r="AB344" s="9" t="str">
        <x:f>IF($A344="","",MAX(0,($X344-$Y344)*$M344/100))</x:f>
      </x:c>
      <x:c r="AC344" s="9" t="str">
        <x:f>IF($A344="","",MAX(0,($X344-$Y344)+$J344+$Z344+$N344-$AA344-$AB344-$O344))</x:f>
      </x:c>
    </x:row>
    <x:row r="345">
      <x:c r="A345" s="13"/>
      <x:c r="B345" s="14"/>
      <x:c r="C345" s="8"/>
      <x:c r="D345" s="13"/>
      <x:c r="E345" s="7"/>
      <x:c r="F345" s="13"/>
      <x:c r="G345" s="7"/>
      <x:c r="H345" s="7"/>
      <x:c r="I345" s="10"/>
      <x:c r="J345" s="9"/>
      <x:c r="K345" s="10"/>
      <x:c r="L345" s="10"/>
      <x:c r="M345" s="10"/>
      <x:c r="N345" s="9"/>
      <x:c r="O345" s="9"/>
      <x:c r="P345" s="7"/>
      <x:c r="Q345" s="9"/>
      <x:c r="R345" s="8"/>
      <x:c r="S345" s="9"/>
      <x:c r="T345" s="8"/>
      <x:c r="U345" s="13"/>
      <x:c r="V345" s="7"/>
      <x:c r="W345" s="7"/>
      <x:c r="X345" s="9" t="str">
        <x:f>IF($A345="","",SUMIF(Purchase_Items!$A$2:$A$501,$A345,Purchase_Items!$P$2:$P$501))</x:f>
      </x:c>
      <x:c r="Y345" s="9" t="str">
        <x:f>IF($A345="","",$X345*$I345/100)</x:f>
      </x:c>
      <x:c r="Z345" s="9" t="str">
        <x:f>IF($A345="","",MAX(0,($X345-$Y345)*$K345/100))</x:f>
      </x:c>
      <x:c r="AA345" s="9" t="str">
        <x:f>IF($A345="","",MAX(0,($X345-$Y345)*$L345/100))</x:f>
      </x:c>
      <x:c r="AB345" s="9" t="str">
        <x:f>IF($A345="","",MAX(0,($X345-$Y345)*$M345/100))</x:f>
      </x:c>
      <x:c r="AC345" s="9" t="str">
        <x:f>IF($A345="","",MAX(0,($X345-$Y345)+$J345+$Z345+$N345-$AA345-$AB345-$O345))</x:f>
      </x:c>
    </x:row>
    <x:row r="346">
      <x:c r="A346" s="13"/>
      <x:c r="B346" s="14"/>
      <x:c r="C346" s="8"/>
      <x:c r="D346" s="13"/>
      <x:c r="E346" s="7"/>
      <x:c r="F346" s="13"/>
      <x:c r="G346" s="7"/>
      <x:c r="H346" s="7"/>
      <x:c r="I346" s="10"/>
      <x:c r="J346" s="9"/>
      <x:c r="K346" s="10"/>
      <x:c r="L346" s="10"/>
      <x:c r="M346" s="10"/>
      <x:c r="N346" s="9"/>
      <x:c r="O346" s="9"/>
      <x:c r="P346" s="7"/>
      <x:c r="Q346" s="9"/>
      <x:c r="R346" s="8"/>
      <x:c r="S346" s="9"/>
      <x:c r="T346" s="8"/>
      <x:c r="U346" s="13"/>
      <x:c r="V346" s="7"/>
      <x:c r="W346" s="7"/>
      <x:c r="X346" s="9" t="str">
        <x:f>IF($A346="","",SUMIF(Purchase_Items!$A$2:$A$501,$A346,Purchase_Items!$P$2:$P$501))</x:f>
      </x:c>
      <x:c r="Y346" s="9" t="str">
        <x:f>IF($A346="","",$X346*$I346/100)</x:f>
      </x:c>
      <x:c r="Z346" s="9" t="str">
        <x:f>IF($A346="","",MAX(0,($X346-$Y346)*$K346/100))</x:f>
      </x:c>
      <x:c r="AA346" s="9" t="str">
        <x:f>IF($A346="","",MAX(0,($X346-$Y346)*$L346/100))</x:f>
      </x:c>
      <x:c r="AB346" s="9" t="str">
        <x:f>IF($A346="","",MAX(0,($X346-$Y346)*$M346/100))</x:f>
      </x:c>
      <x:c r="AC346" s="9" t="str">
        <x:f>IF($A346="","",MAX(0,($X346-$Y346)+$J346+$Z346+$N346-$AA346-$AB346-$O346))</x:f>
      </x:c>
    </x:row>
    <x:row r="347">
      <x:c r="A347" s="13"/>
      <x:c r="B347" s="14"/>
      <x:c r="C347" s="8"/>
      <x:c r="D347" s="13"/>
      <x:c r="E347" s="7"/>
      <x:c r="F347" s="13"/>
      <x:c r="G347" s="7"/>
      <x:c r="H347" s="7"/>
      <x:c r="I347" s="10"/>
      <x:c r="J347" s="9"/>
      <x:c r="K347" s="10"/>
      <x:c r="L347" s="10"/>
      <x:c r="M347" s="10"/>
      <x:c r="N347" s="9"/>
      <x:c r="O347" s="9"/>
      <x:c r="P347" s="7"/>
      <x:c r="Q347" s="9"/>
      <x:c r="R347" s="8"/>
      <x:c r="S347" s="9"/>
      <x:c r="T347" s="8"/>
      <x:c r="U347" s="13"/>
      <x:c r="V347" s="7"/>
      <x:c r="W347" s="7"/>
      <x:c r="X347" s="9" t="str">
        <x:f>IF($A347="","",SUMIF(Purchase_Items!$A$2:$A$501,$A347,Purchase_Items!$P$2:$P$501))</x:f>
      </x:c>
      <x:c r="Y347" s="9" t="str">
        <x:f>IF($A347="","",$X347*$I347/100)</x:f>
      </x:c>
      <x:c r="Z347" s="9" t="str">
        <x:f>IF($A347="","",MAX(0,($X347-$Y347)*$K347/100))</x:f>
      </x:c>
      <x:c r="AA347" s="9" t="str">
        <x:f>IF($A347="","",MAX(0,($X347-$Y347)*$L347/100))</x:f>
      </x:c>
      <x:c r="AB347" s="9" t="str">
        <x:f>IF($A347="","",MAX(0,($X347-$Y347)*$M347/100))</x:f>
      </x:c>
      <x:c r="AC347" s="9" t="str">
        <x:f>IF($A347="","",MAX(0,($X347-$Y347)+$J347+$Z347+$N347-$AA347-$AB347-$O347))</x:f>
      </x:c>
    </x:row>
    <x:row r="348">
      <x:c r="A348" s="13"/>
      <x:c r="B348" s="14"/>
      <x:c r="C348" s="8"/>
      <x:c r="D348" s="13"/>
      <x:c r="E348" s="7"/>
      <x:c r="F348" s="13"/>
      <x:c r="G348" s="7"/>
      <x:c r="H348" s="7"/>
      <x:c r="I348" s="10"/>
      <x:c r="J348" s="9"/>
      <x:c r="K348" s="10"/>
      <x:c r="L348" s="10"/>
      <x:c r="M348" s="10"/>
      <x:c r="N348" s="9"/>
      <x:c r="O348" s="9"/>
      <x:c r="P348" s="7"/>
      <x:c r="Q348" s="9"/>
      <x:c r="R348" s="8"/>
      <x:c r="S348" s="9"/>
      <x:c r="T348" s="8"/>
      <x:c r="U348" s="13"/>
      <x:c r="V348" s="7"/>
      <x:c r="W348" s="7"/>
      <x:c r="X348" s="9" t="str">
        <x:f>IF($A348="","",SUMIF(Purchase_Items!$A$2:$A$501,$A348,Purchase_Items!$P$2:$P$501))</x:f>
      </x:c>
      <x:c r="Y348" s="9" t="str">
        <x:f>IF($A348="","",$X348*$I348/100)</x:f>
      </x:c>
      <x:c r="Z348" s="9" t="str">
        <x:f>IF($A348="","",MAX(0,($X348-$Y348)*$K348/100))</x:f>
      </x:c>
      <x:c r="AA348" s="9" t="str">
        <x:f>IF($A348="","",MAX(0,($X348-$Y348)*$L348/100))</x:f>
      </x:c>
      <x:c r="AB348" s="9" t="str">
        <x:f>IF($A348="","",MAX(0,($X348-$Y348)*$M348/100))</x:f>
      </x:c>
      <x:c r="AC348" s="9" t="str">
        <x:f>IF($A348="","",MAX(0,($X348-$Y348)+$J348+$Z348+$N348-$AA348-$AB348-$O348))</x:f>
      </x:c>
    </x:row>
    <x:row r="349">
      <x:c r="A349" s="13"/>
      <x:c r="B349" s="14"/>
      <x:c r="C349" s="8"/>
      <x:c r="D349" s="13"/>
      <x:c r="E349" s="7"/>
      <x:c r="F349" s="13"/>
      <x:c r="G349" s="7"/>
      <x:c r="H349" s="7"/>
      <x:c r="I349" s="10"/>
      <x:c r="J349" s="9"/>
      <x:c r="K349" s="10"/>
      <x:c r="L349" s="10"/>
      <x:c r="M349" s="10"/>
      <x:c r="N349" s="9"/>
      <x:c r="O349" s="9"/>
      <x:c r="P349" s="7"/>
      <x:c r="Q349" s="9"/>
      <x:c r="R349" s="8"/>
      <x:c r="S349" s="9"/>
      <x:c r="T349" s="8"/>
      <x:c r="U349" s="13"/>
      <x:c r="V349" s="7"/>
      <x:c r="W349" s="7"/>
      <x:c r="X349" s="9" t="str">
        <x:f>IF($A349="","",SUMIF(Purchase_Items!$A$2:$A$501,$A349,Purchase_Items!$P$2:$P$501))</x:f>
      </x:c>
      <x:c r="Y349" s="9" t="str">
        <x:f>IF($A349="","",$X349*$I349/100)</x:f>
      </x:c>
      <x:c r="Z349" s="9" t="str">
        <x:f>IF($A349="","",MAX(0,($X349-$Y349)*$K349/100))</x:f>
      </x:c>
      <x:c r="AA349" s="9" t="str">
        <x:f>IF($A349="","",MAX(0,($X349-$Y349)*$L349/100))</x:f>
      </x:c>
      <x:c r="AB349" s="9" t="str">
        <x:f>IF($A349="","",MAX(0,($X349-$Y349)*$M349/100))</x:f>
      </x:c>
      <x:c r="AC349" s="9" t="str">
        <x:f>IF($A349="","",MAX(0,($X349-$Y349)+$J349+$Z349+$N349-$AA349-$AB349-$O349))</x:f>
      </x:c>
    </x:row>
    <x:row r="350">
      <x:c r="A350" s="13"/>
      <x:c r="B350" s="14"/>
      <x:c r="C350" s="8"/>
      <x:c r="D350" s="13"/>
      <x:c r="E350" s="7"/>
      <x:c r="F350" s="13"/>
      <x:c r="G350" s="7"/>
      <x:c r="H350" s="7"/>
      <x:c r="I350" s="10"/>
      <x:c r="J350" s="9"/>
      <x:c r="K350" s="10"/>
      <x:c r="L350" s="10"/>
      <x:c r="M350" s="10"/>
      <x:c r="N350" s="9"/>
      <x:c r="O350" s="9"/>
      <x:c r="P350" s="7"/>
      <x:c r="Q350" s="9"/>
      <x:c r="R350" s="8"/>
      <x:c r="S350" s="9"/>
      <x:c r="T350" s="8"/>
      <x:c r="U350" s="13"/>
      <x:c r="V350" s="7"/>
      <x:c r="W350" s="7"/>
      <x:c r="X350" s="9" t="str">
        <x:f>IF($A350="","",SUMIF(Purchase_Items!$A$2:$A$501,$A350,Purchase_Items!$P$2:$P$501))</x:f>
      </x:c>
      <x:c r="Y350" s="9" t="str">
        <x:f>IF($A350="","",$X350*$I350/100)</x:f>
      </x:c>
      <x:c r="Z350" s="9" t="str">
        <x:f>IF($A350="","",MAX(0,($X350-$Y350)*$K350/100))</x:f>
      </x:c>
      <x:c r="AA350" s="9" t="str">
        <x:f>IF($A350="","",MAX(0,($X350-$Y350)*$L350/100))</x:f>
      </x:c>
      <x:c r="AB350" s="9" t="str">
        <x:f>IF($A350="","",MAX(0,($X350-$Y350)*$M350/100))</x:f>
      </x:c>
      <x:c r="AC350" s="9" t="str">
        <x:f>IF($A350="","",MAX(0,($X350-$Y350)+$J350+$Z350+$N350-$AA350-$AB350-$O350))</x:f>
      </x:c>
    </x:row>
    <x:row r="351">
      <x:c r="A351" s="13"/>
      <x:c r="B351" s="14"/>
      <x:c r="C351" s="8"/>
      <x:c r="D351" s="13"/>
      <x:c r="E351" s="7"/>
      <x:c r="F351" s="13"/>
      <x:c r="G351" s="7"/>
      <x:c r="H351" s="7"/>
      <x:c r="I351" s="10"/>
      <x:c r="J351" s="9"/>
      <x:c r="K351" s="10"/>
      <x:c r="L351" s="10"/>
      <x:c r="M351" s="10"/>
      <x:c r="N351" s="9"/>
      <x:c r="O351" s="9"/>
      <x:c r="P351" s="7"/>
      <x:c r="Q351" s="9"/>
      <x:c r="R351" s="8"/>
      <x:c r="S351" s="9"/>
      <x:c r="T351" s="8"/>
      <x:c r="U351" s="13"/>
      <x:c r="V351" s="7"/>
      <x:c r="W351" s="7"/>
      <x:c r="X351" s="9" t="str">
        <x:f>IF($A351="","",SUMIF(Purchase_Items!$A$2:$A$501,$A351,Purchase_Items!$P$2:$P$501))</x:f>
      </x:c>
      <x:c r="Y351" s="9" t="str">
        <x:f>IF($A351="","",$X351*$I351/100)</x:f>
      </x:c>
      <x:c r="Z351" s="9" t="str">
        <x:f>IF($A351="","",MAX(0,($X351-$Y351)*$K351/100))</x:f>
      </x:c>
      <x:c r="AA351" s="9" t="str">
        <x:f>IF($A351="","",MAX(0,($X351-$Y351)*$L351/100))</x:f>
      </x:c>
      <x:c r="AB351" s="9" t="str">
        <x:f>IF($A351="","",MAX(0,($X351-$Y351)*$M351/100))</x:f>
      </x:c>
      <x:c r="AC351" s="9" t="str">
        <x:f>IF($A351="","",MAX(0,($X351-$Y351)+$J351+$Z351+$N351-$AA351-$AB351-$O351))</x:f>
      </x:c>
    </x:row>
    <x:row r="352">
      <x:c r="A352" s="13"/>
      <x:c r="B352" s="14"/>
      <x:c r="C352" s="8"/>
      <x:c r="D352" s="13"/>
      <x:c r="E352" s="7"/>
      <x:c r="F352" s="13"/>
      <x:c r="G352" s="7"/>
      <x:c r="H352" s="7"/>
      <x:c r="I352" s="10"/>
      <x:c r="J352" s="9"/>
      <x:c r="K352" s="10"/>
      <x:c r="L352" s="10"/>
      <x:c r="M352" s="10"/>
      <x:c r="N352" s="9"/>
      <x:c r="O352" s="9"/>
      <x:c r="P352" s="7"/>
      <x:c r="Q352" s="9"/>
      <x:c r="R352" s="8"/>
      <x:c r="S352" s="9"/>
      <x:c r="T352" s="8"/>
      <x:c r="U352" s="13"/>
      <x:c r="V352" s="7"/>
      <x:c r="W352" s="7"/>
      <x:c r="X352" s="9" t="str">
        <x:f>IF($A352="","",SUMIF(Purchase_Items!$A$2:$A$501,$A352,Purchase_Items!$P$2:$P$501))</x:f>
      </x:c>
      <x:c r="Y352" s="9" t="str">
        <x:f>IF($A352="","",$X352*$I352/100)</x:f>
      </x:c>
      <x:c r="Z352" s="9" t="str">
        <x:f>IF($A352="","",MAX(0,($X352-$Y352)*$K352/100))</x:f>
      </x:c>
      <x:c r="AA352" s="9" t="str">
        <x:f>IF($A352="","",MAX(0,($X352-$Y352)*$L352/100))</x:f>
      </x:c>
      <x:c r="AB352" s="9" t="str">
        <x:f>IF($A352="","",MAX(0,($X352-$Y352)*$M352/100))</x:f>
      </x:c>
      <x:c r="AC352" s="9" t="str">
        <x:f>IF($A352="","",MAX(0,($X352-$Y352)+$J352+$Z352+$N352-$AA352-$AB352-$O352))</x:f>
      </x:c>
    </x:row>
    <x:row r="353">
      <x:c r="A353" s="13"/>
      <x:c r="B353" s="14"/>
      <x:c r="C353" s="8"/>
      <x:c r="D353" s="13"/>
      <x:c r="E353" s="7"/>
      <x:c r="F353" s="13"/>
      <x:c r="G353" s="7"/>
      <x:c r="H353" s="7"/>
      <x:c r="I353" s="10"/>
      <x:c r="J353" s="9"/>
      <x:c r="K353" s="10"/>
      <x:c r="L353" s="10"/>
      <x:c r="M353" s="10"/>
      <x:c r="N353" s="9"/>
      <x:c r="O353" s="9"/>
      <x:c r="P353" s="7"/>
      <x:c r="Q353" s="9"/>
      <x:c r="R353" s="8"/>
      <x:c r="S353" s="9"/>
      <x:c r="T353" s="8"/>
      <x:c r="U353" s="13"/>
      <x:c r="V353" s="7"/>
      <x:c r="W353" s="7"/>
      <x:c r="X353" s="9" t="str">
        <x:f>IF($A353="","",SUMIF(Purchase_Items!$A$2:$A$501,$A353,Purchase_Items!$P$2:$P$501))</x:f>
      </x:c>
      <x:c r="Y353" s="9" t="str">
        <x:f>IF($A353="","",$X353*$I353/100)</x:f>
      </x:c>
      <x:c r="Z353" s="9" t="str">
        <x:f>IF($A353="","",MAX(0,($X353-$Y353)*$K353/100))</x:f>
      </x:c>
      <x:c r="AA353" s="9" t="str">
        <x:f>IF($A353="","",MAX(0,($X353-$Y353)*$L353/100))</x:f>
      </x:c>
      <x:c r="AB353" s="9" t="str">
        <x:f>IF($A353="","",MAX(0,($X353-$Y353)*$M353/100))</x:f>
      </x:c>
      <x:c r="AC353" s="9" t="str">
        <x:f>IF($A353="","",MAX(0,($X353-$Y353)+$J353+$Z353+$N353-$AA353-$AB353-$O353))</x:f>
      </x:c>
    </x:row>
    <x:row r="354">
      <x:c r="A354" s="13"/>
      <x:c r="B354" s="14"/>
      <x:c r="C354" s="8"/>
      <x:c r="D354" s="13"/>
      <x:c r="E354" s="7"/>
      <x:c r="F354" s="13"/>
      <x:c r="G354" s="7"/>
      <x:c r="H354" s="7"/>
      <x:c r="I354" s="10"/>
      <x:c r="J354" s="9"/>
      <x:c r="K354" s="10"/>
      <x:c r="L354" s="10"/>
      <x:c r="M354" s="10"/>
      <x:c r="N354" s="9"/>
      <x:c r="O354" s="9"/>
      <x:c r="P354" s="7"/>
      <x:c r="Q354" s="9"/>
      <x:c r="R354" s="8"/>
      <x:c r="S354" s="9"/>
      <x:c r="T354" s="8"/>
      <x:c r="U354" s="13"/>
      <x:c r="V354" s="7"/>
      <x:c r="W354" s="7"/>
      <x:c r="X354" s="9" t="str">
        <x:f>IF($A354="","",SUMIF(Purchase_Items!$A$2:$A$501,$A354,Purchase_Items!$P$2:$P$501))</x:f>
      </x:c>
      <x:c r="Y354" s="9" t="str">
        <x:f>IF($A354="","",$X354*$I354/100)</x:f>
      </x:c>
      <x:c r="Z354" s="9" t="str">
        <x:f>IF($A354="","",MAX(0,($X354-$Y354)*$K354/100))</x:f>
      </x:c>
      <x:c r="AA354" s="9" t="str">
        <x:f>IF($A354="","",MAX(0,($X354-$Y354)*$L354/100))</x:f>
      </x:c>
      <x:c r="AB354" s="9" t="str">
        <x:f>IF($A354="","",MAX(0,($X354-$Y354)*$M354/100))</x:f>
      </x:c>
      <x:c r="AC354" s="9" t="str">
        <x:f>IF($A354="","",MAX(0,($X354-$Y354)+$J354+$Z354+$N354-$AA354-$AB354-$O354))</x:f>
      </x:c>
    </x:row>
    <x:row r="355">
      <x:c r="A355" s="13"/>
      <x:c r="B355" s="14"/>
      <x:c r="C355" s="8"/>
      <x:c r="D355" s="13"/>
      <x:c r="E355" s="7"/>
      <x:c r="F355" s="13"/>
      <x:c r="G355" s="7"/>
      <x:c r="H355" s="7"/>
      <x:c r="I355" s="10"/>
      <x:c r="J355" s="9"/>
      <x:c r="K355" s="10"/>
      <x:c r="L355" s="10"/>
      <x:c r="M355" s="10"/>
      <x:c r="N355" s="9"/>
      <x:c r="O355" s="9"/>
      <x:c r="P355" s="7"/>
      <x:c r="Q355" s="9"/>
      <x:c r="R355" s="8"/>
      <x:c r="S355" s="9"/>
      <x:c r="T355" s="8"/>
      <x:c r="U355" s="13"/>
      <x:c r="V355" s="7"/>
      <x:c r="W355" s="7"/>
      <x:c r="X355" s="9" t="str">
        <x:f>IF($A355="","",SUMIF(Purchase_Items!$A$2:$A$501,$A355,Purchase_Items!$P$2:$P$501))</x:f>
      </x:c>
      <x:c r="Y355" s="9" t="str">
        <x:f>IF($A355="","",$X355*$I355/100)</x:f>
      </x:c>
      <x:c r="Z355" s="9" t="str">
        <x:f>IF($A355="","",MAX(0,($X355-$Y355)*$K355/100))</x:f>
      </x:c>
      <x:c r="AA355" s="9" t="str">
        <x:f>IF($A355="","",MAX(0,($X355-$Y355)*$L355/100))</x:f>
      </x:c>
      <x:c r="AB355" s="9" t="str">
        <x:f>IF($A355="","",MAX(0,($X355-$Y355)*$M355/100))</x:f>
      </x:c>
      <x:c r="AC355" s="9" t="str">
        <x:f>IF($A355="","",MAX(0,($X355-$Y355)+$J355+$Z355+$N355-$AA355-$AB355-$O355))</x:f>
      </x:c>
    </x:row>
    <x:row r="356">
      <x:c r="A356" s="13"/>
      <x:c r="B356" s="14"/>
      <x:c r="C356" s="8"/>
      <x:c r="D356" s="13"/>
      <x:c r="E356" s="7"/>
      <x:c r="F356" s="13"/>
      <x:c r="G356" s="7"/>
      <x:c r="H356" s="7"/>
      <x:c r="I356" s="10"/>
      <x:c r="J356" s="9"/>
      <x:c r="K356" s="10"/>
      <x:c r="L356" s="10"/>
      <x:c r="M356" s="10"/>
      <x:c r="N356" s="9"/>
      <x:c r="O356" s="9"/>
      <x:c r="P356" s="7"/>
      <x:c r="Q356" s="9"/>
      <x:c r="R356" s="8"/>
      <x:c r="S356" s="9"/>
      <x:c r="T356" s="8"/>
      <x:c r="U356" s="13"/>
      <x:c r="V356" s="7"/>
      <x:c r="W356" s="7"/>
      <x:c r="X356" s="9" t="str">
        <x:f>IF($A356="","",SUMIF(Purchase_Items!$A$2:$A$501,$A356,Purchase_Items!$P$2:$P$501))</x:f>
      </x:c>
      <x:c r="Y356" s="9" t="str">
        <x:f>IF($A356="","",$X356*$I356/100)</x:f>
      </x:c>
      <x:c r="Z356" s="9" t="str">
        <x:f>IF($A356="","",MAX(0,($X356-$Y356)*$K356/100))</x:f>
      </x:c>
      <x:c r="AA356" s="9" t="str">
        <x:f>IF($A356="","",MAX(0,($X356-$Y356)*$L356/100))</x:f>
      </x:c>
      <x:c r="AB356" s="9" t="str">
        <x:f>IF($A356="","",MAX(0,($X356-$Y356)*$M356/100))</x:f>
      </x:c>
      <x:c r="AC356" s="9" t="str">
        <x:f>IF($A356="","",MAX(0,($X356-$Y356)+$J356+$Z356+$N356-$AA356-$AB356-$O356))</x:f>
      </x:c>
    </x:row>
    <x:row r="357">
      <x:c r="A357" s="13"/>
      <x:c r="B357" s="14"/>
      <x:c r="C357" s="8"/>
      <x:c r="D357" s="13"/>
      <x:c r="E357" s="7"/>
      <x:c r="F357" s="13"/>
      <x:c r="G357" s="7"/>
      <x:c r="H357" s="7"/>
      <x:c r="I357" s="10"/>
      <x:c r="J357" s="9"/>
      <x:c r="K357" s="10"/>
      <x:c r="L357" s="10"/>
      <x:c r="M357" s="10"/>
      <x:c r="N357" s="9"/>
      <x:c r="O357" s="9"/>
      <x:c r="P357" s="7"/>
      <x:c r="Q357" s="9"/>
      <x:c r="R357" s="8"/>
      <x:c r="S357" s="9"/>
      <x:c r="T357" s="8"/>
      <x:c r="U357" s="13"/>
      <x:c r="V357" s="7"/>
      <x:c r="W357" s="7"/>
      <x:c r="X357" s="9" t="str">
        <x:f>IF($A357="","",SUMIF(Purchase_Items!$A$2:$A$501,$A357,Purchase_Items!$P$2:$P$501))</x:f>
      </x:c>
      <x:c r="Y357" s="9" t="str">
        <x:f>IF($A357="","",$X357*$I357/100)</x:f>
      </x:c>
      <x:c r="Z357" s="9" t="str">
        <x:f>IF($A357="","",MAX(0,($X357-$Y357)*$K357/100))</x:f>
      </x:c>
      <x:c r="AA357" s="9" t="str">
        <x:f>IF($A357="","",MAX(0,($X357-$Y357)*$L357/100))</x:f>
      </x:c>
      <x:c r="AB357" s="9" t="str">
        <x:f>IF($A357="","",MAX(0,($X357-$Y357)*$M357/100))</x:f>
      </x:c>
      <x:c r="AC357" s="9" t="str">
        <x:f>IF($A357="","",MAX(0,($X357-$Y357)+$J357+$Z357+$N357-$AA357-$AB357-$O357))</x:f>
      </x:c>
    </x:row>
    <x:row r="358">
      <x:c r="A358" s="13"/>
      <x:c r="B358" s="14"/>
      <x:c r="C358" s="8"/>
      <x:c r="D358" s="13"/>
      <x:c r="E358" s="7"/>
      <x:c r="F358" s="13"/>
      <x:c r="G358" s="7"/>
      <x:c r="H358" s="7"/>
      <x:c r="I358" s="10"/>
      <x:c r="J358" s="9"/>
      <x:c r="K358" s="10"/>
      <x:c r="L358" s="10"/>
      <x:c r="M358" s="10"/>
      <x:c r="N358" s="9"/>
      <x:c r="O358" s="9"/>
      <x:c r="P358" s="7"/>
      <x:c r="Q358" s="9"/>
      <x:c r="R358" s="8"/>
      <x:c r="S358" s="9"/>
      <x:c r="T358" s="8"/>
      <x:c r="U358" s="13"/>
      <x:c r="V358" s="7"/>
      <x:c r="W358" s="7"/>
      <x:c r="X358" s="9" t="str">
        <x:f>IF($A358="","",SUMIF(Purchase_Items!$A$2:$A$501,$A358,Purchase_Items!$P$2:$P$501))</x:f>
      </x:c>
      <x:c r="Y358" s="9" t="str">
        <x:f>IF($A358="","",$X358*$I358/100)</x:f>
      </x:c>
      <x:c r="Z358" s="9" t="str">
        <x:f>IF($A358="","",MAX(0,($X358-$Y358)*$K358/100))</x:f>
      </x:c>
      <x:c r="AA358" s="9" t="str">
        <x:f>IF($A358="","",MAX(0,($X358-$Y358)*$L358/100))</x:f>
      </x:c>
      <x:c r="AB358" s="9" t="str">
        <x:f>IF($A358="","",MAX(0,($X358-$Y358)*$M358/100))</x:f>
      </x:c>
      <x:c r="AC358" s="9" t="str">
        <x:f>IF($A358="","",MAX(0,($X358-$Y358)+$J358+$Z358+$N358-$AA358-$AB358-$O358))</x:f>
      </x:c>
    </x:row>
    <x:row r="359">
      <x:c r="A359" s="13"/>
      <x:c r="B359" s="14"/>
      <x:c r="C359" s="8"/>
      <x:c r="D359" s="13"/>
      <x:c r="E359" s="7"/>
      <x:c r="F359" s="13"/>
      <x:c r="G359" s="7"/>
      <x:c r="H359" s="7"/>
      <x:c r="I359" s="10"/>
      <x:c r="J359" s="9"/>
      <x:c r="K359" s="10"/>
      <x:c r="L359" s="10"/>
      <x:c r="M359" s="10"/>
      <x:c r="N359" s="9"/>
      <x:c r="O359" s="9"/>
      <x:c r="P359" s="7"/>
      <x:c r="Q359" s="9"/>
      <x:c r="R359" s="8"/>
      <x:c r="S359" s="9"/>
      <x:c r="T359" s="8"/>
      <x:c r="U359" s="13"/>
      <x:c r="V359" s="7"/>
      <x:c r="W359" s="7"/>
      <x:c r="X359" s="9" t="str">
        <x:f>IF($A359="","",SUMIF(Purchase_Items!$A$2:$A$501,$A359,Purchase_Items!$P$2:$P$501))</x:f>
      </x:c>
      <x:c r="Y359" s="9" t="str">
        <x:f>IF($A359="","",$X359*$I359/100)</x:f>
      </x:c>
      <x:c r="Z359" s="9" t="str">
        <x:f>IF($A359="","",MAX(0,($X359-$Y359)*$K359/100))</x:f>
      </x:c>
      <x:c r="AA359" s="9" t="str">
        <x:f>IF($A359="","",MAX(0,($X359-$Y359)*$L359/100))</x:f>
      </x:c>
      <x:c r="AB359" s="9" t="str">
        <x:f>IF($A359="","",MAX(0,($X359-$Y359)*$M359/100))</x:f>
      </x:c>
      <x:c r="AC359" s="9" t="str">
        <x:f>IF($A359="","",MAX(0,($X359-$Y359)+$J359+$Z359+$N359-$AA359-$AB359-$O359))</x:f>
      </x:c>
    </x:row>
    <x:row r="360">
      <x:c r="A360" s="13"/>
      <x:c r="B360" s="14"/>
      <x:c r="C360" s="8"/>
      <x:c r="D360" s="13"/>
      <x:c r="E360" s="7"/>
      <x:c r="F360" s="13"/>
      <x:c r="G360" s="7"/>
      <x:c r="H360" s="7"/>
      <x:c r="I360" s="10"/>
      <x:c r="J360" s="9"/>
      <x:c r="K360" s="10"/>
      <x:c r="L360" s="10"/>
      <x:c r="M360" s="10"/>
      <x:c r="N360" s="9"/>
      <x:c r="O360" s="9"/>
      <x:c r="P360" s="7"/>
      <x:c r="Q360" s="9"/>
      <x:c r="R360" s="8"/>
      <x:c r="S360" s="9"/>
      <x:c r="T360" s="8"/>
      <x:c r="U360" s="13"/>
      <x:c r="V360" s="7"/>
      <x:c r="W360" s="7"/>
      <x:c r="X360" s="9" t="str">
        <x:f>IF($A360="","",SUMIF(Purchase_Items!$A$2:$A$501,$A360,Purchase_Items!$P$2:$P$501))</x:f>
      </x:c>
      <x:c r="Y360" s="9" t="str">
        <x:f>IF($A360="","",$X360*$I360/100)</x:f>
      </x:c>
      <x:c r="Z360" s="9" t="str">
        <x:f>IF($A360="","",MAX(0,($X360-$Y360)*$K360/100))</x:f>
      </x:c>
      <x:c r="AA360" s="9" t="str">
        <x:f>IF($A360="","",MAX(0,($X360-$Y360)*$L360/100))</x:f>
      </x:c>
      <x:c r="AB360" s="9" t="str">
        <x:f>IF($A360="","",MAX(0,($X360-$Y360)*$M360/100))</x:f>
      </x:c>
      <x:c r="AC360" s="9" t="str">
        <x:f>IF($A360="","",MAX(0,($X360-$Y360)+$J360+$Z360+$N360-$AA360-$AB360-$O360))</x:f>
      </x:c>
    </x:row>
    <x:row r="361">
      <x:c r="A361" s="13"/>
      <x:c r="B361" s="14"/>
      <x:c r="C361" s="8"/>
      <x:c r="D361" s="13"/>
      <x:c r="E361" s="7"/>
      <x:c r="F361" s="13"/>
      <x:c r="G361" s="7"/>
      <x:c r="H361" s="7"/>
      <x:c r="I361" s="10"/>
      <x:c r="J361" s="9"/>
      <x:c r="K361" s="10"/>
      <x:c r="L361" s="10"/>
      <x:c r="M361" s="10"/>
      <x:c r="N361" s="9"/>
      <x:c r="O361" s="9"/>
      <x:c r="P361" s="7"/>
      <x:c r="Q361" s="9"/>
      <x:c r="R361" s="8"/>
      <x:c r="S361" s="9"/>
      <x:c r="T361" s="8"/>
      <x:c r="U361" s="13"/>
      <x:c r="V361" s="7"/>
      <x:c r="W361" s="7"/>
      <x:c r="X361" s="9" t="str">
        <x:f>IF($A361="","",SUMIF(Purchase_Items!$A$2:$A$501,$A361,Purchase_Items!$P$2:$P$501))</x:f>
      </x:c>
      <x:c r="Y361" s="9" t="str">
        <x:f>IF($A361="","",$X361*$I361/100)</x:f>
      </x:c>
      <x:c r="Z361" s="9" t="str">
        <x:f>IF($A361="","",MAX(0,($X361-$Y361)*$K361/100))</x:f>
      </x:c>
      <x:c r="AA361" s="9" t="str">
        <x:f>IF($A361="","",MAX(0,($X361-$Y361)*$L361/100))</x:f>
      </x:c>
      <x:c r="AB361" s="9" t="str">
        <x:f>IF($A361="","",MAX(0,($X361-$Y361)*$M361/100))</x:f>
      </x:c>
      <x:c r="AC361" s="9" t="str">
        <x:f>IF($A361="","",MAX(0,($X361-$Y361)+$J361+$Z361+$N361-$AA361-$AB361-$O361))</x:f>
      </x:c>
    </x:row>
    <x:row r="362">
      <x:c r="A362" s="13"/>
      <x:c r="B362" s="14"/>
      <x:c r="C362" s="8"/>
      <x:c r="D362" s="13"/>
      <x:c r="E362" s="7"/>
      <x:c r="F362" s="13"/>
      <x:c r="G362" s="7"/>
      <x:c r="H362" s="7"/>
      <x:c r="I362" s="10"/>
      <x:c r="J362" s="9"/>
      <x:c r="K362" s="10"/>
      <x:c r="L362" s="10"/>
      <x:c r="M362" s="10"/>
      <x:c r="N362" s="9"/>
      <x:c r="O362" s="9"/>
      <x:c r="P362" s="7"/>
      <x:c r="Q362" s="9"/>
      <x:c r="R362" s="8"/>
      <x:c r="S362" s="9"/>
      <x:c r="T362" s="8"/>
      <x:c r="U362" s="13"/>
      <x:c r="V362" s="7"/>
      <x:c r="W362" s="7"/>
      <x:c r="X362" s="9" t="str">
        <x:f>IF($A362="","",SUMIF(Purchase_Items!$A$2:$A$501,$A362,Purchase_Items!$P$2:$P$501))</x:f>
      </x:c>
      <x:c r="Y362" s="9" t="str">
        <x:f>IF($A362="","",$X362*$I362/100)</x:f>
      </x:c>
      <x:c r="Z362" s="9" t="str">
        <x:f>IF($A362="","",MAX(0,($X362-$Y362)*$K362/100))</x:f>
      </x:c>
      <x:c r="AA362" s="9" t="str">
        <x:f>IF($A362="","",MAX(0,($X362-$Y362)*$L362/100))</x:f>
      </x:c>
      <x:c r="AB362" s="9" t="str">
        <x:f>IF($A362="","",MAX(0,($X362-$Y362)*$M362/100))</x:f>
      </x:c>
      <x:c r="AC362" s="9" t="str">
        <x:f>IF($A362="","",MAX(0,($X362-$Y362)+$J362+$Z362+$N362-$AA362-$AB362-$O362))</x:f>
      </x:c>
    </x:row>
    <x:row r="363">
      <x:c r="A363" s="13"/>
      <x:c r="B363" s="14"/>
      <x:c r="C363" s="8"/>
      <x:c r="D363" s="13"/>
      <x:c r="E363" s="7"/>
      <x:c r="F363" s="13"/>
      <x:c r="G363" s="7"/>
      <x:c r="H363" s="7"/>
      <x:c r="I363" s="10"/>
      <x:c r="J363" s="9"/>
      <x:c r="K363" s="10"/>
      <x:c r="L363" s="10"/>
      <x:c r="M363" s="10"/>
      <x:c r="N363" s="9"/>
      <x:c r="O363" s="9"/>
      <x:c r="P363" s="7"/>
      <x:c r="Q363" s="9"/>
      <x:c r="R363" s="8"/>
      <x:c r="S363" s="9"/>
      <x:c r="T363" s="8"/>
      <x:c r="U363" s="13"/>
      <x:c r="V363" s="7"/>
      <x:c r="W363" s="7"/>
      <x:c r="X363" s="9" t="str">
        <x:f>IF($A363="","",SUMIF(Purchase_Items!$A$2:$A$501,$A363,Purchase_Items!$P$2:$P$501))</x:f>
      </x:c>
      <x:c r="Y363" s="9" t="str">
        <x:f>IF($A363="","",$X363*$I363/100)</x:f>
      </x:c>
      <x:c r="Z363" s="9" t="str">
        <x:f>IF($A363="","",MAX(0,($X363-$Y363)*$K363/100))</x:f>
      </x:c>
      <x:c r="AA363" s="9" t="str">
        <x:f>IF($A363="","",MAX(0,($X363-$Y363)*$L363/100))</x:f>
      </x:c>
      <x:c r="AB363" s="9" t="str">
        <x:f>IF($A363="","",MAX(0,($X363-$Y363)*$M363/100))</x:f>
      </x:c>
      <x:c r="AC363" s="9" t="str">
        <x:f>IF($A363="","",MAX(0,($X363-$Y363)+$J363+$Z363+$N363-$AA363-$AB363-$O363))</x:f>
      </x:c>
    </x:row>
    <x:row r="364">
      <x:c r="A364" s="13"/>
      <x:c r="B364" s="14"/>
      <x:c r="C364" s="8"/>
      <x:c r="D364" s="13"/>
      <x:c r="E364" s="7"/>
      <x:c r="F364" s="13"/>
      <x:c r="G364" s="7"/>
      <x:c r="H364" s="7"/>
      <x:c r="I364" s="10"/>
      <x:c r="J364" s="9"/>
      <x:c r="K364" s="10"/>
      <x:c r="L364" s="10"/>
      <x:c r="M364" s="10"/>
      <x:c r="N364" s="9"/>
      <x:c r="O364" s="9"/>
      <x:c r="P364" s="7"/>
      <x:c r="Q364" s="9"/>
      <x:c r="R364" s="8"/>
      <x:c r="S364" s="9"/>
      <x:c r="T364" s="8"/>
      <x:c r="U364" s="13"/>
      <x:c r="V364" s="7"/>
      <x:c r="W364" s="7"/>
      <x:c r="X364" s="9" t="str">
        <x:f>IF($A364="","",SUMIF(Purchase_Items!$A$2:$A$501,$A364,Purchase_Items!$P$2:$P$501))</x:f>
      </x:c>
      <x:c r="Y364" s="9" t="str">
        <x:f>IF($A364="","",$X364*$I364/100)</x:f>
      </x:c>
      <x:c r="Z364" s="9" t="str">
        <x:f>IF($A364="","",MAX(0,($X364-$Y364)*$K364/100))</x:f>
      </x:c>
      <x:c r="AA364" s="9" t="str">
        <x:f>IF($A364="","",MAX(0,($X364-$Y364)*$L364/100))</x:f>
      </x:c>
      <x:c r="AB364" s="9" t="str">
        <x:f>IF($A364="","",MAX(0,($X364-$Y364)*$M364/100))</x:f>
      </x:c>
      <x:c r="AC364" s="9" t="str">
        <x:f>IF($A364="","",MAX(0,($X364-$Y364)+$J364+$Z364+$N364-$AA364-$AB364-$O364))</x:f>
      </x:c>
    </x:row>
    <x:row r="365">
      <x:c r="A365" s="13"/>
      <x:c r="B365" s="14"/>
      <x:c r="C365" s="8"/>
      <x:c r="D365" s="13"/>
      <x:c r="E365" s="7"/>
      <x:c r="F365" s="13"/>
      <x:c r="G365" s="7"/>
      <x:c r="H365" s="7"/>
      <x:c r="I365" s="10"/>
      <x:c r="J365" s="9"/>
      <x:c r="K365" s="10"/>
      <x:c r="L365" s="10"/>
      <x:c r="M365" s="10"/>
      <x:c r="N365" s="9"/>
      <x:c r="O365" s="9"/>
      <x:c r="P365" s="7"/>
      <x:c r="Q365" s="9"/>
      <x:c r="R365" s="8"/>
      <x:c r="S365" s="9"/>
      <x:c r="T365" s="8"/>
      <x:c r="U365" s="13"/>
      <x:c r="V365" s="7"/>
      <x:c r="W365" s="7"/>
      <x:c r="X365" s="9" t="str">
        <x:f>IF($A365="","",SUMIF(Purchase_Items!$A$2:$A$501,$A365,Purchase_Items!$P$2:$P$501))</x:f>
      </x:c>
      <x:c r="Y365" s="9" t="str">
        <x:f>IF($A365="","",$X365*$I365/100)</x:f>
      </x:c>
      <x:c r="Z365" s="9" t="str">
        <x:f>IF($A365="","",MAX(0,($X365-$Y365)*$K365/100))</x:f>
      </x:c>
      <x:c r="AA365" s="9" t="str">
        <x:f>IF($A365="","",MAX(0,($X365-$Y365)*$L365/100))</x:f>
      </x:c>
      <x:c r="AB365" s="9" t="str">
        <x:f>IF($A365="","",MAX(0,($X365-$Y365)*$M365/100))</x:f>
      </x:c>
      <x:c r="AC365" s="9" t="str">
        <x:f>IF($A365="","",MAX(0,($X365-$Y365)+$J365+$Z365+$N365-$AA365-$AB365-$O365))</x:f>
      </x:c>
    </x:row>
    <x:row r="366">
      <x:c r="A366" s="13"/>
      <x:c r="B366" s="14"/>
      <x:c r="C366" s="8"/>
      <x:c r="D366" s="13"/>
      <x:c r="E366" s="7"/>
      <x:c r="F366" s="13"/>
      <x:c r="G366" s="7"/>
      <x:c r="H366" s="7"/>
      <x:c r="I366" s="10"/>
      <x:c r="J366" s="9"/>
      <x:c r="K366" s="10"/>
      <x:c r="L366" s="10"/>
      <x:c r="M366" s="10"/>
      <x:c r="N366" s="9"/>
      <x:c r="O366" s="9"/>
      <x:c r="P366" s="7"/>
      <x:c r="Q366" s="9"/>
      <x:c r="R366" s="8"/>
      <x:c r="S366" s="9"/>
      <x:c r="T366" s="8"/>
      <x:c r="U366" s="13"/>
      <x:c r="V366" s="7"/>
      <x:c r="W366" s="7"/>
      <x:c r="X366" s="9" t="str">
        <x:f>IF($A366="","",SUMIF(Purchase_Items!$A$2:$A$501,$A366,Purchase_Items!$P$2:$P$501))</x:f>
      </x:c>
      <x:c r="Y366" s="9" t="str">
        <x:f>IF($A366="","",$X366*$I366/100)</x:f>
      </x:c>
      <x:c r="Z366" s="9" t="str">
        <x:f>IF($A366="","",MAX(0,($X366-$Y366)*$K366/100))</x:f>
      </x:c>
      <x:c r="AA366" s="9" t="str">
        <x:f>IF($A366="","",MAX(0,($X366-$Y366)*$L366/100))</x:f>
      </x:c>
      <x:c r="AB366" s="9" t="str">
        <x:f>IF($A366="","",MAX(0,($X366-$Y366)*$M366/100))</x:f>
      </x:c>
      <x:c r="AC366" s="9" t="str">
        <x:f>IF($A366="","",MAX(0,($X366-$Y366)+$J366+$Z366+$N366-$AA366-$AB366-$O366))</x:f>
      </x:c>
    </x:row>
    <x:row r="367">
      <x:c r="A367" s="13"/>
      <x:c r="B367" s="14"/>
      <x:c r="C367" s="8"/>
      <x:c r="D367" s="13"/>
      <x:c r="E367" s="7"/>
      <x:c r="F367" s="13"/>
      <x:c r="G367" s="7"/>
      <x:c r="H367" s="7"/>
      <x:c r="I367" s="10"/>
      <x:c r="J367" s="9"/>
      <x:c r="K367" s="10"/>
      <x:c r="L367" s="10"/>
      <x:c r="M367" s="10"/>
      <x:c r="N367" s="9"/>
      <x:c r="O367" s="9"/>
      <x:c r="P367" s="7"/>
      <x:c r="Q367" s="9"/>
      <x:c r="R367" s="8"/>
      <x:c r="S367" s="9"/>
      <x:c r="T367" s="8"/>
      <x:c r="U367" s="13"/>
      <x:c r="V367" s="7"/>
      <x:c r="W367" s="7"/>
      <x:c r="X367" s="9" t="str">
        <x:f>IF($A367="","",SUMIF(Purchase_Items!$A$2:$A$501,$A367,Purchase_Items!$P$2:$P$501))</x:f>
      </x:c>
      <x:c r="Y367" s="9" t="str">
        <x:f>IF($A367="","",$X367*$I367/100)</x:f>
      </x:c>
      <x:c r="Z367" s="9" t="str">
        <x:f>IF($A367="","",MAX(0,($X367-$Y367)*$K367/100))</x:f>
      </x:c>
      <x:c r="AA367" s="9" t="str">
        <x:f>IF($A367="","",MAX(0,($X367-$Y367)*$L367/100))</x:f>
      </x:c>
      <x:c r="AB367" s="9" t="str">
        <x:f>IF($A367="","",MAX(0,($X367-$Y367)*$M367/100))</x:f>
      </x:c>
      <x:c r="AC367" s="9" t="str">
        <x:f>IF($A367="","",MAX(0,($X367-$Y367)+$J367+$Z367+$N367-$AA367-$AB367-$O367))</x:f>
      </x:c>
    </x:row>
    <x:row r="368">
      <x:c r="A368" s="13"/>
      <x:c r="B368" s="14"/>
      <x:c r="C368" s="8"/>
      <x:c r="D368" s="13"/>
      <x:c r="E368" s="7"/>
      <x:c r="F368" s="13"/>
      <x:c r="G368" s="7"/>
      <x:c r="H368" s="7"/>
      <x:c r="I368" s="10"/>
      <x:c r="J368" s="9"/>
      <x:c r="K368" s="10"/>
      <x:c r="L368" s="10"/>
      <x:c r="M368" s="10"/>
      <x:c r="N368" s="9"/>
      <x:c r="O368" s="9"/>
      <x:c r="P368" s="7"/>
      <x:c r="Q368" s="9"/>
      <x:c r="R368" s="8"/>
      <x:c r="S368" s="9"/>
      <x:c r="T368" s="8"/>
      <x:c r="U368" s="13"/>
      <x:c r="V368" s="7"/>
      <x:c r="W368" s="7"/>
      <x:c r="X368" s="9" t="str">
        <x:f>IF($A368="","",SUMIF(Purchase_Items!$A$2:$A$501,$A368,Purchase_Items!$P$2:$P$501))</x:f>
      </x:c>
      <x:c r="Y368" s="9" t="str">
        <x:f>IF($A368="","",$X368*$I368/100)</x:f>
      </x:c>
      <x:c r="Z368" s="9" t="str">
        <x:f>IF($A368="","",MAX(0,($X368-$Y368)*$K368/100))</x:f>
      </x:c>
      <x:c r="AA368" s="9" t="str">
        <x:f>IF($A368="","",MAX(0,($X368-$Y368)*$L368/100))</x:f>
      </x:c>
      <x:c r="AB368" s="9" t="str">
        <x:f>IF($A368="","",MAX(0,($X368-$Y368)*$M368/100))</x:f>
      </x:c>
      <x:c r="AC368" s="9" t="str">
        <x:f>IF($A368="","",MAX(0,($X368-$Y368)+$J368+$Z368+$N368-$AA368-$AB368-$O368))</x:f>
      </x:c>
    </x:row>
    <x:row r="369">
      <x:c r="A369" s="13"/>
      <x:c r="B369" s="14"/>
      <x:c r="C369" s="8"/>
      <x:c r="D369" s="13"/>
      <x:c r="E369" s="7"/>
      <x:c r="F369" s="13"/>
      <x:c r="G369" s="7"/>
      <x:c r="H369" s="7"/>
      <x:c r="I369" s="10"/>
      <x:c r="J369" s="9"/>
      <x:c r="K369" s="10"/>
      <x:c r="L369" s="10"/>
      <x:c r="M369" s="10"/>
      <x:c r="N369" s="9"/>
      <x:c r="O369" s="9"/>
      <x:c r="P369" s="7"/>
      <x:c r="Q369" s="9"/>
      <x:c r="R369" s="8"/>
      <x:c r="S369" s="9"/>
      <x:c r="T369" s="8"/>
      <x:c r="U369" s="13"/>
      <x:c r="V369" s="7"/>
      <x:c r="W369" s="7"/>
      <x:c r="X369" s="9" t="str">
        <x:f>IF($A369="","",SUMIF(Purchase_Items!$A$2:$A$501,$A369,Purchase_Items!$P$2:$P$501))</x:f>
      </x:c>
      <x:c r="Y369" s="9" t="str">
        <x:f>IF($A369="","",$X369*$I369/100)</x:f>
      </x:c>
      <x:c r="Z369" s="9" t="str">
        <x:f>IF($A369="","",MAX(0,($X369-$Y369)*$K369/100))</x:f>
      </x:c>
      <x:c r="AA369" s="9" t="str">
        <x:f>IF($A369="","",MAX(0,($X369-$Y369)*$L369/100))</x:f>
      </x:c>
      <x:c r="AB369" s="9" t="str">
        <x:f>IF($A369="","",MAX(0,($X369-$Y369)*$M369/100))</x:f>
      </x:c>
      <x:c r="AC369" s="9" t="str">
        <x:f>IF($A369="","",MAX(0,($X369-$Y369)+$J369+$Z369+$N369-$AA369-$AB369-$O369))</x:f>
      </x:c>
    </x:row>
    <x:row r="370">
      <x:c r="A370" s="13"/>
      <x:c r="B370" s="14"/>
      <x:c r="C370" s="8"/>
      <x:c r="D370" s="13"/>
      <x:c r="E370" s="7"/>
      <x:c r="F370" s="13"/>
      <x:c r="G370" s="7"/>
      <x:c r="H370" s="7"/>
      <x:c r="I370" s="10"/>
      <x:c r="J370" s="9"/>
      <x:c r="K370" s="10"/>
      <x:c r="L370" s="10"/>
      <x:c r="M370" s="10"/>
      <x:c r="N370" s="9"/>
      <x:c r="O370" s="9"/>
      <x:c r="P370" s="7"/>
      <x:c r="Q370" s="9"/>
      <x:c r="R370" s="8"/>
      <x:c r="S370" s="9"/>
      <x:c r="T370" s="8"/>
      <x:c r="U370" s="13"/>
      <x:c r="V370" s="7"/>
      <x:c r="W370" s="7"/>
      <x:c r="X370" s="9" t="str">
        <x:f>IF($A370="","",SUMIF(Purchase_Items!$A$2:$A$501,$A370,Purchase_Items!$P$2:$P$501))</x:f>
      </x:c>
      <x:c r="Y370" s="9" t="str">
        <x:f>IF($A370="","",$X370*$I370/100)</x:f>
      </x:c>
      <x:c r="Z370" s="9" t="str">
        <x:f>IF($A370="","",MAX(0,($X370-$Y370)*$K370/100))</x:f>
      </x:c>
      <x:c r="AA370" s="9" t="str">
        <x:f>IF($A370="","",MAX(0,($X370-$Y370)*$L370/100))</x:f>
      </x:c>
      <x:c r="AB370" s="9" t="str">
        <x:f>IF($A370="","",MAX(0,($X370-$Y370)*$M370/100))</x:f>
      </x:c>
      <x:c r="AC370" s="9" t="str">
        <x:f>IF($A370="","",MAX(0,($X370-$Y370)+$J370+$Z370+$N370-$AA370-$AB370-$O370))</x:f>
      </x:c>
    </x:row>
    <x:row r="371">
      <x:c r="A371" s="13"/>
      <x:c r="B371" s="14"/>
      <x:c r="C371" s="8"/>
      <x:c r="D371" s="13"/>
      <x:c r="E371" s="7"/>
      <x:c r="F371" s="13"/>
      <x:c r="G371" s="7"/>
      <x:c r="H371" s="7"/>
      <x:c r="I371" s="10"/>
      <x:c r="J371" s="9"/>
      <x:c r="K371" s="10"/>
      <x:c r="L371" s="10"/>
      <x:c r="M371" s="10"/>
      <x:c r="N371" s="9"/>
      <x:c r="O371" s="9"/>
      <x:c r="P371" s="7"/>
      <x:c r="Q371" s="9"/>
      <x:c r="R371" s="8"/>
      <x:c r="S371" s="9"/>
      <x:c r="T371" s="8"/>
      <x:c r="U371" s="13"/>
      <x:c r="V371" s="7"/>
      <x:c r="W371" s="7"/>
      <x:c r="X371" s="9" t="str">
        <x:f>IF($A371="","",SUMIF(Purchase_Items!$A$2:$A$501,$A371,Purchase_Items!$P$2:$P$501))</x:f>
      </x:c>
      <x:c r="Y371" s="9" t="str">
        <x:f>IF($A371="","",$X371*$I371/100)</x:f>
      </x:c>
      <x:c r="Z371" s="9" t="str">
        <x:f>IF($A371="","",MAX(0,($X371-$Y371)*$K371/100))</x:f>
      </x:c>
      <x:c r="AA371" s="9" t="str">
        <x:f>IF($A371="","",MAX(0,($X371-$Y371)*$L371/100))</x:f>
      </x:c>
      <x:c r="AB371" s="9" t="str">
        <x:f>IF($A371="","",MAX(0,($X371-$Y371)*$M371/100))</x:f>
      </x:c>
      <x:c r="AC371" s="9" t="str">
        <x:f>IF($A371="","",MAX(0,($X371-$Y371)+$J371+$Z371+$N371-$AA371-$AB371-$O371))</x:f>
      </x:c>
    </x:row>
    <x:row r="372">
      <x:c r="A372" s="13"/>
      <x:c r="B372" s="14"/>
      <x:c r="C372" s="8"/>
      <x:c r="D372" s="13"/>
      <x:c r="E372" s="7"/>
      <x:c r="F372" s="13"/>
      <x:c r="G372" s="7"/>
      <x:c r="H372" s="7"/>
      <x:c r="I372" s="10"/>
      <x:c r="J372" s="9"/>
      <x:c r="K372" s="10"/>
      <x:c r="L372" s="10"/>
      <x:c r="M372" s="10"/>
      <x:c r="N372" s="9"/>
      <x:c r="O372" s="9"/>
      <x:c r="P372" s="7"/>
      <x:c r="Q372" s="9"/>
      <x:c r="R372" s="8"/>
      <x:c r="S372" s="9"/>
      <x:c r="T372" s="8"/>
      <x:c r="U372" s="13"/>
      <x:c r="V372" s="7"/>
      <x:c r="W372" s="7"/>
      <x:c r="X372" s="9" t="str">
        <x:f>IF($A372="","",SUMIF(Purchase_Items!$A$2:$A$501,$A372,Purchase_Items!$P$2:$P$501))</x:f>
      </x:c>
      <x:c r="Y372" s="9" t="str">
        <x:f>IF($A372="","",$X372*$I372/100)</x:f>
      </x:c>
      <x:c r="Z372" s="9" t="str">
        <x:f>IF($A372="","",MAX(0,($X372-$Y372)*$K372/100))</x:f>
      </x:c>
      <x:c r="AA372" s="9" t="str">
        <x:f>IF($A372="","",MAX(0,($X372-$Y372)*$L372/100))</x:f>
      </x:c>
      <x:c r="AB372" s="9" t="str">
        <x:f>IF($A372="","",MAX(0,($X372-$Y372)*$M372/100))</x:f>
      </x:c>
      <x:c r="AC372" s="9" t="str">
        <x:f>IF($A372="","",MAX(0,($X372-$Y372)+$J372+$Z372+$N372-$AA372-$AB372-$O372))</x:f>
      </x:c>
    </x:row>
    <x:row r="373">
      <x:c r="A373" s="13"/>
      <x:c r="B373" s="14"/>
      <x:c r="C373" s="8"/>
      <x:c r="D373" s="13"/>
      <x:c r="E373" s="7"/>
      <x:c r="F373" s="13"/>
      <x:c r="G373" s="7"/>
      <x:c r="H373" s="7"/>
      <x:c r="I373" s="10"/>
      <x:c r="J373" s="9"/>
      <x:c r="K373" s="10"/>
      <x:c r="L373" s="10"/>
      <x:c r="M373" s="10"/>
      <x:c r="N373" s="9"/>
      <x:c r="O373" s="9"/>
      <x:c r="P373" s="7"/>
      <x:c r="Q373" s="9"/>
      <x:c r="R373" s="8"/>
      <x:c r="S373" s="9"/>
      <x:c r="T373" s="8"/>
      <x:c r="U373" s="13"/>
      <x:c r="V373" s="7"/>
      <x:c r="W373" s="7"/>
      <x:c r="X373" s="9" t="str">
        <x:f>IF($A373="","",SUMIF(Purchase_Items!$A$2:$A$501,$A373,Purchase_Items!$P$2:$P$501))</x:f>
      </x:c>
      <x:c r="Y373" s="9" t="str">
        <x:f>IF($A373="","",$X373*$I373/100)</x:f>
      </x:c>
      <x:c r="Z373" s="9" t="str">
        <x:f>IF($A373="","",MAX(0,($X373-$Y373)*$K373/100))</x:f>
      </x:c>
      <x:c r="AA373" s="9" t="str">
        <x:f>IF($A373="","",MAX(0,($X373-$Y373)*$L373/100))</x:f>
      </x:c>
      <x:c r="AB373" s="9" t="str">
        <x:f>IF($A373="","",MAX(0,($X373-$Y373)*$M373/100))</x:f>
      </x:c>
      <x:c r="AC373" s="9" t="str">
        <x:f>IF($A373="","",MAX(0,($X373-$Y373)+$J373+$Z373+$N373-$AA373-$AB373-$O373))</x:f>
      </x:c>
    </x:row>
    <x:row r="374">
      <x:c r="A374" s="13"/>
      <x:c r="B374" s="14"/>
      <x:c r="C374" s="8"/>
      <x:c r="D374" s="13"/>
      <x:c r="E374" s="7"/>
      <x:c r="F374" s="13"/>
      <x:c r="G374" s="7"/>
      <x:c r="H374" s="7"/>
      <x:c r="I374" s="10"/>
      <x:c r="J374" s="9"/>
      <x:c r="K374" s="10"/>
      <x:c r="L374" s="10"/>
      <x:c r="M374" s="10"/>
      <x:c r="N374" s="9"/>
      <x:c r="O374" s="9"/>
      <x:c r="P374" s="7"/>
      <x:c r="Q374" s="9"/>
      <x:c r="R374" s="8"/>
      <x:c r="S374" s="9"/>
      <x:c r="T374" s="8"/>
      <x:c r="U374" s="13"/>
      <x:c r="V374" s="7"/>
      <x:c r="W374" s="7"/>
      <x:c r="X374" s="9" t="str">
        <x:f>IF($A374="","",SUMIF(Purchase_Items!$A$2:$A$501,$A374,Purchase_Items!$P$2:$P$501))</x:f>
      </x:c>
      <x:c r="Y374" s="9" t="str">
        <x:f>IF($A374="","",$X374*$I374/100)</x:f>
      </x:c>
      <x:c r="Z374" s="9" t="str">
        <x:f>IF($A374="","",MAX(0,($X374-$Y374)*$K374/100))</x:f>
      </x:c>
      <x:c r="AA374" s="9" t="str">
        <x:f>IF($A374="","",MAX(0,($X374-$Y374)*$L374/100))</x:f>
      </x:c>
      <x:c r="AB374" s="9" t="str">
        <x:f>IF($A374="","",MAX(0,($X374-$Y374)*$M374/100))</x:f>
      </x:c>
      <x:c r="AC374" s="9" t="str">
        <x:f>IF($A374="","",MAX(0,($X374-$Y374)+$J374+$Z374+$N374-$AA374-$AB374-$O374))</x:f>
      </x:c>
    </x:row>
    <x:row r="375">
      <x:c r="A375" s="13"/>
      <x:c r="B375" s="14"/>
      <x:c r="C375" s="8"/>
      <x:c r="D375" s="13"/>
      <x:c r="E375" s="7"/>
      <x:c r="F375" s="13"/>
      <x:c r="G375" s="7"/>
      <x:c r="H375" s="7"/>
      <x:c r="I375" s="10"/>
      <x:c r="J375" s="9"/>
      <x:c r="K375" s="10"/>
      <x:c r="L375" s="10"/>
      <x:c r="M375" s="10"/>
      <x:c r="N375" s="9"/>
      <x:c r="O375" s="9"/>
      <x:c r="P375" s="7"/>
      <x:c r="Q375" s="9"/>
      <x:c r="R375" s="8"/>
      <x:c r="S375" s="9"/>
      <x:c r="T375" s="8"/>
      <x:c r="U375" s="13"/>
      <x:c r="V375" s="7"/>
      <x:c r="W375" s="7"/>
      <x:c r="X375" s="9" t="str">
        <x:f>IF($A375="","",SUMIF(Purchase_Items!$A$2:$A$501,$A375,Purchase_Items!$P$2:$P$501))</x:f>
      </x:c>
      <x:c r="Y375" s="9" t="str">
        <x:f>IF($A375="","",$X375*$I375/100)</x:f>
      </x:c>
      <x:c r="Z375" s="9" t="str">
        <x:f>IF($A375="","",MAX(0,($X375-$Y375)*$K375/100))</x:f>
      </x:c>
      <x:c r="AA375" s="9" t="str">
        <x:f>IF($A375="","",MAX(0,($X375-$Y375)*$L375/100))</x:f>
      </x:c>
      <x:c r="AB375" s="9" t="str">
        <x:f>IF($A375="","",MAX(0,($X375-$Y375)*$M375/100))</x:f>
      </x:c>
      <x:c r="AC375" s="9" t="str">
        <x:f>IF($A375="","",MAX(0,($X375-$Y375)+$J375+$Z375+$N375-$AA375-$AB375-$O375))</x:f>
      </x:c>
    </x:row>
    <x:row r="376">
      <x:c r="A376" s="13"/>
      <x:c r="B376" s="14"/>
      <x:c r="C376" s="8"/>
      <x:c r="D376" s="13"/>
      <x:c r="E376" s="7"/>
      <x:c r="F376" s="13"/>
      <x:c r="G376" s="7"/>
      <x:c r="H376" s="7"/>
      <x:c r="I376" s="10"/>
      <x:c r="J376" s="9"/>
      <x:c r="K376" s="10"/>
      <x:c r="L376" s="10"/>
      <x:c r="M376" s="10"/>
      <x:c r="N376" s="9"/>
      <x:c r="O376" s="9"/>
      <x:c r="P376" s="7"/>
      <x:c r="Q376" s="9"/>
      <x:c r="R376" s="8"/>
      <x:c r="S376" s="9"/>
      <x:c r="T376" s="8"/>
      <x:c r="U376" s="13"/>
      <x:c r="V376" s="7"/>
      <x:c r="W376" s="7"/>
      <x:c r="X376" s="9" t="str">
        <x:f>IF($A376="","",SUMIF(Purchase_Items!$A$2:$A$501,$A376,Purchase_Items!$P$2:$P$501))</x:f>
      </x:c>
      <x:c r="Y376" s="9" t="str">
        <x:f>IF($A376="","",$X376*$I376/100)</x:f>
      </x:c>
      <x:c r="Z376" s="9" t="str">
        <x:f>IF($A376="","",MAX(0,($X376-$Y376)*$K376/100))</x:f>
      </x:c>
      <x:c r="AA376" s="9" t="str">
        <x:f>IF($A376="","",MAX(0,($X376-$Y376)*$L376/100))</x:f>
      </x:c>
      <x:c r="AB376" s="9" t="str">
        <x:f>IF($A376="","",MAX(0,($X376-$Y376)*$M376/100))</x:f>
      </x:c>
      <x:c r="AC376" s="9" t="str">
        <x:f>IF($A376="","",MAX(0,($X376-$Y376)+$J376+$Z376+$N376-$AA376-$AB376-$O376))</x:f>
      </x:c>
    </x:row>
    <x:row r="377">
      <x:c r="A377" s="13"/>
      <x:c r="B377" s="14"/>
      <x:c r="C377" s="8"/>
      <x:c r="D377" s="13"/>
      <x:c r="E377" s="7"/>
      <x:c r="F377" s="13"/>
      <x:c r="G377" s="7"/>
      <x:c r="H377" s="7"/>
      <x:c r="I377" s="10"/>
      <x:c r="J377" s="9"/>
      <x:c r="K377" s="10"/>
      <x:c r="L377" s="10"/>
      <x:c r="M377" s="10"/>
      <x:c r="N377" s="9"/>
      <x:c r="O377" s="9"/>
      <x:c r="P377" s="7"/>
      <x:c r="Q377" s="9"/>
      <x:c r="R377" s="8"/>
      <x:c r="S377" s="9"/>
      <x:c r="T377" s="8"/>
      <x:c r="U377" s="13"/>
      <x:c r="V377" s="7"/>
      <x:c r="W377" s="7"/>
      <x:c r="X377" s="9" t="str">
        <x:f>IF($A377="","",SUMIF(Purchase_Items!$A$2:$A$501,$A377,Purchase_Items!$P$2:$P$501))</x:f>
      </x:c>
      <x:c r="Y377" s="9" t="str">
        <x:f>IF($A377="","",$X377*$I377/100)</x:f>
      </x:c>
      <x:c r="Z377" s="9" t="str">
        <x:f>IF($A377="","",MAX(0,($X377-$Y377)*$K377/100))</x:f>
      </x:c>
      <x:c r="AA377" s="9" t="str">
        <x:f>IF($A377="","",MAX(0,($X377-$Y377)*$L377/100))</x:f>
      </x:c>
      <x:c r="AB377" s="9" t="str">
        <x:f>IF($A377="","",MAX(0,($X377-$Y377)*$M377/100))</x:f>
      </x:c>
      <x:c r="AC377" s="9" t="str">
        <x:f>IF($A377="","",MAX(0,($X377-$Y377)+$J377+$Z377+$N377-$AA377-$AB377-$O377))</x:f>
      </x:c>
    </x:row>
    <x:row r="378">
      <x:c r="A378" s="13"/>
      <x:c r="B378" s="14"/>
      <x:c r="C378" s="8"/>
      <x:c r="D378" s="13"/>
      <x:c r="E378" s="7"/>
      <x:c r="F378" s="13"/>
      <x:c r="G378" s="7"/>
      <x:c r="H378" s="7"/>
      <x:c r="I378" s="10"/>
      <x:c r="J378" s="9"/>
      <x:c r="K378" s="10"/>
      <x:c r="L378" s="10"/>
      <x:c r="M378" s="10"/>
      <x:c r="N378" s="9"/>
      <x:c r="O378" s="9"/>
      <x:c r="P378" s="7"/>
      <x:c r="Q378" s="9"/>
      <x:c r="R378" s="8"/>
      <x:c r="S378" s="9"/>
      <x:c r="T378" s="8"/>
      <x:c r="U378" s="13"/>
      <x:c r="V378" s="7"/>
      <x:c r="W378" s="7"/>
      <x:c r="X378" s="9" t="str">
        <x:f>IF($A378="","",SUMIF(Purchase_Items!$A$2:$A$501,$A378,Purchase_Items!$P$2:$P$501))</x:f>
      </x:c>
      <x:c r="Y378" s="9" t="str">
        <x:f>IF($A378="","",$X378*$I378/100)</x:f>
      </x:c>
      <x:c r="Z378" s="9" t="str">
        <x:f>IF($A378="","",MAX(0,($X378-$Y378)*$K378/100))</x:f>
      </x:c>
      <x:c r="AA378" s="9" t="str">
        <x:f>IF($A378="","",MAX(0,($X378-$Y378)*$L378/100))</x:f>
      </x:c>
      <x:c r="AB378" s="9" t="str">
        <x:f>IF($A378="","",MAX(0,($X378-$Y378)*$M378/100))</x:f>
      </x:c>
      <x:c r="AC378" s="9" t="str">
        <x:f>IF($A378="","",MAX(0,($X378-$Y378)+$J378+$Z378+$N378-$AA378-$AB378-$O378))</x:f>
      </x:c>
    </x:row>
    <x:row r="379">
      <x:c r="A379" s="13"/>
      <x:c r="B379" s="14"/>
      <x:c r="C379" s="8"/>
      <x:c r="D379" s="13"/>
      <x:c r="E379" s="7"/>
      <x:c r="F379" s="13"/>
      <x:c r="G379" s="7"/>
      <x:c r="H379" s="7"/>
      <x:c r="I379" s="10"/>
      <x:c r="J379" s="9"/>
      <x:c r="K379" s="10"/>
      <x:c r="L379" s="10"/>
      <x:c r="M379" s="10"/>
      <x:c r="N379" s="9"/>
      <x:c r="O379" s="9"/>
      <x:c r="P379" s="7"/>
      <x:c r="Q379" s="9"/>
      <x:c r="R379" s="8"/>
      <x:c r="S379" s="9"/>
      <x:c r="T379" s="8"/>
      <x:c r="U379" s="13"/>
      <x:c r="V379" s="7"/>
      <x:c r="W379" s="7"/>
      <x:c r="X379" s="9" t="str">
        <x:f>IF($A379="","",SUMIF(Purchase_Items!$A$2:$A$501,$A379,Purchase_Items!$P$2:$P$501))</x:f>
      </x:c>
      <x:c r="Y379" s="9" t="str">
        <x:f>IF($A379="","",$X379*$I379/100)</x:f>
      </x:c>
      <x:c r="Z379" s="9" t="str">
        <x:f>IF($A379="","",MAX(0,($X379-$Y379)*$K379/100))</x:f>
      </x:c>
      <x:c r="AA379" s="9" t="str">
        <x:f>IF($A379="","",MAX(0,($X379-$Y379)*$L379/100))</x:f>
      </x:c>
      <x:c r="AB379" s="9" t="str">
        <x:f>IF($A379="","",MAX(0,($X379-$Y379)*$M379/100))</x:f>
      </x:c>
      <x:c r="AC379" s="9" t="str">
        <x:f>IF($A379="","",MAX(0,($X379-$Y379)+$J379+$Z379+$N379-$AA379-$AB379-$O379))</x:f>
      </x:c>
    </x:row>
    <x:row r="380">
      <x:c r="A380" s="13"/>
      <x:c r="B380" s="14"/>
      <x:c r="C380" s="8"/>
      <x:c r="D380" s="13"/>
      <x:c r="E380" s="7"/>
      <x:c r="F380" s="13"/>
      <x:c r="G380" s="7"/>
      <x:c r="H380" s="7"/>
      <x:c r="I380" s="10"/>
      <x:c r="J380" s="9"/>
      <x:c r="K380" s="10"/>
      <x:c r="L380" s="10"/>
      <x:c r="M380" s="10"/>
      <x:c r="N380" s="9"/>
      <x:c r="O380" s="9"/>
      <x:c r="P380" s="7"/>
      <x:c r="Q380" s="9"/>
      <x:c r="R380" s="8"/>
      <x:c r="S380" s="9"/>
      <x:c r="T380" s="8"/>
      <x:c r="U380" s="13"/>
      <x:c r="V380" s="7"/>
      <x:c r="W380" s="7"/>
      <x:c r="X380" s="9" t="str">
        <x:f>IF($A380="","",SUMIF(Purchase_Items!$A$2:$A$501,$A380,Purchase_Items!$P$2:$P$501))</x:f>
      </x:c>
      <x:c r="Y380" s="9" t="str">
        <x:f>IF($A380="","",$X380*$I380/100)</x:f>
      </x:c>
      <x:c r="Z380" s="9" t="str">
        <x:f>IF($A380="","",MAX(0,($X380-$Y380)*$K380/100))</x:f>
      </x:c>
      <x:c r="AA380" s="9" t="str">
        <x:f>IF($A380="","",MAX(0,($X380-$Y380)*$L380/100))</x:f>
      </x:c>
      <x:c r="AB380" s="9" t="str">
        <x:f>IF($A380="","",MAX(0,($X380-$Y380)*$M380/100))</x:f>
      </x:c>
      <x:c r="AC380" s="9" t="str">
        <x:f>IF($A380="","",MAX(0,($X380-$Y380)+$J380+$Z380+$N380-$AA380-$AB380-$O380))</x:f>
      </x:c>
    </x:row>
    <x:row r="381">
      <x:c r="A381" s="13"/>
      <x:c r="B381" s="14"/>
      <x:c r="C381" s="8"/>
      <x:c r="D381" s="13"/>
      <x:c r="E381" s="7"/>
      <x:c r="F381" s="13"/>
      <x:c r="G381" s="7"/>
      <x:c r="H381" s="7"/>
      <x:c r="I381" s="10"/>
      <x:c r="J381" s="9"/>
      <x:c r="K381" s="10"/>
      <x:c r="L381" s="10"/>
      <x:c r="M381" s="10"/>
      <x:c r="N381" s="9"/>
      <x:c r="O381" s="9"/>
      <x:c r="P381" s="7"/>
      <x:c r="Q381" s="9"/>
      <x:c r="R381" s="8"/>
      <x:c r="S381" s="9"/>
      <x:c r="T381" s="8"/>
      <x:c r="U381" s="13"/>
      <x:c r="V381" s="7"/>
      <x:c r="W381" s="7"/>
      <x:c r="X381" s="9" t="str">
        <x:f>IF($A381="","",SUMIF(Purchase_Items!$A$2:$A$501,$A381,Purchase_Items!$P$2:$P$501))</x:f>
      </x:c>
      <x:c r="Y381" s="9" t="str">
        <x:f>IF($A381="","",$X381*$I381/100)</x:f>
      </x:c>
      <x:c r="Z381" s="9" t="str">
        <x:f>IF($A381="","",MAX(0,($X381-$Y381)*$K381/100))</x:f>
      </x:c>
      <x:c r="AA381" s="9" t="str">
        <x:f>IF($A381="","",MAX(0,($X381-$Y381)*$L381/100))</x:f>
      </x:c>
      <x:c r="AB381" s="9" t="str">
        <x:f>IF($A381="","",MAX(0,($X381-$Y381)*$M381/100))</x:f>
      </x:c>
      <x:c r="AC381" s="9" t="str">
        <x:f>IF($A381="","",MAX(0,($X381-$Y381)+$J381+$Z381+$N381-$AA381-$AB381-$O381))</x:f>
      </x:c>
    </x:row>
    <x:row r="382">
      <x:c r="A382" s="13"/>
      <x:c r="B382" s="14"/>
      <x:c r="C382" s="8"/>
      <x:c r="D382" s="13"/>
      <x:c r="E382" s="7"/>
      <x:c r="F382" s="13"/>
      <x:c r="G382" s="7"/>
      <x:c r="H382" s="7"/>
      <x:c r="I382" s="10"/>
      <x:c r="J382" s="9"/>
      <x:c r="K382" s="10"/>
      <x:c r="L382" s="10"/>
      <x:c r="M382" s="10"/>
      <x:c r="N382" s="9"/>
      <x:c r="O382" s="9"/>
      <x:c r="P382" s="7"/>
      <x:c r="Q382" s="9"/>
      <x:c r="R382" s="8"/>
      <x:c r="S382" s="9"/>
      <x:c r="T382" s="8"/>
      <x:c r="U382" s="13"/>
      <x:c r="V382" s="7"/>
      <x:c r="W382" s="7"/>
      <x:c r="X382" s="9" t="str">
        <x:f>IF($A382="","",SUMIF(Purchase_Items!$A$2:$A$501,$A382,Purchase_Items!$P$2:$P$501))</x:f>
      </x:c>
      <x:c r="Y382" s="9" t="str">
        <x:f>IF($A382="","",$X382*$I382/100)</x:f>
      </x:c>
      <x:c r="Z382" s="9" t="str">
        <x:f>IF($A382="","",MAX(0,($X382-$Y382)*$K382/100))</x:f>
      </x:c>
      <x:c r="AA382" s="9" t="str">
        <x:f>IF($A382="","",MAX(0,($X382-$Y382)*$L382/100))</x:f>
      </x:c>
      <x:c r="AB382" s="9" t="str">
        <x:f>IF($A382="","",MAX(0,($X382-$Y382)*$M382/100))</x:f>
      </x:c>
      <x:c r="AC382" s="9" t="str">
        <x:f>IF($A382="","",MAX(0,($X382-$Y382)+$J382+$Z382+$N382-$AA382-$AB382-$O382))</x:f>
      </x:c>
    </x:row>
    <x:row r="383">
      <x:c r="A383" s="13"/>
      <x:c r="B383" s="14"/>
      <x:c r="C383" s="8"/>
      <x:c r="D383" s="13"/>
      <x:c r="E383" s="7"/>
      <x:c r="F383" s="13"/>
      <x:c r="G383" s="7"/>
      <x:c r="H383" s="7"/>
      <x:c r="I383" s="10"/>
      <x:c r="J383" s="9"/>
      <x:c r="K383" s="10"/>
      <x:c r="L383" s="10"/>
      <x:c r="M383" s="10"/>
      <x:c r="N383" s="9"/>
      <x:c r="O383" s="9"/>
      <x:c r="P383" s="7"/>
      <x:c r="Q383" s="9"/>
      <x:c r="R383" s="8"/>
      <x:c r="S383" s="9"/>
      <x:c r="T383" s="8"/>
      <x:c r="U383" s="13"/>
      <x:c r="V383" s="7"/>
      <x:c r="W383" s="7"/>
      <x:c r="X383" s="9" t="str">
        <x:f>IF($A383="","",SUMIF(Purchase_Items!$A$2:$A$501,$A383,Purchase_Items!$P$2:$P$501))</x:f>
      </x:c>
      <x:c r="Y383" s="9" t="str">
        <x:f>IF($A383="","",$X383*$I383/100)</x:f>
      </x:c>
      <x:c r="Z383" s="9" t="str">
        <x:f>IF($A383="","",MAX(0,($X383-$Y383)*$K383/100))</x:f>
      </x:c>
      <x:c r="AA383" s="9" t="str">
        <x:f>IF($A383="","",MAX(0,($X383-$Y383)*$L383/100))</x:f>
      </x:c>
      <x:c r="AB383" s="9" t="str">
        <x:f>IF($A383="","",MAX(0,($X383-$Y383)*$M383/100))</x:f>
      </x:c>
      <x:c r="AC383" s="9" t="str">
        <x:f>IF($A383="","",MAX(0,($X383-$Y383)+$J383+$Z383+$N383-$AA383-$AB383-$O383))</x:f>
      </x:c>
    </x:row>
    <x:row r="384">
      <x:c r="A384" s="13"/>
      <x:c r="B384" s="14"/>
      <x:c r="C384" s="8"/>
      <x:c r="D384" s="13"/>
      <x:c r="E384" s="7"/>
      <x:c r="F384" s="13"/>
      <x:c r="G384" s="7"/>
      <x:c r="H384" s="7"/>
      <x:c r="I384" s="10"/>
      <x:c r="J384" s="9"/>
      <x:c r="K384" s="10"/>
      <x:c r="L384" s="10"/>
      <x:c r="M384" s="10"/>
      <x:c r="N384" s="9"/>
      <x:c r="O384" s="9"/>
      <x:c r="P384" s="7"/>
      <x:c r="Q384" s="9"/>
      <x:c r="R384" s="8"/>
      <x:c r="S384" s="9"/>
      <x:c r="T384" s="8"/>
      <x:c r="U384" s="13"/>
      <x:c r="V384" s="7"/>
      <x:c r="W384" s="7"/>
      <x:c r="X384" s="9" t="str">
        <x:f>IF($A384="","",SUMIF(Purchase_Items!$A$2:$A$501,$A384,Purchase_Items!$P$2:$P$501))</x:f>
      </x:c>
      <x:c r="Y384" s="9" t="str">
        <x:f>IF($A384="","",$X384*$I384/100)</x:f>
      </x:c>
      <x:c r="Z384" s="9" t="str">
        <x:f>IF($A384="","",MAX(0,($X384-$Y384)*$K384/100))</x:f>
      </x:c>
      <x:c r="AA384" s="9" t="str">
        <x:f>IF($A384="","",MAX(0,($X384-$Y384)*$L384/100))</x:f>
      </x:c>
      <x:c r="AB384" s="9" t="str">
        <x:f>IF($A384="","",MAX(0,($X384-$Y384)*$M384/100))</x:f>
      </x:c>
      <x:c r="AC384" s="9" t="str">
        <x:f>IF($A384="","",MAX(0,($X384-$Y384)+$J384+$Z384+$N384-$AA384-$AB384-$O384))</x:f>
      </x:c>
    </x:row>
    <x:row r="385">
      <x:c r="A385" s="13"/>
      <x:c r="B385" s="14"/>
      <x:c r="C385" s="8"/>
      <x:c r="D385" s="13"/>
      <x:c r="E385" s="7"/>
      <x:c r="F385" s="13"/>
      <x:c r="G385" s="7"/>
      <x:c r="H385" s="7"/>
      <x:c r="I385" s="10"/>
      <x:c r="J385" s="9"/>
      <x:c r="K385" s="10"/>
      <x:c r="L385" s="10"/>
      <x:c r="M385" s="10"/>
      <x:c r="N385" s="9"/>
      <x:c r="O385" s="9"/>
      <x:c r="P385" s="7"/>
      <x:c r="Q385" s="9"/>
      <x:c r="R385" s="8"/>
      <x:c r="S385" s="9"/>
      <x:c r="T385" s="8"/>
      <x:c r="U385" s="13"/>
      <x:c r="V385" s="7"/>
      <x:c r="W385" s="7"/>
      <x:c r="X385" s="9" t="str">
        <x:f>IF($A385="","",SUMIF(Purchase_Items!$A$2:$A$501,$A385,Purchase_Items!$P$2:$P$501))</x:f>
      </x:c>
      <x:c r="Y385" s="9" t="str">
        <x:f>IF($A385="","",$X385*$I385/100)</x:f>
      </x:c>
      <x:c r="Z385" s="9" t="str">
        <x:f>IF($A385="","",MAX(0,($X385-$Y385)*$K385/100))</x:f>
      </x:c>
      <x:c r="AA385" s="9" t="str">
        <x:f>IF($A385="","",MAX(0,($X385-$Y385)*$L385/100))</x:f>
      </x:c>
      <x:c r="AB385" s="9" t="str">
        <x:f>IF($A385="","",MAX(0,($X385-$Y385)*$M385/100))</x:f>
      </x:c>
      <x:c r="AC385" s="9" t="str">
        <x:f>IF($A385="","",MAX(0,($X385-$Y385)+$J385+$Z385+$N385-$AA385-$AB385-$O385))</x:f>
      </x:c>
    </x:row>
    <x:row r="386">
      <x:c r="A386" s="13"/>
      <x:c r="B386" s="14"/>
      <x:c r="C386" s="8"/>
      <x:c r="D386" s="13"/>
      <x:c r="E386" s="7"/>
      <x:c r="F386" s="13"/>
      <x:c r="G386" s="7"/>
      <x:c r="H386" s="7"/>
      <x:c r="I386" s="10"/>
      <x:c r="J386" s="9"/>
      <x:c r="K386" s="10"/>
      <x:c r="L386" s="10"/>
      <x:c r="M386" s="10"/>
      <x:c r="N386" s="9"/>
      <x:c r="O386" s="9"/>
      <x:c r="P386" s="7"/>
      <x:c r="Q386" s="9"/>
      <x:c r="R386" s="8"/>
      <x:c r="S386" s="9"/>
      <x:c r="T386" s="8"/>
      <x:c r="U386" s="13"/>
      <x:c r="V386" s="7"/>
      <x:c r="W386" s="7"/>
      <x:c r="X386" s="9" t="str">
        <x:f>IF($A386="","",SUMIF(Purchase_Items!$A$2:$A$501,$A386,Purchase_Items!$P$2:$P$501))</x:f>
      </x:c>
      <x:c r="Y386" s="9" t="str">
        <x:f>IF($A386="","",$X386*$I386/100)</x:f>
      </x:c>
      <x:c r="Z386" s="9" t="str">
        <x:f>IF($A386="","",MAX(0,($X386-$Y386)*$K386/100))</x:f>
      </x:c>
      <x:c r="AA386" s="9" t="str">
        <x:f>IF($A386="","",MAX(0,($X386-$Y386)*$L386/100))</x:f>
      </x:c>
      <x:c r="AB386" s="9" t="str">
        <x:f>IF($A386="","",MAX(0,($X386-$Y386)*$M386/100))</x:f>
      </x:c>
      <x:c r="AC386" s="9" t="str">
        <x:f>IF($A386="","",MAX(0,($X386-$Y386)+$J386+$Z386+$N386-$AA386-$AB386-$O386))</x:f>
      </x:c>
    </x:row>
    <x:row r="387">
      <x:c r="A387" s="13"/>
      <x:c r="B387" s="14"/>
      <x:c r="C387" s="8"/>
      <x:c r="D387" s="13"/>
      <x:c r="E387" s="7"/>
      <x:c r="F387" s="13"/>
      <x:c r="G387" s="7"/>
      <x:c r="H387" s="7"/>
      <x:c r="I387" s="10"/>
      <x:c r="J387" s="9"/>
      <x:c r="K387" s="10"/>
      <x:c r="L387" s="10"/>
      <x:c r="M387" s="10"/>
      <x:c r="N387" s="9"/>
      <x:c r="O387" s="9"/>
      <x:c r="P387" s="7"/>
      <x:c r="Q387" s="9"/>
      <x:c r="R387" s="8"/>
      <x:c r="S387" s="9"/>
      <x:c r="T387" s="8"/>
      <x:c r="U387" s="13"/>
      <x:c r="V387" s="7"/>
      <x:c r="W387" s="7"/>
      <x:c r="X387" s="9" t="str">
        <x:f>IF($A387="","",SUMIF(Purchase_Items!$A$2:$A$501,$A387,Purchase_Items!$P$2:$P$501))</x:f>
      </x:c>
      <x:c r="Y387" s="9" t="str">
        <x:f>IF($A387="","",$X387*$I387/100)</x:f>
      </x:c>
      <x:c r="Z387" s="9" t="str">
        <x:f>IF($A387="","",MAX(0,($X387-$Y387)*$K387/100))</x:f>
      </x:c>
      <x:c r="AA387" s="9" t="str">
        <x:f>IF($A387="","",MAX(0,($X387-$Y387)*$L387/100))</x:f>
      </x:c>
      <x:c r="AB387" s="9" t="str">
        <x:f>IF($A387="","",MAX(0,($X387-$Y387)*$M387/100))</x:f>
      </x:c>
      <x:c r="AC387" s="9" t="str">
        <x:f>IF($A387="","",MAX(0,($X387-$Y387)+$J387+$Z387+$N387-$AA387-$AB387-$O387))</x:f>
      </x:c>
    </x:row>
    <x:row r="388">
      <x:c r="A388" s="13"/>
      <x:c r="B388" s="14"/>
      <x:c r="C388" s="8"/>
      <x:c r="D388" s="13"/>
      <x:c r="E388" s="7"/>
      <x:c r="F388" s="13"/>
      <x:c r="G388" s="7"/>
      <x:c r="H388" s="7"/>
      <x:c r="I388" s="10"/>
      <x:c r="J388" s="9"/>
      <x:c r="K388" s="10"/>
      <x:c r="L388" s="10"/>
      <x:c r="M388" s="10"/>
      <x:c r="N388" s="9"/>
      <x:c r="O388" s="9"/>
      <x:c r="P388" s="7"/>
      <x:c r="Q388" s="9"/>
      <x:c r="R388" s="8"/>
      <x:c r="S388" s="9"/>
      <x:c r="T388" s="8"/>
      <x:c r="U388" s="13"/>
      <x:c r="V388" s="7"/>
      <x:c r="W388" s="7"/>
      <x:c r="X388" s="9" t="str">
        <x:f>IF($A388="","",SUMIF(Purchase_Items!$A$2:$A$501,$A388,Purchase_Items!$P$2:$P$501))</x:f>
      </x:c>
      <x:c r="Y388" s="9" t="str">
        <x:f>IF($A388="","",$X388*$I388/100)</x:f>
      </x:c>
      <x:c r="Z388" s="9" t="str">
        <x:f>IF($A388="","",MAX(0,($X388-$Y388)*$K388/100))</x:f>
      </x:c>
      <x:c r="AA388" s="9" t="str">
        <x:f>IF($A388="","",MAX(0,($X388-$Y388)*$L388/100))</x:f>
      </x:c>
      <x:c r="AB388" s="9" t="str">
        <x:f>IF($A388="","",MAX(0,($X388-$Y388)*$M388/100))</x:f>
      </x:c>
      <x:c r="AC388" s="9" t="str">
        <x:f>IF($A388="","",MAX(0,($X388-$Y388)+$J388+$Z388+$N388-$AA388-$AB388-$O388))</x:f>
      </x:c>
    </x:row>
    <x:row r="389">
      <x:c r="A389" s="13"/>
      <x:c r="B389" s="14"/>
      <x:c r="C389" s="8"/>
      <x:c r="D389" s="13"/>
      <x:c r="E389" s="7"/>
      <x:c r="F389" s="13"/>
      <x:c r="G389" s="7"/>
      <x:c r="H389" s="7"/>
      <x:c r="I389" s="10"/>
      <x:c r="J389" s="9"/>
      <x:c r="K389" s="10"/>
      <x:c r="L389" s="10"/>
      <x:c r="M389" s="10"/>
      <x:c r="N389" s="9"/>
      <x:c r="O389" s="9"/>
      <x:c r="P389" s="7"/>
      <x:c r="Q389" s="9"/>
      <x:c r="R389" s="8"/>
      <x:c r="S389" s="9"/>
      <x:c r="T389" s="8"/>
      <x:c r="U389" s="13"/>
      <x:c r="V389" s="7"/>
      <x:c r="W389" s="7"/>
      <x:c r="X389" s="9" t="str">
        <x:f>IF($A389="","",SUMIF(Purchase_Items!$A$2:$A$501,$A389,Purchase_Items!$P$2:$P$501))</x:f>
      </x:c>
      <x:c r="Y389" s="9" t="str">
        <x:f>IF($A389="","",$X389*$I389/100)</x:f>
      </x:c>
      <x:c r="Z389" s="9" t="str">
        <x:f>IF($A389="","",MAX(0,($X389-$Y389)*$K389/100))</x:f>
      </x:c>
      <x:c r="AA389" s="9" t="str">
        <x:f>IF($A389="","",MAX(0,($X389-$Y389)*$L389/100))</x:f>
      </x:c>
      <x:c r="AB389" s="9" t="str">
        <x:f>IF($A389="","",MAX(0,($X389-$Y389)*$M389/100))</x:f>
      </x:c>
      <x:c r="AC389" s="9" t="str">
        <x:f>IF($A389="","",MAX(0,($X389-$Y389)+$J389+$Z389+$N389-$AA389-$AB389-$O389))</x:f>
      </x:c>
    </x:row>
    <x:row r="390">
      <x:c r="A390" s="13"/>
      <x:c r="B390" s="14"/>
      <x:c r="C390" s="8"/>
      <x:c r="D390" s="13"/>
      <x:c r="E390" s="7"/>
      <x:c r="F390" s="13"/>
      <x:c r="G390" s="7"/>
      <x:c r="H390" s="7"/>
      <x:c r="I390" s="10"/>
      <x:c r="J390" s="9"/>
      <x:c r="K390" s="10"/>
      <x:c r="L390" s="10"/>
      <x:c r="M390" s="10"/>
      <x:c r="N390" s="9"/>
      <x:c r="O390" s="9"/>
      <x:c r="P390" s="7"/>
      <x:c r="Q390" s="9"/>
      <x:c r="R390" s="8"/>
      <x:c r="S390" s="9"/>
      <x:c r="T390" s="8"/>
      <x:c r="U390" s="13"/>
      <x:c r="V390" s="7"/>
      <x:c r="W390" s="7"/>
      <x:c r="X390" s="9" t="str">
        <x:f>IF($A390="","",SUMIF(Purchase_Items!$A$2:$A$501,$A390,Purchase_Items!$P$2:$P$501))</x:f>
      </x:c>
      <x:c r="Y390" s="9" t="str">
        <x:f>IF($A390="","",$X390*$I390/100)</x:f>
      </x:c>
      <x:c r="Z390" s="9" t="str">
        <x:f>IF($A390="","",MAX(0,($X390-$Y390)*$K390/100))</x:f>
      </x:c>
      <x:c r="AA390" s="9" t="str">
        <x:f>IF($A390="","",MAX(0,($X390-$Y390)*$L390/100))</x:f>
      </x:c>
      <x:c r="AB390" s="9" t="str">
        <x:f>IF($A390="","",MAX(0,($X390-$Y390)*$M390/100))</x:f>
      </x:c>
      <x:c r="AC390" s="9" t="str">
        <x:f>IF($A390="","",MAX(0,($X390-$Y390)+$J390+$Z390+$N390-$AA390-$AB390-$O390))</x:f>
      </x:c>
    </x:row>
    <x:row r="391">
      <x:c r="A391" s="13"/>
      <x:c r="B391" s="14"/>
      <x:c r="C391" s="8"/>
      <x:c r="D391" s="13"/>
      <x:c r="E391" s="7"/>
      <x:c r="F391" s="13"/>
      <x:c r="G391" s="7"/>
      <x:c r="H391" s="7"/>
      <x:c r="I391" s="10"/>
      <x:c r="J391" s="9"/>
      <x:c r="K391" s="10"/>
      <x:c r="L391" s="10"/>
      <x:c r="M391" s="10"/>
      <x:c r="N391" s="9"/>
      <x:c r="O391" s="9"/>
      <x:c r="P391" s="7"/>
      <x:c r="Q391" s="9"/>
      <x:c r="R391" s="8"/>
      <x:c r="S391" s="9"/>
      <x:c r="T391" s="8"/>
      <x:c r="U391" s="13"/>
      <x:c r="V391" s="7"/>
      <x:c r="W391" s="7"/>
      <x:c r="X391" s="9" t="str">
        <x:f>IF($A391="","",SUMIF(Purchase_Items!$A$2:$A$501,$A391,Purchase_Items!$P$2:$P$501))</x:f>
      </x:c>
      <x:c r="Y391" s="9" t="str">
        <x:f>IF($A391="","",$X391*$I391/100)</x:f>
      </x:c>
      <x:c r="Z391" s="9" t="str">
        <x:f>IF($A391="","",MAX(0,($X391-$Y391)*$K391/100))</x:f>
      </x:c>
      <x:c r="AA391" s="9" t="str">
        <x:f>IF($A391="","",MAX(0,($X391-$Y391)*$L391/100))</x:f>
      </x:c>
      <x:c r="AB391" s="9" t="str">
        <x:f>IF($A391="","",MAX(0,($X391-$Y391)*$M391/100))</x:f>
      </x:c>
      <x:c r="AC391" s="9" t="str">
        <x:f>IF($A391="","",MAX(0,($X391-$Y391)+$J391+$Z391+$N391-$AA391-$AB391-$O391))</x:f>
      </x:c>
    </x:row>
    <x:row r="392">
      <x:c r="A392" s="13"/>
      <x:c r="B392" s="14"/>
      <x:c r="C392" s="8"/>
      <x:c r="D392" s="13"/>
      <x:c r="E392" s="7"/>
      <x:c r="F392" s="13"/>
      <x:c r="G392" s="7"/>
      <x:c r="H392" s="7"/>
      <x:c r="I392" s="10"/>
      <x:c r="J392" s="9"/>
      <x:c r="K392" s="10"/>
      <x:c r="L392" s="10"/>
      <x:c r="M392" s="10"/>
      <x:c r="N392" s="9"/>
      <x:c r="O392" s="9"/>
      <x:c r="P392" s="7"/>
      <x:c r="Q392" s="9"/>
      <x:c r="R392" s="8"/>
      <x:c r="S392" s="9"/>
      <x:c r="T392" s="8"/>
      <x:c r="U392" s="13"/>
      <x:c r="V392" s="7"/>
      <x:c r="W392" s="7"/>
      <x:c r="X392" s="9" t="str">
        <x:f>IF($A392="","",SUMIF(Purchase_Items!$A$2:$A$501,$A392,Purchase_Items!$P$2:$P$501))</x:f>
      </x:c>
      <x:c r="Y392" s="9" t="str">
        <x:f>IF($A392="","",$X392*$I392/100)</x:f>
      </x:c>
      <x:c r="Z392" s="9" t="str">
        <x:f>IF($A392="","",MAX(0,($X392-$Y392)*$K392/100))</x:f>
      </x:c>
      <x:c r="AA392" s="9" t="str">
        <x:f>IF($A392="","",MAX(0,($X392-$Y392)*$L392/100))</x:f>
      </x:c>
      <x:c r="AB392" s="9" t="str">
        <x:f>IF($A392="","",MAX(0,($X392-$Y392)*$M392/100))</x:f>
      </x:c>
      <x:c r="AC392" s="9" t="str">
        <x:f>IF($A392="","",MAX(0,($X392-$Y392)+$J392+$Z392+$N392-$AA392-$AB392-$O392))</x:f>
      </x:c>
    </x:row>
    <x:row r="393">
      <x:c r="A393" s="13"/>
      <x:c r="B393" s="14"/>
      <x:c r="C393" s="8"/>
      <x:c r="D393" s="13"/>
      <x:c r="E393" s="7"/>
      <x:c r="F393" s="13"/>
      <x:c r="G393" s="7"/>
      <x:c r="H393" s="7"/>
      <x:c r="I393" s="10"/>
      <x:c r="J393" s="9"/>
      <x:c r="K393" s="10"/>
      <x:c r="L393" s="10"/>
      <x:c r="M393" s="10"/>
      <x:c r="N393" s="9"/>
      <x:c r="O393" s="9"/>
      <x:c r="P393" s="7"/>
      <x:c r="Q393" s="9"/>
      <x:c r="R393" s="8"/>
      <x:c r="S393" s="9"/>
      <x:c r="T393" s="8"/>
      <x:c r="U393" s="13"/>
      <x:c r="V393" s="7"/>
      <x:c r="W393" s="7"/>
      <x:c r="X393" s="9" t="str">
        <x:f>IF($A393="","",SUMIF(Purchase_Items!$A$2:$A$501,$A393,Purchase_Items!$P$2:$P$501))</x:f>
      </x:c>
      <x:c r="Y393" s="9" t="str">
        <x:f>IF($A393="","",$X393*$I393/100)</x:f>
      </x:c>
      <x:c r="Z393" s="9" t="str">
        <x:f>IF($A393="","",MAX(0,($X393-$Y393)*$K393/100))</x:f>
      </x:c>
      <x:c r="AA393" s="9" t="str">
        <x:f>IF($A393="","",MAX(0,($X393-$Y393)*$L393/100))</x:f>
      </x:c>
      <x:c r="AB393" s="9" t="str">
        <x:f>IF($A393="","",MAX(0,($X393-$Y393)*$M393/100))</x:f>
      </x:c>
      <x:c r="AC393" s="9" t="str">
        <x:f>IF($A393="","",MAX(0,($X393-$Y393)+$J393+$Z393+$N393-$AA393-$AB393-$O393))</x:f>
      </x:c>
    </x:row>
    <x:row r="394">
      <x:c r="A394" s="13"/>
      <x:c r="B394" s="14"/>
      <x:c r="C394" s="8"/>
      <x:c r="D394" s="13"/>
      <x:c r="E394" s="7"/>
      <x:c r="F394" s="13"/>
      <x:c r="G394" s="7"/>
      <x:c r="H394" s="7"/>
      <x:c r="I394" s="10"/>
      <x:c r="J394" s="9"/>
      <x:c r="K394" s="10"/>
      <x:c r="L394" s="10"/>
      <x:c r="M394" s="10"/>
      <x:c r="N394" s="9"/>
      <x:c r="O394" s="9"/>
      <x:c r="P394" s="7"/>
      <x:c r="Q394" s="9"/>
      <x:c r="R394" s="8"/>
      <x:c r="S394" s="9"/>
      <x:c r="T394" s="8"/>
      <x:c r="U394" s="13"/>
      <x:c r="V394" s="7"/>
      <x:c r="W394" s="7"/>
      <x:c r="X394" s="9" t="str">
        <x:f>IF($A394="","",SUMIF(Purchase_Items!$A$2:$A$501,$A394,Purchase_Items!$P$2:$P$501))</x:f>
      </x:c>
      <x:c r="Y394" s="9" t="str">
        <x:f>IF($A394="","",$X394*$I394/100)</x:f>
      </x:c>
      <x:c r="Z394" s="9" t="str">
        <x:f>IF($A394="","",MAX(0,($X394-$Y394)*$K394/100))</x:f>
      </x:c>
      <x:c r="AA394" s="9" t="str">
        <x:f>IF($A394="","",MAX(0,($X394-$Y394)*$L394/100))</x:f>
      </x:c>
      <x:c r="AB394" s="9" t="str">
        <x:f>IF($A394="","",MAX(0,($X394-$Y394)*$M394/100))</x:f>
      </x:c>
      <x:c r="AC394" s="9" t="str">
        <x:f>IF($A394="","",MAX(0,($X394-$Y394)+$J394+$Z394+$N394-$AA394-$AB394-$O394))</x:f>
      </x:c>
    </x:row>
    <x:row r="395">
      <x:c r="A395" s="13"/>
      <x:c r="B395" s="14"/>
      <x:c r="C395" s="8"/>
      <x:c r="D395" s="13"/>
      <x:c r="E395" s="7"/>
      <x:c r="F395" s="13"/>
      <x:c r="G395" s="7"/>
      <x:c r="H395" s="7"/>
      <x:c r="I395" s="10"/>
      <x:c r="J395" s="9"/>
      <x:c r="K395" s="10"/>
      <x:c r="L395" s="10"/>
      <x:c r="M395" s="10"/>
      <x:c r="N395" s="9"/>
      <x:c r="O395" s="9"/>
      <x:c r="P395" s="7"/>
      <x:c r="Q395" s="9"/>
      <x:c r="R395" s="8"/>
      <x:c r="S395" s="9"/>
      <x:c r="T395" s="8"/>
      <x:c r="U395" s="13"/>
      <x:c r="V395" s="7"/>
      <x:c r="W395" s="7"/>
      <x:c r="X395" s="9" t="str">
        <x:f>IF($A395="","",SUMIF(Purchase_Items!$A$2:$A$501,$A395,Purchase_Items!$P$2:$P$501))</x:f>
      </x:c>
      <x:c r="Y395" s="9" t="str">
        <x:f>IF($A395="","",$X395*$I395/100)</x:f>
      </x:c>
      <x:c r="Z395" s="9" t="str">
        <x:f>IF($A395="","",MAX(0,($X395-$Y395)*$K395/100))</x:f>
      </x:c>
      <x:c r="AA395" s="9" t="str">
        <x:f>IF($A395="","",MAX(0,($X395-$Y395)*$L395/100))</x:f>
      </x:c>
      <x:c r="AB395" s="9" t="str">
        <x:f>IF($A395="","",MAX(0,($X395-$Y395)*$M395/100))</x:f>
      </x:c>
      <x:c r="AC395" s="9" t="str">
        <x:f>IF($A395="","",MAX(0,($X395-$Y395)+$J395+$Z395+$N395-$AA395-$AB395-$O395))</x:f>
      </x:c>
    </x:row>
    <x:row r="396">
      <x:c r="A396" s="13"/>
      <x:c r="B396" s="14"/>
      <x:c r="C396" s="8"/>
      <x:c r="D396" s="13"/>
      <x:c r="E396" s="7"/>
      <x:c r="F396" s="13"/>
      <x:c r="G396" s="7"/>
      <x:c r="H396" s="7"/>
      <x:c r="I396" s="10"/>
      <x:c r="J396" s="9"/>
      <x:c r="K396" s="10"/>
      <x:c r="L396" s="10"/>
      <x:c r="M396" s="10"/>
      <x:c r="N396" s="9"/>
      <x:c r="O396" s="9"/>
      <x:c r="P396" s="7"/>
      <x:c r="Q396" s="9"/>
      <x:c r="R396" s="8"/>
      <x:c r="S396" s="9"/>
      <x:c r="T396" s="8"/>
      <x:c r="U396" s="13"/>
      <x:c r="V396" s="7"/>
      <x:c r="W396" s="7"/>
      <x:c r="X396" s="9" t="str">
        <x:f>IF($A396="","",SUMIF(Purchase_Items!$A$2:$A$501,$A396,Purchase_Items!$P$2:$P$501))</x:f>
      </x:c>
      <x:c r="Y396" s="9" t="str">
        <x:f>IF($A396="","",$X396*$I396/100)</x:f>
      </x:c>
      <x:c r="Z396" s="9" t="str">
        <x:f>IF($A396="","",MAX(0,($X396-$Y396)*$K396/100))</x:f>
      </x:c>
      <x:c r="AA396" s="9" t="str">
        <x:f>IF($A396="","",MAX(0,($X396-$Y396)*$L396/100))</x:f>
      </x:c>
      <x:c r="AB396" s="9" t="str">
        <x:f>IF($A396="","",MAX(0,($X396-$Y396)*$M396/100))</x:f>
      </x:c>
      <x:c r="AC396" s="9" t="str">
        <x:f>IF($A396="","",MAX(0,($X396-$Y396)+$J396+$Z396+$N396-$AA396-$AB396-$O396))</x:f>
      </x:c>
    </x:row>
    <x:row r="397">
      <x:c r="A397" s="13"/>
      <x:c r="B397" s="14"/>
      <x:c r="C397" s="8"/>
      <x:c r="D397" s="13"/>
      <x:c r="E397" s="7"/>
      <x:c r="F397" s="13"/>
      <x:c r="G397" s="7"/>
      <x:c r="H397" s="7"/>
      <x:c r="I397" s="10"/>
      <x:c r="J397" s="9"/>
      <x:c r="K397" s="10"/>
      <x:c r="L397" s="10"/>
      <x:c r="M397" s="10"/>
      <x:c r="N397" s="9"/>
      <x:c r="O397" s="9"/>
      <x:c r="P397" s="7"/>
      <x:c r="Q397" s="9"/>
      <x:c r="R397" s="8"/>
      <x:c r="S397" s="9"/>
      <x:c r="T397" s="8"/>
      <x:c r="U397" s="13"/>
      <x:c r="V397" s="7"/>
      <x:c r="W397" s="7"/>
      <x:c r="X397" s="9" t="str">
        <x:f>IF($A397="","",SUMIF(Purchase_Items!$A$2:$A$501,$A397,Purchase_Items!$P$2:$P$501))</x:f>
      </x:c>
      <x:c r="Y397" s="9" t="str">
        <x:f>IF($A397="","",$X397*$I397/100)</x:f>
      </x:c>
      <x:c r="Z397" s="9" t="str">
        <x:f>IF($A397="","",MAX(0,($X397-$Y397)*$K397/100))</x:f>
      </x:c>
      <x:c r="AA397" s="9" t="str">
        <x:f>IF($A397="","",MAX(0,($X397-$Y397)*$L397/100))</x:f>
      </x:c>
      <x:c r="AB397" s="9" t="str">
        <x:f>IF($A397="","",MAX(0,($X397-$Y397)*$M397/100))</x:f>
      </x:c>
      <x:c r="AC397" s="9" t="str">
        <x:f>IF($A397="","",MAX(0,($X397-$Y397)+$J397+$Z397+$N397-$AA397-$AB397-$O397))</x:f>
      </x:c>
    </x:row>
    <x:row r="398">
      <x:c r="A398" s="13"/>
      <x:c r="B398" s="14"/>
      <x:c r="C398" s="8"/>
      <x:c r="D398" s="13"/>
      <x:c r="E398" s="7"/>
      <x:c r="F398" s="13"/>
      <x:c r="G398" s="7"/>
      <x:c r="H398" s="7"/>
      <x:c r="I398" s="10"/>
      <x:c r="J398" s="9"/>
      <x:c r="K398" s="10"/>
      <x:c r="L398" s="10"/>
      <x:c r="M398" s="10"/>
      <x:c r="N398" s="9"/>
      <x:c r="O398" s="9"/>
      <x:c r="P398" s="7"/>
      <x:c r="Q398" s="9"/>
      <x:c r="R398" s="8"/>
      <x:c r="S398" s="9"/>
      <x:c r="T398" s="8"/>
      <x:c r="U398" s="13"/>
      <x:c r="V398" s="7"/>
      <x:c r="W398" s="7"/>
      <x:c r="X398" s="9" t="str">
        <x:f>IF($A398="","",SUMIF(Purchase_Items!$A$2:$A$501,$A398,Purchase_Items!$P$2:$P$501))</x:f>
      </x:c>
      <x:c r="Y398" s="9" t="str">
        <x:f>IF($A398="","",$X398*$I398/100)</x:f>
      </x:c>
      <x:c r="Z398" s="9" t="str">
        <x:f>IF($A398="","",MAX(0,($X398-$Y398)*$K398/100))</x:f>
      </x:c>
      <x:c r="AA398" s="9" t="str">
        <x:f>IF($A398="","",MAX(0,($X398-$Y398)*$L398/100))</x:f>
      </x:c>
      <x:c r="AB398" s="9" t="str">
        <x:f>IF($A398="","",MAX(0,($X398-$Y398)*$M398/100))</x:f>
      </x:c>
      <x:c r="AC398" s="9" t="str">
        <x:f>IF($A398="","",MAX(0,($X398-$Y398)+$J398+$Z398+$N398-$AA398-$AB398-$O398))</x:f>
      </x:c>
    </x:row>
    <x:row r="399">
      <x:c r="A399" s="13"/>
      <x:c r="B399" s="14"/>
      <x:c r="C399" s="8"/>
      <x:c r="D399" s="13"/>
      <x:c r="E399" s="7"/>
      <x:c r="F399" s="13"/>
      <x:c r="G399" s="7"/>
      <x:c r="H399" s="7"/>
      <x:c r="I399" s="10"/>
      <x:c r="J399" s="9"/>
      <x:c r="K399" s="10"/>
      <x:c r="L399" s="10"/>
      <x:c r="M399" s="10"/>
      <x:c r="N399" s="9"/>
      <x:c r="O399" s="9"/>
      <x:c r="P399" s="7"/>
      <x:c r="Q399" s="9"/>
      <x:c r="R399" s="8"/>
      <x:c r="S399" s="9"/>
      <x:c r="T399" s="8"/>
      <x:c r="U399" s="13"/>
      <x:c r="V399" s="7"/>
      <x:c r="W399" s="7"/>
      <x:c r="X399" s="9" t="str">
        <x:f>IF($A399="","",SUMIF(Purchase_Items!$A$2:$A$501,$A399,Purchase_Items!$P$2:$P$501))</x:f>
      </x:c>
      <x:c r="Y399" s="9" t="str">
        <x:f>IF($A399="","",$X399*$I399/100)</x:f>
      </x:c>
      <x:c r="Z399" s="9" t="str">
        <x:f>IF($A399="","",MAX(0,($X399-$Y399)*$K399/100))</x:f>
      </x:c>
      <x:c r="AA399" s="9" t="str">
        <x:f>IF($A399="","",MAX(0,($X399-$Y399)*$L399/100))</x:f>
      </x:c>
      <x:c r="AB399" s="9" t="str">
        <x:f>IF($A399="","",MAX(0,($X399-$Y399)*$M399/100))</x:f>
      </x:c>
      <x:c r="AC399" s="9" t="str">
        <x:f>IF($A399="","",MAX(0,($X399-$Y399)+$J399+$Z399+$N399-$AA399-$AB399-$O399))</x:f>
      </x:c>
    </x:row>
    <x:row r="400">
      <x:c r="A400" s="13"/>
      <x:c r="B400" s="14"/>
      <x:c r="C400" s="8"/>
      <x:c r="D400" s="13"/>
      <x:c r="E400" s="7"/>
      <x:c r="F400" s="13"/>
      <x:c r="G400" s="7"/>
      <x:c r="H400" s="7"/>
      <x:c r="I400" s="10"/>
      <x:c r="J400" s="9"/>
      <x:c r="K400" s="10"/>
      <x:c r="L400" s="10"/>
      <x:c r="M400" s="10"/>
      <x:c r="N400" s="9"/>
      <x:c r="O400" s="9"/>
      <x:c r="P400" s="7"/>
      <x:c r="Q400" s="9"/>
      <x:c r="R400" s="8"/>
      <x:c r="S400" s="9"/>
      <x:c r="T400" s="8"/>
      <x:c r="U400" s="13"/>
      <x:c r="V400" s="7"/>
      <x:c r="W400" s="7"/>
      <x:c r="X400" s="9" t="str">
        <x:f>IF($A400="","",SUMIF(Purchase_Items!$A$2:$A$501,$A400,Purchase_Items!$P$2:$P$501))</x:f>
      </x:c>
      <x:c r="Y400" s="9" t="str">
        <x:f>IF($A400="","",$X400*$I400/100)</x:f>
      </x:c>
      <x:c r="Z400" s="9" t="str">
        <x:f>IF($A400="","",MAX(0,($X400-$Y400)*$K400/100))</x:f>
      </x:c>
      <x:c r="AA400" s="9" t="str">
        <x:f>IF($A400="","",MAX(0,($X400-$Y400)*$L400/100))</x:f>
      </x:c>
      <x:c r="AB400" s="9" t="str">
        <x:f>IF($A400="","",MAX(0,($X400-$Y400)*$M400/100))</x:f>
      </x:c>
      <x:c r="AC400" s="9" t="str">
        <x:f>IF($A400="","",MAX(0,($X400-$Y400)+$J400+$Z400+$N400-$AA400-$AB400-$O400))</x:f>
      </x:c>
    </x:row>
    <x:row r="401">
      <x:c r="A401" s="13"/>
      <x:c r="B401" s="14"/>
      <x:c r="C401" s="8"/>
      <x:c r="D401" s="13"/>
      <x:c r="E401" s="7"/>
      <x:c r="F401" s="13"/>
      <x:c r="G401" s="7"/>
      <x:c r="H401" s="7"/>
      <x:c r="I401" s="10"/>
      <x:c r="J401" s="9"/>
      <x:c r="K401" s="10"/>
      <x:c r="L401" s="10"/>
      <x:c r="M401" s="10"/>
      <x:c r="N401" s="9"/>
      <x:c r="O401" s="9"/>
      <x:c r="P401" s="7"/>
      <x:c r="Q401" s="9"/>
      <x:c r="R401" s="8"/>
      <x:c r="S401" s="9"/>
      <x:c r="T401" s="8"/>
      <x:c r="U401" s="13"/>
      <x:c r="V401" s="7"/>
      <x:c r="W401" s="7"/>
      <x:c r="X401" s="9" t="str">
        <x:f>IF($A401="","",SUMIF(Purchase_Items!$A$2:$A$501,$A401,Purchase_Items!$P$2:$P$501))</x:f>
      </x:c>
      <x:c r="Y401" s="9" t="str">
        <x:f>IF($A401="","",$X401*$I401/100)</x:f>
      </x:c>
      <x:c r="Z401" s="9" t="str">
        <x:f>IF($A401="","",MAX(0,($X401-$Y401)*$K401/100))</x:f>
      </x:c>
      <x:c r="AA401" s="9" t="str">
        <x:f>IF($A401="","",MAX(0,($X401-$Y401)*$L401/100))</x:f>
      </x:c>
      <x:c r="AB401" s="9" t="str">
        <x:f>IF($A401="","",MAX(0,($X401-$Y401)*$M401/100))</x:f>
      </x:c>
      <x:c r="AC401" s="9" t="str">
        <x:f>IF($A401="","",MAX(0,($X401-$Y401)+$J401+$Z401+$N401-$AA401-$AB401-$O401))</x:f>
      </x:c>
    </x:row>
    <x:row r="402">
      <x:c r="A402" s="13"/>
      <x:c r="B402" s="14"/>
      <x:c r="C402" s="8"/>
      <x:c r="D402" s="13"/>
      <x:c r="E402" s="7"/>
      <x:c r="F402" s="13"/>
      <x:c r="G402" s="7"/>
      <x:c r="H402" s="7"/>
      <x:c r="I402" s="10"/>
      <x:c r="J402" s="9"/>
      <x:c r="K402" s="10"/>
      <x:c r="L402" s="10"/>
      <x:c r="M402" s="10"/>
      <x:c r="N402" s="9"/>
      <x:c r="O402" s="9"/>
      <x:c r="P402" s="7"/>
      <x:c r="Q402" s="9"/>
      <x:c r="R402" s="8"/>
      <x:c r="S402" s="9"/>
      <x:c r="T402" s="8"/>
      <x:c r="U402" s="13"/>
      <x:c r="V402" s="7"/>
      <x:c r="W402" s="7"/>
      <x:c r="X402" s="9" t="str">
        <x:f>IF($A402="","",SUMIF(Purchase_Items!$A$2:$A$501,$A402,Purchase_Items!$P$2:$P$501))</x:f>
      </x:c>
      <x:c r="Y402" s="9" t="str">
        <x:f>IF($A402="","",$X402*$I402/100)</x:f>
      </x:c>
      <x:c r="Z402" s="9" t="str">
        <x:f>IF($A402="","",MAX(0,($X402-$Y402)*$K402/100))</x:f>
      </x:c>
      <x:c r="AA402" s="9" t="str">
        <x:f>IF($A402="","",MAX(0,($X402-$Y402)*$L402/100))</x:f>
      </x:c>
      <x:c r="AB402" s="9" t="str">
        <x:f>IF($A402="","",MAX(0,($X402-$Y402)*$M402/100))</x:f>
      </x:c>
      <x:c r="AC402" s="9" t="str">
        <x:f>IF($A402="","",MAX(0,($X402-$Y402)+$J402+$Z402+$N402-$AA402-$AB402-$O402))</x:f>
      </x:c>
    </x:row>
    <x:row r="403">
      <x:c r="A403" s="13"/>
      <x:c r="B403" s="14"/>
      <x:c r="C403" s="8"/>
      <x:c r="D403" s="13"/>
      <x:c r="E403" s="7"/>
      <x:c r="F403" s="13"/>
      <x:c r="G403" s="7"/>
      <x:c r="H403" s="7"/>
      <x:c r="I403" s="10"/>
      <x:c r="J403" s="9"/>
      <x:c r="K403" s="10"/>
      <x:c r="L403" s="10"/>
      <x:c r="M403" s="10"/>
      <x:c r="N403" s="9"/>
      <x:c r="O403" s="9"/>
      <x:c r="P403" s="7"/>
      <x:c r="Q403" s="9"/>
      <x:c r="R403" s="8"/>
      <x:c r="S403" s="9"/>
      <x:c r="T403" s="8"/>
      <x:c r="U403" s="13"/>
      <x:c r="V403" s="7"/>
      <x:c r="W403" s="7"/>
      <x:c r="X403" s="9" t="str">
        <x:f>IF($A403="","",SUMIF(Purchase_Items!$A$2:$A$501,$A403,Purchase_Items!$P$2:$P$501))</x:f>
      </x:c>
      <x:c r="Y403" s="9" t="str">
        <x:f>IF($A403="","",$X403*$I403/100)</x:f>
      </x:c>
      <x:c r="Z403" s="9" t="str">
        <x:f>IF($A403="","",MAX(0,($X403-$Y403)*$K403/100))</x:f>
      </x:c>
      <x:c r="AA403" s="9" t="str">
        <x:f>IF($A403="","",MAX(0,($X403-$Y403)*$L403/100))</x:f>
      </x:c>
      <x:c r="AB403" s="9" t="str">
        <x:f>IF($A403="","",MAX(0,($X403-$Y403)*$M403/100))</x:f>
      </x:c>
      <x:c r="AC403" s="9" t="str">
        <x:f>IF($A403="","",MAX(0,($X403-$Y403)+$J403+$Z403+$N403-$AA403-$AB403-$O403))</x:f>
      </x:c>
    </x:row>
    <x:row r="404">
      <x:c r="A404" s="13"/>
      <x:c r="B404" s="14"/>
      <x:c r="C404" s="8"/>
      <x:c r="D404" s="13"/>
      <x:c r="E404" s="7"/>
      <x:c r="F404" s="13"/>
      <x:c r="G404" s="7"/>
      <x:c r="H404" s="7"/>
      <x:c r="I404" s="10"/>
      <x:c r="J404" s="9"/>
      <x:c r="K404" s="10"/>
      <x:c r="L404" s="10"/>
      <x:c r="M404" s="10"/>
      <x:c r="N404" s="9"/>
      <x:c r="O404" s="9"/>
      <x:c r="P404" s="7"/>
      <x:c r="Q404" s="9"/>
      <x:c r="R404" s="8"/>
      <x:c r="S404" s="9"/>
      <x:c r="T404" s="8"/>
      <x:c r="U404" s="13"/>
      <x:c r="V404" s="7"/>
      <x:c r="W404" s="7"/>
      <x:c r="X404" s="9" t="str">
        <x:f>IF($A404="","",SUMIF(Purchase_Items!$A$2:$A$501,$A404,Purchase_Items!$P$2:$P$501))</x:f>
      </x:c>
      <x:c r="Y404" s="9" t="str">
        <x:f>IF($A404="","",$X404*$I404/100)</x:f>
      </x:c>
      <x:c r="Z404" s="9" t="str">
        <x:f>IF($A404="","",MAX(0,($X404-$Y404)*$K404/100))</x:f>
      </x:c>
      <x:c r="AA404" s="9" t="str">
        <x:f>IF($A404="","",MAX(0,($X404-$Y404)*$L404/100))</x:f>
      </x:c>
      <x:c r="AB404" s="9" t="str">
        <x:f>IF($A404="","",MAX(0,($X404-$Y404)*$M404/100))</x:f>
      </x:c>
      <x:c r="AC404" s="9" t="str">
        <x:f>IF($A404="","",MAX(0,($X404-$Y404)+$J404+$Z404+$N404-$AA404-$AB404-$O404))</x:f>
      </x:c>
    </x:row>
    <x:row r="405">
      <x:c r="A405" s="13"/>
      <x:c r="B405" s="14"/>
      <x:c r="C405" s="8"/>
      <x:c r="D405" s="13"/>
      <x:c r="E405" s="7"/>
      <x:c r="F405" s="13"/>
      <x:c r="G405" s="7"/>
      <x:c r="H405" s="7"/>
      <x:c r="I405" s="10"/>
      <x:c r="J405" s="9"/>
      <x:c r="K405" s="10"/>
      <x:c r="L405" s="10"/>
      <x:c r="M405" s="10"/>
      <x:c r="N405" s="9"/>
      <x:c r="O405" s="9"/>
      <x:c r="P405" s="7"/>
      <x:c r="Q405" s="9"/>
      <x:c r="R405" s="8"/>
      <x:c r="S405" s="9"/>
      <x:c r="T405" s="8"/>
      <x:c r="U405" s="13"/>
      <x:c r="V405" s="7"/>
      <x:c r="W405" s="7"/>
      <x:c r="X405" s="9" t="str">
        <x:f>IF($A405="","",SUMIF(Purchase_Items!$A$2:$A$501,$A405,Purchase_Items!$P$2:$P$501))</x:f>
      </x:c>
      <x:c r="Y405" s="9" t="str">
        <x:f>IF($A405="","",$X405*$I405/100)</x:f>
      </x:c>
      <x:c r="Z405" s="9" t="str">
        <x:f>IF($A405="","",MAX(0,($X405-$Y405)*$K405/100))</x:f>
      </x:c>
      <x:c r="AA405" s="9" t="str">
        <x:f>IF($A405="","",MAX(0,($X405-$Y405)*$L405/100))</x:f>
      </x:c>
      <x:c r="AB405" s="9" t="str">
        <x:f>IF($A405="","",MAX(0,($X405-$Y405)*$M405/100))</x:f>
      </x:c>
      <x:c r="AC405" s="9" t="str">
        <x:f>IF($A405="","",MAX(0,($X405-$Y405)+$J405+$Z405+$N405-$AA405-$AB405-$O405))</x:f>
      </x:c>
    </x:row>
    <x:row r="406">
      <x:c r="A406" s="13"/>
      <x:c r="B406" s="14"/>
      <x:c r="C406" s="8"/>
      <x:c r="D406" s="13"/>
      <x:c r="E406" s="7"/>
      <x:c r="F406" s="13"/>
      <x:c r="G406" s="7"/>
      <x:c r="H406" s="7"/>
      <x:c r="I406" s="10"/>
      <x:c r="J406" s="9"/>
      <x:c r="K406" s="10"/>
      <x:c r="L406" s="10"/>
      <x:c r="M406" s="10"/>
      <x:c r="N406" s="9"/>
      <x:c r="O406" s="9"/>
      <x:c r="P406" s="7"/>
      <x:c r="Q406" s="9"/>
      <x:c r="R406" s="8"/>
      <x:c r="S406" s="9"/>
      <x:c r="T406" s="8"/>
      <x:c r="U406" s="13"/>
      <x:c r="V406" s="7"/>
      <x:c r="W406" s="7"/>
      <x:c r="X406" s="9" t="str">
        <x:f>IF($A406="","",SUMIF(Purchase_Items!$A$2:$A$501,$A406,Purchase_Items!$P$2:$P$501))</x:f>
      </x:c>
      <x:c r="Y406" s="9" t="str">
        <x:f>IF($A406="","",$X406*$I406/100)</x:f>
      </x:c>
      <x:c r="Z406" s="9" t="str">
        <x:f>IF($A406="","",MAX(0,($X406-$Y406)*$K406/100))</x:f>
      </x:c>
      <x:c r="AA406" s="9" t="str">
        <x:f>IF($A406="","",MAX(0,($X406-$Y406)*$L406/100))</x:f>
      </x:c>
      <x:c r="AB406" s="9" t="str">
        <x:f>IF($A406="","",MAX(0,($X406-$Y406)*$M406/100))</x:f>
      </x:c>
      <x:c r="AC406" s="9" t="str">
        <x:f>IF($A406="","",MAX(0,($X406-$Y406)+$J406+$Z406+$N406-$AA406-$AB406-$O406))</x:f>
      </x:c>
    </x:row>
    <x:row r="407">
      <x:c r="A407" s="13"/>
      <x:c r="B407" s="14"/>
      <x:c r="C407" s="8"/>
      <x:c r="D407" s="13"/>
      <x:c r="E407" s="7"/>
      <x:c r="F407" s="13"/>
      <x:c r="G407" s="7"/>
      <x:c r="H407" s="7"/>
      <x:c r="I407" s="10"/>
      <x:c r="J407" s="9"/>
      <x:c r="K407" s="10"/>
      <x:c r="L407" s="10"/>
      <x:c r="M407" s="10"/>
      <x:c r="N407" s="9"/>
      <x:c r="O407" s="9"/>
      <x:c r="P407" s="7"/>
      <x:c r="Q407" s="9"/>
      <x:c r="R407" s="8"/>
      <x:c r="S407" s="9"/>
      <x:c r="T407" s="8"/>
      <x:c r="U407" s="13"/>
      <x:c r="V407" s="7"/>
      <x:c r="W407" s="7"/>
      <x:c r="X407" s="9" t="str">
        <x:f>IF($A407="","",SUMIF(Purchase_Items!$A$2:$A$501,$A407,Purchase_Items!$P$2:$P$501))</x:f>
      </x:c>
      <x:c r="Y407" s="9" t="str">
        <x:f>IF($A407="","",$X407*$I407/100)</x:f>
      </x:c>
      <x:c r="Z407" s="9" t="str">
        <x:f>IF($A407="","",MAX(0,($X407-$Y407)*$K407/100))</x:f>
      </x:c>
      <x:c r="AA407" s="9" t="str">
        <x:f>IF($A407="","",MAX(0,($X407-$Y407)*$L407/100))</x:f>
      </x:c>
      <x:c r="AB407" s="9" t="str">
        <x:f>IF($A407="","",MAX(0,($X407-$Y407)*$M407/100))</x:f>
      </x:c>
      <x:c r="AC407" s="9" t="str">
        <x:f>IF($A407="","",MAX(0,($X407-$Y407)+$J407+$Z407+$N407-$AA407-$AB407-$O407))</x:f>
      </x:c>
    </x:row>
    <x:row r="408">
      <x:c r="A408" s="13"/>
      <x:c r="B408" s="14"/>
      <x:c r="C408" s="8"/>
      <x:c r="D408" s="13"/>
      <x:c r="E408" s="7"/>
      <x:c r="F408" s="13"/>
      <x:c r="G408" s="7"/>
      <x:c r="H408" s="7"/>
      <x:c r="I408" s="10"/>
      <x:c r="J408" s="9"/>
      <x:c r="K408" s="10"/>
      <x:c r="L408" s="10"/>
      <x:c r="M408" s="10"/>
      <x:c r="N408" s="9"/>
      <x:c r="O408" s="9"/>
      <x:c r="P408" s="7"/>
      <x:c r="Q408" s="9"/>
      <x:c r="R408" s="8"/>
      <x:c r="S408" s="9"/>
      <x:c r="T408" s="8"/>
      <x:c r="U408" s="13"/>
      <x:c r="V408" s="7"/>
      <x:c r="W408" s="7"/>
      <x:c r="X408" s="9" t="str">
        <x:f>IF($A408="","",SUMIF(Purchase_Items!$A$2:$A$501,$A408,Purchase_Items!$P$2:$P$501))</x:f>
      </x:c>
      <x:c r="Y408" s="9" t="str">
        <x:f>IF($A408="","",$X408*$I408/100)</x:f>
      </x:c>
      <x:c r="Z408" s="9" t="str">
        <x:f>IF($A408="","",MAX(0,($X408-$Y408)*$K408/100))</x:f>
      </x:c>
      <x:c r="AA408" s="9" t="str">
        <x:f>IF($A408="","",MAX(0,($X408-$Y408)*$L408/100))</x:f>
      </x:c>
      <x:c r="AB408" s="9" t="str">
        <x:f>IF($A408="","",MAX(0,($X408-$Y408)*$M408/100))</x:f>
      </x:c>
      <x:c r="AC408" s="9" t="str">
        <x:f>IF($A408="","",MAX(0,($X408-$Y408)+$J408+$Z408+$N408-$AA408-$AB408-$O408))</x:f>
      </x:c>
    </x:row>
    <x:row r="409">
      <x:c r="A409" s="13"/>
      <x:c r="B409" s="14"/>
      <x:c r="C409" s="8"/>
      <x:c r="D409" s="13"/>
      <x:c r="E409" s="7"/>
      <x:c r="F409" s="13"/>
      <x:c r="G409" s="7"/>
      <x:c r="H409" s="7"/>
      <x:c r="I409" s="10"/>
      <x:c r="J409" s="9"/>
      <x:c r="K409" s="10"/>
      <x:c r="L409" s="10"/>
      <x:c r="M409" s="10"/>
      <x:c r="N409" s="9"/>
      <x:c r="O409" s="9"/>
      <x:c r="P409" s="7"/>
      <x:c r="Q409" s="9"/>
      <x:c r="R409" s="8"/>
      <x:c r="S409" s="9"/>
      <x:c r="T409" s="8"/>
      <x:c r="U409" s="13"/>
      <x:c r="V409" s="7"/>
      <x:c r="W409" s="7"/>
      <x:c r="X409" s="9" t="str">
        <x:f>IF($A409="","",SUMIF(Purchase_Items!$A$2:$A$501,$A409,Purchase_Items!$P$2:$P$501))</x:f>
      </x:c>
      <x:c r="Y409" s="9" t="str">
        <x:f>IF($A409="","",$X409*$I409/100)</x:f>
      </x:c>
      <x:c r="Z409" s="9" t="str">
        <x:f>IF($A409="","",MAX(0,($X409-$Y409)*$K409/100))</x:f>
      </x:c>
      <x:c r="AA409" s="9" t="str">
        <x:f>IF($A409="","",MAX(0,($X409-$Y409)*$L409/100))</x:f>
      </x:c>
      <x:c r="AB409" s="9" t="str">
        <x:f>IF($A409="","",MAX(0,($X409-$Y409)*$M409/100))</x:f>
      </x:c>
      <x:c r="AC409" s="9" t="str">
        <x:f>IF($A409="","",MAX(0,($X409-$Y409)+$J409+$Z409+$N409-$AA409-$AB409-$O409))</x:f>
      </x:c>
    </x:row>
    <x:row r="410">
      <x:c r="A410" s="13"/>
      <x:c r="B410" s="14"/>
      <x:c r="C410" s="8"/>
      <x:c r="D410" s="13"/>
      <x:c r="E410" s="7"/>
      <x:c r="F410" s="13"/>
      <x:c r="G410" s="7"/>
      <x:c r="H410" s="7"/>
      <x:c r="I410" s="10"/>
      <x:c r="J410" s="9"/>
      <x:c r="K410" s="10"/>
      <x:c r="L410" s="10"/>
      <x:c r="M410" s="10"/>
      <x:c r="N410" s="9"/>
      <x:c r="O410" s="9"/>
      <x:c r="P410" s="7"/>
      <x:c r="Q410" s="9"/>
      <x:c r="R410" s="8"/>
      <x:c r="S410" s="9"/>
      <x:c r="T410" s="8"/>
      <x:c r="U410" s="13"/>
      <x:c r="V410" s="7"/>
      <x:c r="W410" s="7"/>
      <x:c r="X410" s="9" t="str">
        <x:f>IF($A410="","",SUMIF(Purchase_Items!$A$2:$A$501,$A410,Purchase_Items!$P$2:$P$501))</x:f>
      </x:c>
      <x:c r="Y410" s="9" t="str">
        <x:f>IF($A410="","",$X410*$I410/100)</x:f>
      </x:c>
      <x:c r="Z410" s="9" t="str">
        <x:f>IF($A410="","",MAX(0,($X410-$Y410)*$K410/100))</x:f>
      </x:c>
      <x:c r="AA410" s="9" t="str">
        <x:f>IF($A410="","",MAX(0,($X410-$Y410)*$L410/100))</x:f>
      </x:c>
      <x:c r="AB410" s="9" t="str">
        <x:f>IF($A410="","",MAX(0,($X410-$Y410)*$M410/100))</x:f>
      </x:c>
      <x:c r="AC410" s="9" t="str">
        <x:f>IF($A410="","",MAX(0,($X410-$Y410)+$J410+$Z410+$N410-$AA410-$AB410-$O410))</x:f>
      </x:c>
    </x:row>
    <x:row r="411">
      <x:c r="A411" s="13"/>
      <x:c r="B411" s="14"/>
      <x:c r="C411" s="8"/>
      <x:c r="D411" s="13"/>
      <x:c r="E411" s="7"/>
      <x:c r="F411" s="13"/>
      <x:c r="G411" s="7"/>
      <x:c r="H411" s="7"/>
      <x:c r="I411" s="10"/>
      <x:c r="J411" s="9"/>
      <x:c r="K411" s="10"/>
      <x:c r="L411" s="10"/>
      <x:c r="M411" s="10"/>
      <x:c r="N411" s="9"/>
      <x:c r="O411" s="9"/>
      <x:c r="P411" s="7"/>
      <x:c r="Q411" s="9"/>
      <x:c r="R411" s="8"/>
      <x:c r="S411" s="9"/>
      <x:c r="T411" s="8"/>
      <x:c r="U411" s="13"/>
      <x:c r="V411" s="7"/>
      <x:c r="W411" s="7"/>
      <x:c r="X411" s="9" t="str">
        <x:f>IF($A411="","",SUMIF(Purchase_Items!$A$2:$A$501,$A411,Purchase_Items!$P$2:$P$501))</x:f>
      </x:c>
      <x:c r="Y411" s="9" t="str">
        <x:f>IF($A411="","",$X411*$I411/100)</x:f>
      </x:c>
      <x:c r="Z411" s="9" t="str">
        <x:f>IF($A411="","",MAX(0,($X411-$Y411)*$K411/100))</x:f>
      </x:c>
      <x:c r="AA411" s="9" t="str">
        <x:f>IF($A411="","",MAX(0,($X411-$Y411)*$L411/100))</x:f>
      </x:c>
      <x:c r="AB411" s="9" t="str">
        <x:f>IF($A411="","",MAX(0,($X411-$Y411)*$M411/100))</x:f>
      </x:c>
      <x:c r="AC411" s="9" t="str">
        <x:f>IF($A411="","",MAX(0,($X411-$Y411)+$J411+$Z411+$N411-$AA411-$AB411-$O411))</x:f>
      </x:c>
    </x:row>
    <x:row r="412">
      <x:c r="A412" s="13"/>
      <x:c r="B412" s="14"/>
      <x:c r="C412" s="8"/>
      <x:c r="D412" s="13"/>
      <x:c r="E412" s="7"/>
      <x:c r="F412" s="13"/>
      <x:c r="G412" s="7"/>
      <x:c r="H412" s="7"/>
      <x:c r="I412" s="10"/>
      <x:c r="J412" s="9"/>
      <x:c r="K412" s="10"/>
      <x:c r="L412" s="10"/>
      <x:c r="M412" s="10"/>
      <x:c r="N412" s="9"/>
      <x:c r="O412" s="9"/>
      <x:c r="P412" s="7"/>
      <x:c r="Q412" s="9"/>
      <x:c r="R412" s="8"/>
      <x:c r="S412" s="9"/>
      <x:c r="T412" s="8"/>
      <x:c r="U412" s="13"/>
      <x:c r="V412" s="7"/>
      <x:c r="W412" s="7"/>
      <x:c r="X412" s="9" t="str">
        <x:f>IF($A412="","",SUMIF(Purchase_Items!$A$2:$A$501,$A412,Purchase_Items!$P$2:$P$501))</x:f>
      </x:c>
      <x:c r="Y412" s="9" t="str">
        <x:f>IF($A412="","",$X412*$I412/100)</x:f>
      </x:c>
      <x:c r="Z412" s="9" t="str">
        <x:f>IF($A412="","",MAX(0,($X412-$Y412)*$K412/100))</x:f>
      </x:c>
      <x:c r="AA412" s="9" t="str">
        <x:f>IF($A412="","",MAX(0,($X412-$Y412)*$L412/100))</x:f>
      </x:c>
      <x:c r="AB412" s="9" t="str">
        <x:f>IF($A412="","",MAX(0,($X412-$Y412)*$M412/100))</x:f>
      </x:c>
      <x:c r="AC412" s="9" t="str">
        <x:f>IF($A412="","",MAX(0,($X412-$Y412)+$J412+$Z412+$N412-$AA412-$AB412-$O412))</x:f>
      </x:c>
    </x:row>
    <x:row r="413">
      <x:c r="A413" s="13"/>
      <x:c r="B413" s="14"/>
      <x:c r="C413" s="8"/>
      <x:c r="D413" s="13"/>
      <x:c r="E413" s="7"/>
      <x:c r="F413" s="13"/>
      <x:c r="G413" s="7"/>
      <x:c r="H413" s="7"/>
      <x:c r="I413" s="10"/>
      <x:c r="J413" s="9"/>
      <x:c r="K413" s="10"/>
      <x:c r="L413" s="10"/>
      <x:c r="M413" s="10"/>
      <x:c r="N413" s="9"/>
      <x:c r="O413" s="9"/>
      <x:c r="P413" s="7"/>
      <x:c r="Q413" s="9"/>
      <x:c r="R413" s="8"/>
      <x:c r="S413" s="9"/>
      <x:c r="T413" s="8"/>
      <x:c r="U413" s="13"/>
      <x:c r="V413" s="7"/>
      <x:c r="W413" s="7"/>
      <x:c r="X413" s="9" t="str">
        <x:f>IF($A413="","",SUMIF(Purchase_Items!$A$2:$A$501,$A413,Purchase_Items!$P$2:$P$501))</x:f>
      </x:c>
      <x:c r="Y413" s="9" t="str">
        <x:f>IF($A413="","",$X413*$I413/100)</x:f>
      </x:c>
      <x:c r="Z413" s="9" t="str">
        <x:f>IF($A413="","",MAX(0,($X413-$Y413)*$K413/100))</x:f>
      </x:c>
      <x:c r="AA413" s="9" t="str">
        <x:f>IF($A413="","",MAX(0,($X413-$Y413)*$L413/100))</x:f>
      </x:c>
      <x:c r="AB413" s="9" t="str">
        <x:f>IF($A413="","",MAX(0,($X413-$Y413)*$M413/100))</x:f>
      </x:c>
      <x:c r="AC413" s="9" t="str">
        <x:f>IF($A413="","",MAX(0,($X413-$Y413)+$J413+$Z413+$N413-$AA413-$AB413-$O413))</x:f>
      </x:c>
    </x:row>
    <x:row r="414">
      <x:c r="A414" s="13"/>
      <x:c r="B414" s="14"/>
      <x:c r="C414" s="8"/>
      <x:c r="D414" s="13"/>
      <x:c r="E414" s="7"/>
      <x:c r="F414" s="13"/>
      <x:c r="G414" s="7"/>
      <x:c r="H414" s="7"/>
      <x:c r="I414" s="10"/>
      <x:c r="J414" s="9"/>
      <x:c r="K414" s="10"/>
      <x:c r="L414" s="10"/>
      <x:c r="M414" s="10"/>
      <x:c r="N414" s="9"/>
      <x:c r="O414" s="9"/>
      <x:c r="P414" s="7"/>
      <x:c r="Q414" s="9"/>
      <x:c r="R414" s="8"/>
      <x:c r="S414" s="9"/>
      <x:c r="T414" s="8"/>
      <x:c r="U414" s="13"/>
      <x:c r="V414" s="7"/>
      <x:c r="W414" s="7"/>
      <x:c r="X414" s="9" t="str">
        <x:f>IF($A414="","",SUMIF(Purchase_Items!$A$2:$A$501,$A414,Purchase_Items!$P$2:$P$501))</x:f>
      </x:c>
      <x:c r="Y414" s="9" t="str">
        <x:f>IF($A414="","",$X414*$I414/100)</x:f>
      </x:c>
      <x:c r="Z414" s="9" t="str">
        <x:f>IF($A414="","",MAX(0,($X414-$Y414)*$K414/100))</x:f>
      </x:c>
      <x:c r="AA414" s="9" t="str">
        <x:f>IF($A414="","",MAX(0,($X414-$Y414)*$L414/100))</x:f>
      </x:c>
      <x:c r="AB414" s="9" t="str">
        <x:f>IF($A414="","",MAX(0,($X414-$Y414)*$M414/100))</x:f>
      </x:c>
      <x:c r="AC414" s="9" t="str">
        <x:f>IF($A414="","",MAX(0,($X414-$Y414)+$J414+$Z414+$N414-$AA414-$AB414-$O414))</x:f>
      </x:c>
    </x:row>
    <x:row r="415">
      <x:c r="A415" s="13"/>
      <x:c r="B415" s="14"/>
      <x:c r="C415" s="8"/>
      <x:c r="D415" s="13"/>
      <x:c r="E415" s="7"/>
      <x:c r="F415" s="13"/>
      <x:c r="G415" s="7"/>
      <x:c r="H415" s="7"/>
      <x:c r="I415" s="10"/>
      <x:c r="J415" s="9"/>
      <x:c r="K415" s="10"/>
      <x:c r="L415" s="10"/>
      <x:c r="M415" s="10"/>
      <x:c r="N415" s="9"/>
      <x:c r="O415" s="9"/>
      <x:c r="P415" s="7"/>
      <x:c r="Q415" s="9"/>
      <x:c r="R415" s="8"/>
      <x:c r="S415" s="9"/>
      <x:c r="T415" s="8"/>
      <x:c r="U415" s="13"/>
      <x:c r="V415" s="7"/>
      <x:c r="W415" s="7"/>
      <x:c r="X415" s="9" t="str">
        <x:f>IF($A415="","",SUMIF(Purchase_Items!$A$2:$A$501,$A415,Purchase_Items!$P$2:$P$501))</x:f>
      </x:c>
      <x:c r="Y415" s="9" t="str">
        <x:f>IF($A415="","",$X415*$I415/100)</x:f>
      </x:c>
      <x:c r="Z415" s="9" t="str">
        <x:f>IF($A415="","",MAX(0,($X415-$Y415)*$K415/100))</x:f>
      </x:c>
      <x:c r="AA415" s="9" t="str">
        <x:f>IF($A415="","",MAX(0,($X415-$Y415)*$L415/100))</x:f>
      </x:c>
      <x:c r="AB415" s="9" t="str">
        <x:f>IF($A415="","",MAX(0,($X415-$Y415)*$M415/100))</x:f>
      </x:c>
      <x:c r="AC415" s="9" t="str">
        <x:f>IF($A415="","",MAX(0,($X415-$Y415)+$J415+$Z415+$N415-$AA415-$AB415-$O415))</x:f>
      </x:c>
    </x:row>
    <x:row r="416">
      <x:c r="A416" s="13"/>
      <x:c r="B416" s="14"/>
      <x:c r="C416" s="8"/>
      <x:c r="D416" s="13"/>
      <x:c r="E416" s="7"/>
      <x:c r="F416" s="13"/>
      <x:c r="G416" s="7"/>
      <x:c r="H416" s="7"/>
      <x:c r="I416" s="10"/>
      <x:c r="J416" s="9"/>
      <x:c r="K416" s="10"/>
      <x:c r="L416" s="10"/>
      <x:c r="M416" s="10"/>
      <x:c r="N416" s="9"/>
      <x:c r="O416" s="9"/>
      <x:c r="P416" s="7"/>
      <x:c r="Q416" s="9"/>
      <x:c r="R416" s="8"/>
      <x:c r="S416" s="9"/>
      <x:c r="T416" s="8"/>
      <x:c r="U416" s="13"/>
      <x:c r="V416" s="7"/>
      <x:c r="W416" s="7"/>
      <x:c r="X416" s="9" t="str">
        <x:f>IF($A416="","",SUMIF(Purchase_Items!$A$2:$A$501,$A416,Purchase_Items!$P$2:$P$501))</x:f>
      </x:c>
      <x:c r="Y416" s="9" t="str">
        <x:f>IF($A416="","",$X416*$I416/100)</x:f>
      </x:c>
      <x:c r="Z416" s="9" t="str">
        <x:f>IF($A416="","",MAX(0,($X416-$Y416)*$K416/100))</x:f>
      </x:c>
      <x:c r="AA416" s="9" t="str">
        <x:f>IF($A416="","",MAX(0,($X416-$Y416)*$L416/100))</x:f>
      </x:c>
      <x:c r="AB416" s="9" t="str">
        <x:f>IF($A416="","",MAX(0,($X416-$Y416)*$M416/100))</x:f>
      </x:c>
      <x:c r="AC416" s="9" t="str">
        <x:f>IF($A416="","",MAX(0,($X416-$Y416)+$J416+$Z416+$N416-$AA416-$AB416-$O416))</x:f>
      </x:c>
    </x:row>
    <x:row r="417">
      <x:c r="A417" s="13"/>
      <x:c r="B417" s="14"/>
      <x:c r="C417" s="8"/>
      <x:c r="D417" s="13"/>
      <x:c r="E417" s="7"/>
      <x:c r="F417" s="13"/>
      <x:c r="G417" s="7"/>
      <x:c r="H417" s="7"/>
      <x:c r="I417" s="10"/>
      <x:c r="J417" s="9"/>
      <x:c r="K417" s="10"/>
      <x:c r="L417" s="10"/>
      <x:c r="M417" s="10"/>
      <x:c r="N417" s="9"/>
      <x:c r="O417" s="9"/>
      <x:c r="P417" s="7"/>
      <x:c r="Q417" s="9"/>
      <x:c r="R417" s="8"/>
      <x:c r="S417" s="9"/>
      <x:c r="T417" s="8"/>
      <x:c r="U417" s="13"/>
      <x:c r="V417" s="7"/>
      <x:c r="W417" s="7"/>
      <x:c r="X417" s="9" t="str">
        <x:f>IF($A417="","",SUMIF(Purchase_Items!$A$2:$A$501,$A417,Purchase_Items!$P$2:$P$501))</x:f>
      </x:c>
      <x:c r="Y417" s="9" t="str">
        <x:f>IF($A417="","",$X417*$I417/100)</x:f>
      </x:c>
      <x:c r="Z417" s="9" t="str">
        <x:f>IF($A417="","",MAX(0,($X417-$Y417)*$K417/100))</x:f>
      </x:c>
      <x:c r="AA417" s="9" t="str">
        <x:f>IF($A417="","",MAX(0,($X417-$Y417)*$L417/100))</x:f>
      </x:c>
      <x:c r="AB417" s="9" t="str">
        <x:f>IF($A417="","",MAX(0,($X417-$Y417)*$M417/100))</x:f>
      </x:c>
      <x:c r="AC417" s="9" t="str">
        <x:f>IF($A417="","",MAX(0,($X417-$Y417)+$J417+$Z417+$N417-$AA417-$AB417-$O417))</x:f>
      </x:c>
    </x:row>
    <x:row r="418">
      <x:c r="A418" s="13"/>
      <x:c r="B418" s="14"/>
      <x:c r="C418" s="8"/>
      <x:c r="D418" s="13"/>
      <x:c r="E418" s="7"/>
      <x:c r="F418" s="13"/>
      <x:c r="G418" s="7"/>
      <x:c r="H418" s="7"/>
      <x:c r="I418" s="10"/>
      <x:c r="J418" s="9"/>
      <x:c r="K418" s="10"/>
      <x:c r="L418" s="10"/>
      <x:c r="M418" s="10"/>
      <x:c r="N418" s="9"/>
      <x:c r="O418" s="9"/>
      <x:c r="P418" s="7"/>
      <x:c r="Q418" s="9"/>
      <x:c r="R418" s="8"/>
      <x:c r="S418" s="9"/>
      <x:c r="T418" s="8"/>
      <x:c r="U418" s="13"/>
      <x:c r="V418" s="7"/>
      <x:c r="W418" s="7"/>
      <x:c r="X418" s="9" t="str">
        <x:f>IF($A418="","",SUMIF(Purchase_Items!$A$2:$A$501,$A418,Purchase_Items!$P$2:$P$501))</x:f>
      </x:c>
      <x:c r="Y418" s="9" t="str">
        <x:f>IF($A418="","",$X418*$I418/100)</x:f>
      </x:c>
      <x:c r="Z418" s="9" t="str">
        <x:f>IF($A418="","",MAX(0,($X418-$Y418)*$K418/100))</x:f>
      </x:c>
      <x:c r="AA418" s="9" t="str">
        <x:f>IF($A418="","",MAX(0,($X418-$Y418)*$L418/100))</x:f>
      </x:c>
      <x:c r="AB418" s="9" t="str">
        <x:f>IF($A418="","",MAX(0,($X418-$Y418)*$M418/100))</x:f>
      </x:c>
      <x:c r="AC418" s="9" t="str">
        <x:f>IF($A418="","",MAX(0,($X418-$Y418)+$J418+$Z418+$N418-$AA418-$AB418-$O418))</x:f>
      </x:c>
    </x:row>
    <x:row r="419">
      <x:c r="A419" s="13"/>
      <x:c r="B419" s="14"/>
      <x:c r="C419" s="8"/>
      <x:c r="D419" s="13"/>
      <x:c r="E419" s="7"/>
      <x:c r="F419" s="13"/>
      <x:c r="G419" s="7"/>
      <x:c r="H419" s="7"/>
      <x:c r="I419" s="10"/>
      <x:c r="J419" s="9"/>
      <x:c r="K419" s="10"/>
      <x:c r="L419" s="10"/>
      <x:c r="M419" s="10"/>
      <x:c r="N419" s="9"/>
      <x:c r="O419" s="9"/>
      <x:c r="P419" s="7"/>
      <x:c r="Q419" s="9"/>
      <x:c r="R419" s="8"/>
      <x:c r="S419" s="9"/>
      <x:c r="T419" s="8"/>
      <x:c r="U419" s="13"/>
      <x:c r="V419" s="7"/>
      <x:c r="W419" s="7"/>
      <x:c r="X419" s="9" t="str">
        <x:f>IF($A419="","",SUMIF(Purchase_Items!$A$2:$A$501,$A419,Purchase_Items!$P$2:$P$501))</x:f>
      </x:c>
      <x:c r="Y419" s="9" t="str">
        <x:f>IF($A419="","",$X419*$I419/100)</x:f>
      </x:c>
      <x:c r="Z419" s="9" t="str">
        <x:f>IF($A419="","",MAX(0,($X419-$Y419)*$K419/100))</x:f>
      </x:c>
      <x:c r="AA419" s="9" t="str">
        <x:f>IF($A419="","",MAX(0,($X419-$Y419)*$L419/100))</x:f>
      </x:c>
      <x:c r="AB419" s="9" t="str">
        <x:f>IF($A419="","",MAX(0,($X419-$Y419)*$M419/100))</x:f>
      </x:c>
      <x:c r="AC419" s="9" t="str">
        <x:f>IF($A419="","",MAX(0,($X419-$Y419)+$J419+$Z419+$N419-$AA419-$AB419-$O419))</x:f>
      </x:c>
    </x:row>
    <x:row r="420">
      <x:c r="A420" s="13"/>
      <x:c r="B420" s="14"/>
      <x:c r="C420" s="8"/>
      <x:c r="D420" s="13"/>
      <x:c r="E420" s="7"/>
      <x:c r="F420" s="13"/>
      <x:c r="G420" s="7"/>
      <x:c r="H420" s="7"/>
      <x:c r="I420" s="10"/>
      <x:c r="J420" s="9"/>
      <x:c r="K420" s="10"/>
      <x:c r="L420" s="10"/>
      <x:c r="M420" s="10"/>
      <x:c r="N420" s="9"/>
      <x:c r="O420" s="9"/>
      <x:c r="P420" s="7"/>
      <x:c r="Q420" s="9"/>
      <x:c r="R420" s="8"/>
      <x:c r="S420" s="9"/>
      <x:c r="T420" s="8"/>
      <x:c r="U420" s="13"/>
      <x:c r="V420" s="7"/>
      <x:c r="W420" s="7"/>
      <x:c r="X420" s="9" t="str">
        <x:f>IF($A420="","",SUMIF(Purchase_Items!$A$2:$A$501,$A420,Purchase_Items!$P$2:$P$501))</x:f>
      </x:c>
      <x:c r="Y420" s="9" t="str">
        <x:f>IF($A420="","",$X420*$I420/100)</x:f>
      </x:c>
      <x:c r="Z420" s="9" t="str">
        <x:f>IF($A420="","",MAX(0,($X420-$Y420)*$K420/100))</x:f>
      </x:c>
      <x:c r="AA420" s="9" t="str">
        <x:f>IF($A420="","",MAX(0,($X420-$Y420)*$L420/100))</x:f>
      </x:c>
      <x:c r="AB420" s="9" t="str">
        <x:f>IF($A420="","",MAX(0,($X420-$Y420)*$M420/100))</x:f>
      </x:c>
      <x:c r="AC420" s="9" t="str">
        <x:f>IF($A420="","",MAX(0,($X420-$Y420)+$J420+$Z420+$N420-$AA420-$AB420-$O420))</x:f>
      </x:c>
    </x:row>
    <x:row r="421">
      <x:c r="A421" s="13"/>
      <x:c r="B421" s="14"/>
      <x:c r="C421" s="8"/>
      <x:c r="D421" s="13"/>
      <x:c r="E421" s="7"/>
      <x:c r="F421" s="13"/>
      <x:c r="G421" s="7"/>
      <x:c r="H421" s="7"/>
      <x:c r="I421" s="10"/>
      <x:c r="J421" s="9"/>
      <x:c r="K421" s="10"/>
      <x:c r="L421" s="10"/>
      <x:c r="M421" s="10"/>
      <x:c r="N421" s="9"/>
      <x:c r="O421" s="9"/>
      <x:c r="P421" s="7"/>
      <x:c r="Q421" s="9"/>
      <x:c r="R421" s="8"/>
      <x:c r="S421" s="9"/>
      <x:c r="T421" s="8"/>
      <x:c r="U421" s="13"/>
      <x:c r="V421" s="7"/>
      <x:c r="W421" s="7"/>
      <x:c r="X421" s="9" t="str">
        <x:f>IF($A421="","",SUMIF(Purchase_Items!$A$2:$A$501,$A421,Purchase_Items!$P$2:$P$501))</x:f>
      </x:c>
      <x:c r="Y421" s="9" t="str">
        <x:f>IF($A421="","",$X421*$I421/100)</x:f>
      </x:c>
      <x:c r="Z421" s="9" t="str">
        <x:f>IF($A421="","",MAX(0,($X421-$Y421)*$K421/100))</x:f>
      </x:c>
      <x:c r="AA421" s="9" t="str">
        <x:f>IF($A421="","",MAX(0,($X421-$Y421)*$L421/100))</x:f>
      </x:c>
      <x:c r="AB421" s="9" t="str">
        <x:f>IF($A421="","",MAX(0,($X421-$Y421)*$M421/100))</x:f>
      </x:c>
      <x:c r="AC421" s="9" t="str">
        <x:f>IF($A421="","",MAX(0,($X421-$Y421)+$J421+$Z421+$N421-$AA421-$AB421-$O421))</x:f>
      </x:c>
    </x:row>
    <x:row r="422">
      <x:c r="A422" s="13"/>
      <x:c r="B422" s="14"/>
      <x:c r="C422" s="8"/>
      <x:c r="D422" s="13"/>
      <x:c r="E422" s="7"/>
      <x:c r="F422" s="13"/>
      <x:c r="G422" s="7"/>
      <x:c r="H422" s="7"/>
      <x:c r="I422" s="10"/>
      <x:c r="J422" s="9"/>
      <x:c r="K422" s="10"/>
      <x:c r="L422" s="10"/>
      <x:c r="M422" s="10"/>
      <x:c r="N422" s="9"/>
      <x:c r="O422" s="9"/>
      <x:c r="P422" s="7"/>
      <x:c r="Q422" s="9"/>
      <x:c r="R422" s="8"/>
      <x:c r="S422" s="9"/>
      <x:c r="T422" s="8"/>
      <x:c r="U422" s="13"/>
      <x:c r="V422" s="7"/>
      <x:c r="W422" s="7"/>
      <x:c r="X422" s="9" t="str">
        <x:f>IF($A422="","",SUMIF(Purchase_Items!$A$2:$A$501,$A422,Purchase_Items!$P$2:$P$501))</x:f>
      </x:c>
      <x:c r="Y422" s="9" t="str">
        <x:f>IF($A422="","",$X422*$I422/100)</x:f>
      </x:c>
      <x:c r="Z422" s="9" t="str">
        <x:f>IF($A422="","",MAX(0,($X422-$Y422)*$K422/100))</x:f>
      </x:c>
      <x:c r="AA422" s="9" t="str">
        <x:f>IF($A422="","",MAX(0,($X422-$Y422)*$L422/100))</x:f>
      </x:c>
      <x:c r="AB422" s="9" t="str">
        <x:f>IF($A422="","",MAX(0,($X422-$Y422)*$M422/100))</x:f>
      </x:c>
      <x:c r="AC422" s="9" t="str">
        <x:f>IF($A422="","",MAX(0,($X422-$Y422)+$J422+$Z422+$N422-$AA422-$AB422-$O422))</x:f>
      </x:c>
    </x:row>
    <x:row r="423">
      <x:c r="A423" s="13"/>
      <x:c r="B423" s="14"/>
      <x:c r="C423" s="8"/>
      <x:c r="D423" s="13"/>
      <x:c r="E423" s="7"/>
      <x:c r="F423" s="13"/>
      <x:c r="G423" s="7"/>
      <x:c r="H423" s="7"/>
      <x:c r="I423" s="10"/>
      <x:c r="J423" s="9"/>
      <x:c r="K423" s="10"/>
      <x:c r="L423" s="10"/>
      <x:c r="M423" s="10"/>
      <x:c r="N423" s="9"/>
      <x:c r="O423" s="9"/>
      <x:c r="P423" s="7"/>
      <x:c r="Q423" s="9"/>
      <x:c r="R423" s="8"/>
      <x:c r="S423" s="9"/>
      <x:c r="T423" s="8"/>
      <x:c r="U423" s="13"/>
      <x:c r="V423" s="7"/>
      <x:c r="W423" s="7"/>
      <x:c r="X423" s="9" t="str">
        <x:f>IF($A423="","",SUMIF(Purchase_Items!$A$2:$A$501,$A423,Purchase_Items!$P$2:$P$501))</x:f>
      </x:c>
      <x:c r="Y423" s="9" t="str">
        <x:f>IF($A423="","",$X423*$I423/100)</x:f>
      </x:c>
      <x:c r="Z423" s="9" t="str">
        <x:f>IF($A423="","",MAX(0,($X423-$Y423)*$K423/100))</x:f>
      </x:c>
      <x:c r="AA423" s="9" t="str">
        <x:f>IF($A423="","",MAX(0,($X423-$Y423)*$L423/100))</x:f>
      </x:c>
      <x:c r="AB423" s="9" t="str">
        <x:f>IF($A423="","",MAX(0,($X423-$Y423)*$M423/100))</x:f>
      </x:c>
      <x:c r="AC423" s="9" t="str">
        <x:f>IF($A423="","",MAX(0,($X423-$Y423)+$J423+$Z423+$N423-$AA423-$AB423-$O423))</x:f>
      </x:c>
    </x:row>
    <x:row r="424">
      <x:c r="A424" s="13"/>
      <x:c r="B424" s="14"/>
      <x:c r="C424" s="8"/>
      <x:c r="D424" s="13"/>
      <x:c r="E424" s="7"/>
      <x:c r="F424" s="13"/>
      <x:c r="G424" s="7"/>
      <x:c r="H424" s="7"/>
      <x:c r="I424" s="10"/>
      <x:c r="J424" s="9"/>
      <x:c r="K424" s="10"/>
      <x:c r="L424" s="10"/>
      <x:c r="M424" s="10"/>
      <x:c r="N424" s="9"/>
      <x:c r="O424" s="9"/>
      <x:c r="P424" s="7"/>
      <x:c r="Q424" s="9"/>
      <x:c r="R424" s="8"/>
      <x:c r="S424" s="9"/>
      <x:c r="T424" s="8"/>
      <x:c r="U424" s="13"/>
      <x:c r="V424" s="7"/>
      <x:c r="W424" s="7"/>
      <x:c r="X424" s="9" t="str">
        <x:f>IF($A424="","",SUMIF(Purchase_Items!$A$2:$A$501,$A424,Purchase_Items!$P$2:$P$501))</x:f>
      </x:c>
      <x:c r="Y424" s="9" t="str">
        <x:f>IF($A424="","",$X424*$I424/100)</x:f>
      </x:c>
      <x:c r="Z424" s="9" t="str">
        <x:f>IF($A424="","",MAX(0,($X424-$Y424)*$K424/100))</x:f>
      </x:c>
      <x:c r="AA424" s="9" t="str">
        <x:f>IF($A424="","",MAX(0,($X424-$Y424)*$L424/100))</x:f>
      </x:c>
      <x:c r="AB424" s="9" t="str">
        <x:f>IF($A424="","",MAX(0,($X424-$Y424)*$M424/100))</x:f>
      </x:c>
      <x:c r="AC424" s="9" t="str">
        <x:f>IF($A424="","",MAX(0,($X424-$Y424)+$J424+$Z424+$N424-$AA424-$AB424-$O424))</x:f>
      </x:c>
    </x:row>
    <x:row r="425">
      <x:c r="A425" s="13"/>
      <x:c r="B425" s="14"/>
      <x:c r="C425" s="8"/>
      <x:c r="D425" s="13"/>
      <x:c r="E425" s="7"/>
      <x:c r="F425" s="13"/>
      <x:c r="G425" s="7"/>
      <x:c r="H425" s="7"/>
      <x:c r="I425" s="10"/>
      <x:c r="J425" s="9"/>
      <x:c r="K425" s="10"/>
      <x:c r="L425" s="10"/>
      <x:c r="M425" s="10"/>
      <x:c r="N425" s="9"/>
      <x:c r="O425" s="9"/>
      <x:c r="P425" s="7"/>
      <x:c r="Q425" s="9"/>
      <x:c r="R425" s="8"/>
      <x:c r="S425" s="9"/>
      <x:c r="T425" s="8"/>
      <x:c r="U425" s="13"/>
      <x:c r="V425" s="7"/>
      <x:c r="W425" s="7"/>
      <x:c r="X425" s="9" t="str">
        <x:f>IF($A425="","",SUMIF(Purchase_Items!$A$2:$A$501,$A425,Purchase_Items!$P$2:$P$501))</x:f>
      </x:c>
      <x:c r="Y425" s="9" t="str">
        <x:f>IF($A425="","",$X425*$I425/100)</x:f>
      </x:c>
      <x:c r="Z425" s="9" t="str">
        <x:f>IF($A425="","",MAX(0,($X425-$Y425)*$K425/100))</x:f>
      </x:c>
      <x:c r="AA425" s="9" t="str">
        <x:f>IF($A425="","",MAX(0,($X425-$Y425)*$L425/100))</x:f>
      </x:c>
      <x:c r="AB425" s="9" t="str">
        <x:f>IF($A425="","",MAX(0,($X425-$Y425)*$M425/100))</x:f>
      </x:c>
      <x:c r="AC425" s="9" t="str">
        <x:f>IF($A425="","",MAX(0,($X425-$Y425)+$J425+$Z425+$N425-$AA425-$AB425-$O425))</x:f>
      </x:c>
    </x:row>
    <x:row r="426">
      <x:c r="A426" s="13"/>
      <x:c r="B426" s="14"/>
      <x:c r="C426" s="8"/>
      <x:c r="D426" s="13"/>
      <x:c r="E426" s="7"/>
      <x:c r="F426" s="13"/>
      <x:c r="G426" s="7"/>
      <x:c r="H426" s="7"/>
      <x:c r="I426" s="10"/>
      <x:c r="J426" s="9"/>
      <x:c r="K426" s="10"/>
      <x:c r="L426" s="10"/>
      <x:c r="M426" s="10"/>
      <x:c r="N426" s="9"/>
      <x:c r="O426" s="9"/>
      <x:c r="P426" s="7"/>
      <x:c r="Q426" s="9"/>
      <x:c r="R426" s="8"/>
      <x:c r="S426" s="9"/>
      <x:c r="T426" s="8"/>
      <x:c r="U426" s="13"/>
      <x:c r="V426" s="7"/>
      <x:c r="W426" s="7"/>
      <x:c r="X426" s="9" t="str">
        <x:f>IF($A426="","",SUMIF(Purchase_Items!$A$2:$A$501,$A426,Purchase_Items!$P$2:$P$501))</x:f>
      </x:c>
      <x:c r="Y426" s="9" t="str">
        <x:f>IF($A426="","",$X426*$I426/100)</x:f>
      </x:c>
      <x:c r="Z426" s="9" t="str">
        <x:f>IF($A426="","",MAX(0,($X426-$Y426)*$K426/100))</x:f>
      </x:c>
      <x:c r="AA426" s="9" t="str">
        <x:f>IF($A426="","",MAX(0,($X426-$Y426)*$L426/100))</x:f>
      </x:c>
      <x:c r="AB426" s="9" t="str">
        <x:f>IF($A426="","",MAX(0,($X426-$Y426)*$M426/100))</x:f>
      </x:c>
      <x:c r="AC426" s="9" t="str">
        <x:f>IF($A426="","",MAX(0,($X426-$Y426)+$J426+$Z426+$N426-$AA426-$AB426-$O426))</x:f>
      </x:c>
    </x:row>
    <x:row r="427">
      <x:c r="A427" s="13"/>
      <x:c r="B427" s="14"/>
      <x:c r="C427" s="8"/>
      <x:c r="D427" s="13"/>
      <x:c r="E427" s="7"/>
      <x:c r="F427" s="13"/>
      <x:c r="G427" s="7"/>
      <x:c r="H427" s="7"/>
      <x:c r="I427" s="10"/>
      <x:c r="J427" s="9"/>
      <x:c r="K427" s="10"/>
      <x:c r="L427" s="10"/>
      <x:c r="M427" s="10"/>
      <x:c r="N427" s="9"/>
      <x:c r="O427" s="9"/>
      <x:c r="P427" s="7"/>
      <x:c r="Q427" s="9"/>
      <x:c r="R427" s="8"/>
      <x:c r="S427" s="9"/>
      <x:c r="T427" s="8"/>
      <x:c r="U427" s="13"/>
      <x:c r="V427" s="7"/>
      <x:c r="W427" s="7"/>
      <x:c r="X427" s="9" t="str">
        <x:f>IF($A427="","",SUMIF(Purchase_Items!$A$2:$A$501,$A427,Purchase_Items!$P$2:$P$501))</x:f>
      </x:c>
      <x:c r="Y427" s="9" t="str">
        <x:f>IF($A427="","",$X427*$I427/100)</x:f>
      </x:c>
      <x:c r="Z427" s="9" t="str">
        <x:f>IF($A427="","",MAX(0,($X427-$Y427)*$K427/100))</x:f>
      </x:c>
      <x:c r="AA427" s="9" t="str">
        <x:f>IF($A427="","",MAX(0,($X427-$Y427)*$L427/100))</x:f>
      </x:c>
      <x:c r="AB427" s="9" t="str">
        <x:f>IF($A427="","",MAX(0,($X427-$Y427)*$M427/100))</x:f>
      </x:c>
      <x:c r="AC427" s="9" t="str">
        <x:f>IF($A427="","",MAX(0,($X427-$Y427)+$J427+$Z427+$N427-$AA427-$AB427-$O427))</x:f>
      </x:c>
    </x:row>
    <x:row r="428">
      <x:c r="A428" s="13"/>
      <x:c r="B428" s="14"/>
      <x:c r="C428" s="8"/>
      <x:c r="D428" s="13"/>
      <x:c r="E428" s="7"/>
      <x:c r="F428" s="13"/>
      <x:c r="G428" s="7"/>
      <x:c r="H428" s="7"/>
      <x:c r="I428" s="10"/>
      <x:c r="J428" s="9"/>
      <x:c r="K428" s="10"/>
      <x:c r="L428" s="10"/>
      <x:c r="M428" s="10"/>
      <x:c r="N428" s="9"/>
      <x:c r="O428" s="9"/>
      <x:c r="P428" s="7"/>
      <x:c r="Q428" s="9"/>
      <x:c r="R428" s="8"/>
      <x:c r="S428" s="9"/>
      <x:c r="T428" s="8"/>
      <x:c r="U428" s="13"/>
      <x:c r="V428" s="7"/>
      <x:c r="W428" s="7"/>
      <x:c r="X428" s="9" t="str">
        <x:f>IF($A428="","",SUMIF(Purchase_Items!$A$2:$A$501,$A428,Purchase_Items!$P$2:$P$501))</x:f>
      </x:c>
      <x:c r="Y428" s="9" t="str">
        <x:f>IF($A428="","",$X428*$I428/100)</x:f>
      </x:c>
      <x:c r="Z428" s="9" t="str">
        <x:f>IF($A428="","",MAX(0,($X428-$Y428)*$K428/100))</x:f>
      </x:c>
      <x:c r="AA428" s="9" t="str">
        <x:f>IF($A428="","",MAX(0,($X428-$Y428)*$L428/100))</x:f>
      </x:c>
      <x:c r="AB428" s="9" t="str">
        <x:f>IF($A428="","",MAX(0,($X428-$Y428)*$M428/100))</x:f>
      </x:c>
      <x:c r="AC428" s="9" t="str">
        <x:f>IF($A428="","",MAX(0,($X428-$Y428)+$J428+$Z428+$N428-$AA428-$AB428-$O428))</x:f>
      </x:c>
    </x:row>
    <x:row r="429">
      <x:c r="A429" s="13"/>
      <x:c r="B429" s="14"/>
      <x:c r="C429" s="8"/>
      <x:c r="D429" s="13"/>
      <x:c r="E429" s="7"/>
      <x:c r="F429" s="13"/>
      <x:c r="G429" s="7"/>
      <x:c r="H429" s="7"/>
      <x:c r="I429" s="10"/>
      <x:c r="J429" s="9"/>
      <x:c r="K429" s="10"/>
      <x:c r="L429" s="10"/>
      <x:c r="M429" s="10"/>
      <x:c r="N429" s="9"/>
      <x:c r="O429" s="9"/>
      <x:c r="P429" s="7"/>
      <x:c r="Q429" s="9"/>
      <x:c r="R429" s="8"/>
      <x:c r="S429" s="9"/>
      <x:c r="T429" s="8"/>
      <x:c r="U429" s="13"/>
      <x:c r="V429" s="7"/>
      <x:c r="W429" s="7"/>
      <x:c r="X429" s="9" t="str">
        <x:f>IF($A429="","",SUMIF(Purchase_Items!$A$2:$A$501,$A429,Purchase_Items!$P$2:$P$501))</x:f>
      </x:c>
      <x:c r="Y429" s="9" t="str">
        <x:f>IF($A429="","",$X429*$I429/100)</x:f>
      </x:c>
      <x:c r="Z429" s="9" t="str">
        <x:f>IF($A429="","",MAX(0,($X429-$Y429)*$K429/100))</x:f>
      </x:c>
      <x:c r="AA429" s="9" t="str">
        <x:f>IF($A429="","",MAX(0,($X429-$Y429)*$L429/100))</x:f>
      </x:c>
      <x:c r="AB429" s="9" t="str">
        <x:f>IF($A429="","",MAX(0,($X429-$Y429)*$M429/100))</x:f>
      </x:c>
      <x:c r="AC429" s="9" t="str">
        <x:f>IF($A429="","",MAX(0,($X429-$Y429)+$J429+$Z429+$N429-$AA429-$AB429-$O429))</x:f>
      </x:c>
    </x:row>
    <x:row r="430">
      <x:c r="A430" s="13"/>
      <x:c r="B430" s="14"/>
      <x:c r="C430" s="8"/>
      <x:c r="D430" s="13"/>
      <x:c r="E430" s="7"/>
      <x:c r="F430" s="13"/>
      <x:c r="G430" s="7"/>
      <x:c r="H430" s="7"/>
      <x:c r="I430" s="10"/>
      <x:c r="J430" s="9"/>
      <x:c r="K430" s="10"/>
      <x:c r="L430" s="10"/>
      <x:c r="M430" s="10"/>
      <x:c r="N430" s="9"/>
      <x:c r="O430" s="9"/>
      <x:c r="P430" s="7"/>
      <x:c r="Q430" s="9"/>
      <x:c r="R430" s="8"/>
      <x:c r="S430" s="9"/>
      <x:c r="T430" s="8"/>
      <x:c r="U430" s="13"/>
      <x:c r="V430" s="7"/>
      <x:c r="W430" s="7"/>
      <x:c r="X430" s="9" t="str">
        <x:f>IF($A430="","",SUMIF(Purchase_Items!$A$2:$A$501,$A430,Purchase_Items!$P$2:$P$501))</x:f>
      </x:c>
      <x:c r="Y430" s="9" t="str">
        <x:f>IF($A430="","",$X430*$I430/100)</x:f>
      </x:c>
      <x:c r="Z430" s="9" t="str">
        <x:f>IF($A430="","",MAX(0,($X430-$Y430)*$K430/100))</x:f>
      </x:c>
      <x:c r="AA430" s="9" t="str">
        <x:f>IF($A430="","",MAX(0,($X430-$Y430)*$L430/100))</x:f>
      </x:c>
      <x:c r="AB430" s="9" t="str">
        <x:f>IF($A430="","",MAX(0,($X430-$Y430)*$M430/100))</x:f>
      </x:c>
      <x:c r="AC430" s="9" t="str">
        <x:f>IF($A430="","",MAX(0,($X430-$Y430)+$J430+$Z430+$N430-$AA430-$AB430-$O430))</x:f>
      </x:c>
    </x:row>
    <x:row r="431">
      <x:c r="A431" s="13"/>
      <x:c r="B431" s="14"/>
      <x:c r="C431" s="8"/>
      <x:c r="D431" s="13"/>
      <x:c r="E431" s="7"/>
      <x:c r="F431" s="13"/>
      <x:c r="G431" s="7"/>
      <x:c r="H431" s="7"/>
      <x:c r="I431" s="10"/>
      <x:c r="J431" s="9"/>
      <x:c r="K431" s="10"/>
      <x:c r="L431" s="10"/>
      <x:c r="M431" s="10"/>
      <x:c r="N431" s="9"/>
      <x:c r="O431" s="9"/>
      <x:c r="P431" s="7"/>
      <x:c r="Q431" s="9"/>
      <x:c r="R431" s="8"/>
      <x:c r="S431" s="9"/>
      <x:c r="T431" s="8"/>
      <x:c r="U431" s="13"/>
      <x:c r="V431" s="7"/>
      <x:c r="W431" s="7"/>
      <x:c r="X431" s="9" t="str">
        <x:f>IF($A431="","",SUMIF(Purchase_Items!$A$2:$A$501,$A431,Purchase_Items!$P$2:$P$501))</x:f>
      </x:c>
      <x:c r="Y431" s="9" t="str">
        <x:f>IF($A431="","",$X431*$I431/100)</x:f>
      </x:c>
      <x:c r="Z431" s="9" t="str">
        <x:f>IF($A431="","",MAX(0,($X431-$Y431)*$K431/100))</x:f>
      </x:c>
      <x:c r="AA431" s="9" t="str">
        <x:f>IF($A431="","",MAX(0,($X431-$Y431)*$L431/100))</x:f>
      </x:c>
      <x:c r="AB431" s="9" t="str">
        <x:f>IF($A431="","",MAX(0,($X431-$Y431)*$M431/100))</x:f>
      </x:c>
      <x:c r="AC431" s="9" t="str">
        <x:f>IF($A431="","",MAX(0,($X431-$Y431)+$J431+$Z431+$N431-$AA431-$AB431-$O431))</x:f>
      </x:c>
    </x:row>
    <x:row r="432">
      <x:c r="A432" s="13"/>
      <x:c r="B432" s="14"/>
      <x:c r="C432" s="8"/>
      <x:c r="D432" s="13"/>
      <x:c r="E432" s="7"/>
      <x:c r="F432" s="13"/>
      <x:c r="G432" s="7"/>
      <x:c r="H432" s="7"/>
      <x:c r="I432" s="10"/>
      <x:c r="J432" s="9"/>
      <x:c r="K432" s="10"/>
      <x:c r="L432" s="10"/>
      <x:c r="M432" s="10"/>
      <x:c r="N432" s="9"/>
      <x:c r="O432" s="9"/>
      <x:c r="P432" s="7"/>
      <x:c r="Q432" s="9"/>
      <x:c r="R432" s="8"/>
      <x:c r="S432" s="9"/>
      <x:c r="T432" s="8"/>
      <x:c r="U432" s="13"/>
      <x:c r="V432" s="7"/>
      <x:c r="W432" s="7"/>
      <x:c r="X432" s="9" t="str">
        <x:f>IF($A432="","",SUMIF(Purchase_Items!$A$2:$A$501,$A432,Purchase_Items!$P$2:$P$501))</x:f>
      </x:c>
      <x:c r="Y432" s="9" t="str">
        <x:f>IF($A432="","",$X432*$I432/100)</x:f>
      </x:c>
      <x:c r="Z432" s="9" t="str">
        <x:f>IF($A432="","",MAX(0,($X432-$Y432)*$K432/100))</x:f>
      </x:c>
      <x:c r="AA432" s="9" t="str">
        <x:f>IF($A432="","",MAX(0,($X432-$Y432)*$L432/100))</x:f>
      </x:c>
      <x:c r="AB432" s="9" t="str">
        <x:f>IF($A432="","",MAX(0,($X432-$Y432)*$M432/100))</x:f>
      </x:c>
      <x:c r="AC432" s="9" t="str">
        <x:f>IF($A432="","",MAX(0,($X432-$Y432)+$J432+$Z432+$N432-$AA432-$AB432-$O432))</x:f>
      </x:c>
    </x:row>
    <x:row r="433">
      <x:c r="A433" s="13"/>
      <x:c r="B433" s="14"/>
      <x:c r="C433" s="8"/>
      <x:c r="D433" s="13"/>
      <x:c r="E433" s="7"/>
      <x:c r="F433" s="13"/>
      <x:c r="G433" s="7"/>
      <x:c r="H433" s="7"/>
      <x:c r="I433" s="10"/>
      <x:c r="J433" s="9"/>
      <x:c r="K433" s="10"/>
      <x:c r="L433" s="10"/>
      <x:c r="M433" s="10"/>
      <x:c r="N433" s="9"/>
      <x:c r="O433" s="9"/>
      <x:c r="P433" s="7"/>
      <x:c r="Q433" s="9"/>
      <x:c r="R433" s="8"/>
      <x:c r="S433" s="9"/>
      <x:c r="T433" s="8"/>
      <x:c r="U433" s="13"/>
      <x:c r="V433" s="7"/>
      <x:c r="W433" s="7"/>
      <x:c r="X433" s="9" t="str">
        <x:f>IF($A433="","",SUMIF(Purchase_Items!$A$2:$A$501,$A433,Purchase_Items!$P$2:$P$501))</x:f>
      </x:c>
      <x:c r="Y433" s="9" t="str">
        <x:f>IF($A433="","",$X433*$I433/100)</x:f>
      </x:c>
      <x:c r="Z433" s="9" t="str">
        <x:f>IF($A433="","",MAX(0,($X433-$Y433)*$K433/100))</x:f>
      </x:c>
      <x:c r="AA433" s="9" t="str">
        <x:f>IF($A433="","",MAX(0,($X433-$Y433)*$L433/100))</x:f>
      </x:c>
      <x:c r="AB433" s="9" t="str">
        <x:f>IF($A433="","",MAX(0,($X433-$Y433)*$M433/100))</x:f>
      </x:c>
      <x:c r="AC433" s="9" t="str">
        <x:f>IF($A433="","",MAX(0,($X433-$Y433)+$J433+$Z433+$N433-$AA433-$AB433-$O433))</x:f>
      </x:c>
    </x:row>
    <x:row r="434">
      <x:c r="A434" s="13"/>
      <x:c r="B434" s="14"/>
      <x:c r="C434" s="8"/>
      <x:c r="D434" s="13"/>
      <x:c r="E434" s="7"/>
      <x:c r="F434" s="13"/>
      <x:c r="G434" s="7"/>
      <x:c r="H434" s="7"/>
      <x:c r="I434" s="10"/>
      <x:c r="J434" s="9"/>
      <x:c r="K434" s="10"/>
      <x:c r="L434" s="10"/>
      <x:c r="M434" s="10"/>
      <x:c r="N434" s="9"/>
      <x:c r="O434" s="9"/>
      <x:c r="P434" s="7"/>
      <x:c r="Q434" s="9"/>
      <x:c r="R434" s="8"/>
      <x:c r="S434" s="9"/>
      <x:c r="T434" s="8"/>
      <x:c r="U434" s="13"/>
      <x:c r="V434" s="7"/>
      <x:c r="W434" s="7"/>
      <x:c r="X434" s="9" t="str">
        <x:f>IF($A434="","",SUMIF(Purchase_Items!$A$2:$A$501,$A434,Purchase_Items!$P$2:$P$501))</x:f>
      </x:c>
      <x:c r="Y434" s="9" t="str">
        <x:f>IF($A434="","",$X434*$I434/100)</x:f>
      </x:c>
      <x:c r="Z434" s="9" t="str">
        <x:f>IF($A434="","",MAX(0,($X434-$Y434)*$K434/100))</x:f>
      </x:c>
      <x:c r="AA434" s="9" t="str">
        <x:f>IF($A434="","",MAX(0,($X434-$Y434)*$L434/100))</x:f>
      </x:c>
      <x:c r="AB434" s="9" t="str">
        <x:f>IF($A434="","",MAX(0,($X434-$Y434)*$M434/100))</x:f>
      </x:c>
      <x:c r="AC434" s="9" t="str">
        <x:f>IF($A434="","",MAX(0,($X434-$Y434)+$J434+$Z434+$N434-$AA434-$AB434-$O434))</x:f>
      </x:c>
    </x:row>
    <x:row r="435">
      <x:c r="A435" s="13"/>
      <x:c r="B435" s="14"/>
      <x:c r="C435" s="8"/>
      <x:c r="D435" s="13"/>
      <x:c r="E435" s="7"/>
      <x:c r="F435" s="13"/>
      <x:c r="G435" s="7"/>
      <x:c r="H435" s="7"/>
      <x:c r="I435" s="10"/>
      <x:c r="J435" s="9"/>
      <x:c r="K435" s="10"/>
      <x:c r="L435" s="10"/>
      <x:c r="M435" s="10"/>
      <x:c r="N435" s="9"/>
      <x:c r="O435" s="9"/>
      <x:c r="P435" s="7"/>
      <x:c r="Q435" s="9"/>
      <x:c r="R435" s="8"/>
      <x:c r="S435" s="9"/>
      <x:c r="T435" s="8"/>
      <x:c r="U435" s="13"/>
      <x:c r="V435" s="7"/>
      <x:c r="W435" s="7"/>
      <x:c r="X435" s="9" t="str">
        <x:f>IF($A435="","",SUMIF(Purchase_Items!$A$2:$A$501,$A435,Purchase_Items!$P$2:$P$501))</x:f>
      </x:c>
      <x:c r="Y435" s="9" t="str">
        <x:f>IF($A435="","",$X435*$I435/100)</x:f>
      </x:c>
      <x:c r="Z435" s="9" t="str">
        <x:f>IF($A435="","",MAX(0,($X435-$Y435)*$K435/100))</x:f>
      </x:c>
      <x:c r="AA435" s="9" t="str">
        <x:f>IF($A435="","",MAX(0,($X435-$Y435)*$L435/100))</x:f>
      </x:c>
      <x:c r="AB435" s="9" t="str">
        <x:f>IF($A435="","",MAX(0,($X435-$Y435)*$M435/100))</x:f>
      </x:c>
      <x:c r="AC435" s="9" t="str">
        <x:f>IF($A435="","",MAX(0,($X435-$Y435)+$J435+$Z435+$N435-$AA435-$AB435-$O435))</x:f>
      </x:c>
    </x:row>
    <x:row r="436">
      <x:c r="A436" s="13"/>
      <x:c r="B436" s="14"/>
      <x:c r="C436" s="8"/>
      <x:c r="D436" s="13"/>
      <x:c r="E436" s="7"/>
      <x:c r="F436" s="13"/>
      <x:c r="G436" s="7"/>
      <x:c r="H436" s="7"/>
      <x:c r="I436" s="10"/>
      <x:c r="J436" s="9"/>
      <x:c r="K436" s="10"/>
      <x:c r="L436" s="10"/>
      <x:c r="M436" s="10"/>
      <x:c r="N436" s="9"/>
      <x:c r="O436" s="9"/>
      <x:c r="P436" s="7"/>
      <x:c r="Q436" s="9"/>
      <x:c r="R436" s="8"/>
      <x:c r="S436" s="9"/>
      <x:c r="T436" s="8"/>
      <x:c r="U436" s="13"/>
      <x:c r="V436" s="7"/>
      <x:c r="W436" s="7"/>
      <x:c r="X436" s="9" t="str">
        <x:f>IF($A436="","",SUMIF(Purchase_Items!$A$2:$A$501,$A436,Purchase_Items!$P$2:$P$501))</x:f>
      </x:c>
      <x:c r="Y436" s="9" t="str">
        <x:f>IF($A436="","",$X436*$I436/100)</x:f>
      </x:c>
      <x:c r="Z436" s="9" t="str">
        <x:f>IF($A436="","",MAX(0,($X436-$Y436)*$K436/100))</x:f>
      </x:c>
      <x:c r="AA436" s="9" t="str">
        <x:f>IF($A436="","",MAX(0,($X436-$Y436)*$L436/100))</x:f>
      </x:c>
      <x:c r="AB436" s="9" t="str">
        <x:f>IF($A436="","",MAX(0,($X436-$Y436)*$M436/100))</x:f>
      </x:c>
      <x:c r="AC436" s="9" t="str">
        <x:f>IF($A436="","",MAX(0,($X436-$Y436)+$J436+$Z436+$N436-$AA436-$AB436-$O436))</x:f>
      </x:c>
    </x:row>
    <x:row r="437">
      <x:c r="A437" s="13"/>
      <x:c r="B437" s="14"/>
      <x:c r="C437" s="8"/>
      <x:c r="D437" s="13"/>
      <x:c r="E437" s="7"/>
      <x:c r="F437" s="13"/>
      <x:c r="G437" s="7"/>
      <x:c r="H437" s="7"/>
      <x:c r="I437" s="10"/>
      <x:c r="J437" s="9"/>
      <x:c r="K437" s="10"/>
      <x:c r="L437" s="10"/>
      <x:c r="M437" s="10"/>
      <x:c r="N437" s="9"/>
      <x:c r="O437" s="9"/>
      <x:c r="P437" s="7"/>
      <x:c r="Q437" s="9"/>
      <x:c r="R437" s="8"/>
      <x:c r="S437" s="9"/>
      <x:c r="T437" s="8"/>
      <x:c r="U437" s="13"/>
      <x:c r="V437" s="7"/>
      <x:c r="W437" s="7"/>
      <x:c r="X437" s="9" t="str">
        <x:f>IF($A437="","",SUMIF(Purchase_Items!$A$2:$A$501,$A437,Purchase_Items!$P$2:$P$501))</x:f>
      </x:c>
      <x:c r="Y437" s="9" t="str">
        <x:f>IF($A437="","",$X437*$I437/100)</x:f>
      </x:c>
      <x:c r="Z437" s="9" t="str">
        <x:f>IF($A437="","",MAX(0,($X437-$Y437)*$K437/100))</x:f>
      </x:c>
      <x:c r="AA437" s="9" t="str">
        <x:f>IF($A437="","",MAX(0,($X437-$Y437)*$L437/100))</x:f>
      </x:c>
      <x:c r="AB437" s="9" t="str">
        <x:f>IF($A437="","",MAX(0,($X437-$Y437)*$M437/100))</x:f>
      </x:c>
      <x:c r="AC437" s="9" t="str">
        <x:f>IF($A437="","",MAX(0,($X437-$Y437)+$J437+$Z437+$N437-$AA437-$AB437-$O437))</x:f>
      </x:c>
    </x:row>
    <x:row r="438">
      <x:c r="A438" s="13"/>
      <x:c r="B438" s="14"/>
      <x:c r="C438" s="8"/>
      <x:c r="D438" s="13"/>
      <x:c r="E438" s="7"/>
      <x:c r="F438" s="13"/>
      <x:c r="G438" s="7"/>
      <x:c r="H438" s="7"/>
      <x:c r="I438" s="10"/>
      <x:c r="J438" s="9"/>
      <x:c r="K438" s="10"/>
      <x:c r="L438" s="10"/>
      <x:c r="M438" s="10"/>
      <x:c r="N438" s="9"/>
      <x:c r="O438" s="9"/>
      <x:c r="P438" s="7"/>
      <x:c r="Q438" s="9"/>
      <x:c r="R438" s="8"/>
      <x:c r="S438" s="9"/>
      <x:c r="T438" s="8"/>
      <x:c r="U438" s="13"/>
      <x:c r="V438" s="7"/>
      <x:c r="W438" s="7"/>
      <x:c r="X438" s="9" t="str">
        <x:f>IF($A438="","",SUMIF(Purchase_Items!$A$2:$A$501,$A438,Purchase_Items!$P$2:$P$501))</x:f>
      </x:c>
      <x:c r="Y438" s="9" t="str">
        <x:f>IF($A438="","",$X438*$I438/100)</x:f>
      </x:c>
      <x:c r="Z438" s="9" t="str">
        <x:f>IF($A438="","",MAX(0,($X438-$Y438)*$K438/100))</x:f>
      </x:c>
      <x:c r="AA438" s="9" t="str">
        <x:f>IF($A438="","",MAX(0,($X438-$Y438)*$L438/100))</x:f>
      </x:c>
      <x:c r="AB438" s="9" t="str">
        <x:f>IF($A438="","",MAX(0,($X438-$Y438)*$M438/100))</x:f>
      </x:c>
      <x:c r="AC438" s="9" t="str">
        <x:f>IF($A438="","",MAX(0,($X438-$Y438)+$J438+$Z438+$N438-$AA438-$AB438-$O438))</x:f>
      </x:c>
    </x:row>
    <x:row r="439">
      <x:c r="A439" s="13"/>
      <x:c r="B439" s="14"/>
      <x:c r="C439" s="8"/>
      <x:c r="D439" s="13"/>
      <x:c r="E439" s="7"/>
      <x:c r="F439" s="13"/>
      <x:c r="G439" s="7"/>
      <x:c r="H439" s="7"/>
      <x:c r="I439" s="10"/>
      <x:c r="J439" s="9"/>
      <x:c r="K439" s="10"/>
      <x:c r="L439" s="10"/>
      <x:c r="M439" s="10"/>
      <x:c r="N439" s="9"/>
      <x:c r="O439" s="9"/>
      <x:c r="P439" s="7"/>
      <x:c r="Q439" s="9"/>
      <x:c r="R439" s="8"/>
      <x:c r="S439" s="9"/>
      <x:c r="T439" s="8"/>
      <x:c r="U439" s="13"/>
      <x:c r="V439" s="7"/>
      <x:c r="W439" s="7"/>
      <x:c r="X439" s="9" t="str">
        <x:f>IF($A439="","",SUMIF(Purchase_Items!$A$2:$A$501,$A439,Purchase_Items!$P$2:$P$501))</x:f>
      </x:c>
      <x:c r="Y439" s="9" t="str">
        <x:f>IF($A439="","",$X439*$I439/100)</x:f>
      </x:c>
      <x:c r="Z439" s="9" t="str">
        <x:f>IF($A439="","",MAX(0,($X439-$Y439)*$K439/100))</x:f>
      </x:c>
      <x:c r="AA439" s="9" t="str">
        <x:f>IF($A439="","",MAX(0,($X439-$Y439)*$L439/100))</x:f>
      </x:c>
      <x:c r="AB439" s="9" t="str">
        <x:f>IF($A439="","",MAX(0,($X439-$Y439)*$M439/100))</x:f>
      </x:c>
      <x:c r="AC439" s="9" t="str">
        <x:f>IF($A439="","",MAX(0,($X439-$Y439)+$J439+$Z439+$N439-$AA439-$AB439-$O439))</x:f>
      </x:c>
    </x:row>
    <x:row r="440">
      <x:c r="A440" s="13"/>
      <x:c r="B440" s="14"/>
      <x:c r="C440" s="8"/>
      <x:c r="D440" s="13"/>
      <x:c r="E440" s="7"/>
      <x:c r="F440" s="13"/>
      <x:c r="G440" s="7"/>
      <x:c r="H440" s="7"/>
      <x:c r="I440" s="10"/>
      <x:c r="J440" s="9"/>
      <x:c r="K440" s="10"/>
      <x:c r="L440" s="10"/>
      <x:c r="M440" s="10"/>
      <x:c r="N440" s="9"/>
      <x:c r="O440" s="9"/>
      <x:c r="P440" s="7"/>
      <x:c r="Q440" s="9"/>
      <x:c r="R440" s="8"/>
      <x:c r="S440" s="9"/>
      <x:c r="T440" s="8"/>
      <x:c r="U440" s="13"/>
      <x:c r="V440" s="7"/>
      <x:c r="W440" s="7"/>
      <x:c r="X440" s="9" t="str">
        <x:f>IF($A440="","",SUMIF(Purchase_Items!$A$2:$A$501,$A440,Purchase_Items!$P$2:$P$501))</x:f>
      </x:c>
      <x:c r="Y440" s="9" t="str">
        <x:f>IF($A440="","",$X440*$I440/100)</x:f>
      </x:c>
      <x:c r="Z440" s="9" t="str">
        <x:f>IF($A440="","",MAX(0,($X440-$Y440)*$K440/100))</x:f>
      </x:c>
      <x:c r="AA440" s="9" t="str">
        <x:f>IF($A440="","",MAX(0,($X440-$Y440)*$L440/100))</x:f>
      </x:c>
      <x:c r="AB440" s="9" t="str">
        <x:f>IF($A440="","",MAX(0,($X440-$Y440)*$M440/100))</x:f>
      </x:c>
      <x:c r="AC440" s="9" t="str">
        <x:f>IF($A440="","",MAX(0,($X440-$Y440)+$J440+$Z440+$N440-$AA440-$AB440-$O440))</x:f>
      </x:c>
    </x:row>
    <x:row r="441">
      <x:c r="A441" s="13"/>
      <x:c r="B441" s="14"/>
      <x:c r="C441" s="8"/>
      <x:c r="D441" s="13"/>
      <x:c r="E441" s="7"/>
      <x:c r="F441" s="13"/>
      <x:c r="G441" s="7"/>
      <x:c r="H441" s="7"/>
      <x:c r="I441" s="10"/>
      <x:c r="J441" s="9"/>
      <x:c r="K441" s="10"/>
      <x:c r="L441" s="10"/>
      <x:c r="M441" s="10"/>
      <x:c r="N441" s="9"/>
      <x:c r="O441" s="9"/>
      <x:c r="P441" s="7"/>
      <x:c r="Q441" s="9"/>
      <x:c r="R441" s="8"/>
      <x:c r="S441" s="9"/>
      <x:c r="T441" s="8"/>
      <x:c r="U441" s="13"/>
      <x:c r="V441" s="7"/>
      <x:c r="W441" s="7"/>
      <x:c r="X441" s="9" t="str">
        <x:f>IF($A441="","",SUMIF(Purchase_Items!$A$2:$A$501,$A441,Purchase_Items!$P$2:$P$501))</x:f>
      </x:c>
      <x:c r="Y441" s="9" t="str">
        <x:f>IF($A441="","",$X441*$I441/100)</x:f>
      </x:c>
      <x:c r="Z441" s="9" t="str">
        <x:f>IF($A441="","",MAX(0,($X441-$Y441)*$K441/100))</x:f>
      </x:c>
      <x:c r="AA441" s="9" t="str">
        <x:f>IF($A441="","",MAX(0,($X441-$Y441)*$L441/100))</x:f>
      </x:c>
      <x:c r="AB441" s="9" t="str">
        <x:f>IF($A441="","",MAX(0,($X441-$Y441)*$M441/100))</x:f>
      </x:c>
      <x:c r="AC441" s="9" t="str">
        <x:f>IF($A441="","",MAX(0,($X441-$Y441)+$J441+$Z441+$N441-$AA441-$AB441-$O441))</x:f>
      </x:c>
    </x:row>
    <x:row r="442">
      <x:c r="A442" s="13"/>
      <x:c r="B442" s="14"/>
      <x:c r="C442" s="8"/>
      <x:c r="D442" s="13"/>
      <x:c r="E442" s="7"/>
      <x:c r="F442" s="13"/>
      <x:c r="G442" s="7"/>
      <x:c r="H442" s="7"/>
      <x:c r="I442" s="10"/>
      <x:c r="J442" s="9"/>
      <x:c r="K442" s="10"/>
      <x:c r="L442" s="10"/>
      <x:c r="M442" s="10"/>
      <x:c r="N442" s="9"/>
      <x:c r="O442" s="9"/>
      <x:c r="P442" s="7"/>
      <x:c r="Q442" s="9"/>
      <x:c r="R442" s="8"/>
      <x:c r="S442" s="9"/>
      <x:c r="T442" s="8"/>
      <x:c r="U442" s="13"/>
      <x:c r="V442" s="7"/>
      <x:c r="W442" s="7"/>
      <x:c r="X442" s="9" t="str">
        <x:f>IF($A442="","",SUMIF(Purchase_Items!$A$2:$A$501,$A442,Purchase_Items!$P$2:$P$501))</x:f>
      </x:c>
      <x:c r="Y442" s="9" t="str">
        <x:f>IF($A442="","",$X442*$I442/100)</x:f>
      </x:c>
      <x:c r="Z442" s="9" t="str">
        <x:f>IF($A442="","",MAX(0,($X442-$Y442)*$K442/100))</x:f>
      </x:c>
      <x:c r="AA442" s="9" t="str">
        <x:f>IF($A442="","",MAX(0,($X442-$Y442)*$L442/100))</x:f>
      </x:c>
      <x:c r="AB442" s="9" t="str">
        <x:f>IF($A442="","",MAX(0,($X442-$Y442)*$M442/100))</x:f>
      </x:c>
      <x:c r="AC442" s="9" t="str">
        <x:f>IF($A442="","",MAX(0,($X442-$Y442)+$J442+$Z442+$N442-$AA442-$AB442-$O442))</x:f>
      </x:c>
    </x:row>
    <x:row r="443">
      <x:c r="A443" s="13"/>
      <x:c r="B443" s="14"/>
      <x:c r="C443" s="8"/>
      <x:c r="D443" s="13"/>
      <x:c r="E443" s="7"/>
      <x:c r="F443" s="13"/>
      <x:c r="G443" s="7"/>
      <x:c r="H443" s="7"/>
      <x:c r="I443" s="10"/>
      <x:c r="J443" s="9"/>
      <x:c r="K443" s="10"/>
      <x:c r="L443" s="10"/>
      <x:c r="M443" s="10"/>
      <x:c r="N443" s="9"/>
      <x:c r="O443" s="9"/>
      <x:c r="P443" s="7"/>
      <x:c r="Q443" s="9"/>
      <x:c r="R443" s="8"/>
      <x:c r="S443" s="9"/>
      <x:c r="T443" s="8"/>
      <x:c r="U443" s="13"/>
      <x:c r="V443" s="7"/>
      <x:c r="W443" s="7"/>
      <x:c r="X443" s="9" t="str">
        <x:f>IF($A443="","",SUMIF(Purchase_Items!$A$2:$A$501,$A443,Purchase_Items!$P$2:$P$501))</x:f>
      </x:c>
      <x:c r="Y443" s="9" t="str">
        <x:f>IF($A443="","",$X443*$I443/100)</x:f>
      </x:c>
      <x:c r="Z443" s="9" t="str">
        <x:f>IF($A443="","",MAX(0,($X443-$Y443)*$K443/100))</x:f>
      </x:c>
      <x:c r="AA443" s="9" t="str">
        <x:f>IF($A443="","",MAX(0,($X443-$Y443)*$L443/100))</x:f>
      </x:c>
      <x:c r="AB443" s="9" t="str">
        <x:f>IF($A443="","",MAX(0,($X443-$Y443)*$M443/100))</x:f>
      </x:c>
      <x:c r="AC443" s="9" t="str">
        <x:f>IF($A443="","",MAX(0,($X443-$Y443)+$J443+$Z443+$N443-$AA443-$AB443-$O443))</x:f>
      </x:c>
    </x:row>
    <x:row r="444">
      <x:c r="A444" s="13"/>
      <x:c r="B444" s="14"/>
      <x:c r="C444" s="8"/>
      <x:c r="D444" s="13"/>
      <x:c r="E444" s="7"/>
      <x:c r="F444" s="13"/>
      <x:c r="G444" s="7"/>
      <x:c r="H444" s="7"/>
      <x:c r="I444" s="10"/>
      <x:c r="J444" s="9"/>
      <x:c r="K444" s="10"/>
      <x:c r="L444" s="10"/>
      <x:c r="M444" s="10"/>
      <x:c r="N444" s="9"/>
      <x:c r="O444" s="9"/>
      <x:c r="P444" s="7"/>
      <x:c r="Q444" s="9"/>
      <x:c r="R444" s="8"/>
      <x:c r="S444" s="9"/>
      <x:c r="T444" s="8"/>
      <x:c r="U444" s="13"/>
      <x:c r="V444" s="7"/>
      <x:c r="W444" s="7"/>
      <x:c r="X444" s="9" t="str">
        <x:f>IF($A444="","",SUMIF(Purchase_Items!$A$2:$A$501,$A444,Purchase_Items!$P$2:$P$501))</x:f>
      </x:c>
      <x:c r="Y444" s="9" t="str">
        <x:f>IF($A444="","",$X444*$I444/100)</x:f>
      </x:c>
      <x:c r="Z444" s="9" t="str">
        <x:f>IF($A444="","",MAX(0,($X444-$Y444)*$K444/100))</x:f>
      </x:c>
      <x:c r="AA444" s="9" t="str">
        <x:f>IF($A444="","",MAX(0,($X444-$Y444)*$L444/100))</x:f>
      </x:c>
      <x:c r="AB444" s="9" t="str">
        <x:f>IF($A444="","",MAX(0,($X444-$Y444)*$M444/100))</x:f>
      </x:c>
      <x:c r="AC444" s="9" t="str">
        <x:f>IF($A444="","",MAX(0,($X444-$Y444)+$J444+$Z444+$N444-$AA444-$AB444-$O444))</x:f>
      </x:c>
    </x:row>
    <x:row r="445">
      <x:c r="A445" s="13"/>
      <x:c r="B445" s="14"/>
      <x:c r="C445" s="8"/>
      <x:c r="D445" s="13"/>
      <x:c r="E445" s="7"/>
      <x:c r="F445" s="13"/>
      <x:c r="G445" s="7"/>
      <x:c r="H445" s="7"/>
      <x:c r="I445" s="10"/>
      <x:c r="J445" s="9"/>
      <x:c r="K445" s="10"/>
      <x:c r="L445" s="10"/>
      <x:c r="M445" s="10"/>
      <x:c r="N445" s="9"/>
      <x:c r="O445" s="9"/>
      <x:c r="P445" s="7"/>
      <x:c r="Q445" s="9"/>
      <x:c r="R445" s="8"/>
      <x:c r="S445" s="9"/>
      <x:c r="T445" s="8"/>
      <x:c r="U445" s="13"/>
      <x:c r="V445" s="7"/>
      <x:c r="W445" s="7"/>
      <x:c r="X445" s="9" t="str">
        <x:f>IF($A445="","",SUMIF(Purchase_Items!$A$2:$A$501,$A445,Purchase_Items!$P$2:$P$501))</x:f>
      </x:c>
      <x:c r="Y445" s="9" t="str">
        <x:f>IF($A445="","",$X445*$I445/100)</x:f>
      </x:c>
      <x:c r="Z445" s="9" t="str">
        <x:f>IF($A445="","",MAX(0,($X445-$Y445)*$K445/100))</x:f>
      </x:c>
      <x:c r="AA445" s="9" t="str">
        <x:f>IF($A445="","",MAX(0,($X445-$Y445)*$L445/100))</x:f>
      </x:c>
      <x:c r="AB445" s="9" t="str">
        <x:f>IF($A445="","",MAX(0,($X445-$Y445)*$M445/100))</x:f>
      </x:c>
      <x:c r="AC445" s="9" t="str">
        <x:f>IF($A445="","",MAX(0,($X445-$Y445)+$J445+$Z445+$N445-$AA445-$AB445-$O445))</x:f>
      </x:c>
    </x:row>
    <x:row r="446">
      <x:c r="A446" s="13"/>
      <x:c r="B446" s="14"/>
      <x:c r="C446" s="8"/>
      <x:c r="D446" s="13"/>
      <x:c r="E446" s="7"/>
      <x:c r="F446" s="13"/>
      <x:c r="G446" s="7"/>
      <x:c r="H446" s="7"/>
      <x:c r="I446" s="10"/>
      <x:c r="J446" s="9"/>
      <x:c r="K446" s="10"/>
      <x:c r="L446" s="10"/>
      <x:c r="M446" s="10"/>
      <x:c r="N446" s="9"/>
      <x:c r="O446" s="9"/>
      <x:c r="P446" s="7"/>
      <x:c r="Q446" s="9"/>
      <x:c r="R446" s="8"/>
      <x:c r="S446" s="9"/>
      <x:c r="T446" s="8"/>
      <x:c r="U446" s="13"/>
      <x:c r="V446" s="7"/>
      <x:c r="W446" s="7"/>
      <x:c r="X446" s="9" t="str">
        <x:f>IF($A446="","",SUMIF(Purchase_Items!$A$2:$A$501,$A446,Purchase_Items!$P$2:$P$501))</x:f>
      </x:c>
      <x:c r="Y446" s="9" t="str">
        <x:f>IF($A446="","",$X446*$I446/100)</x:f>
      </x:c>
      <x:c r="Z446" s="9" t="str">
        <x:f>IF($A446="","",MAX(0,($X446-$Y446)*$K446/100))</x:f>
      </x:c>
      <x:c r="AA446" s="9" t="str">
        <x:f>IF($A446="","",MAX(0,($X446-$Y446)*$L446/100))</x:f>
      </x:c>
      <x:c r="AB446" s="9" t="str">
        <x:f>IF($A446="","",MAX(0,($X446-$Y446)*$M446/100))</x:f>
      </x:c>
      <x:c r="AC446" s="9" t="str">
        <x:f>IF($A446="","",MAX(0,($X446-$Y446)+$J446+$Z446+$N446-$AA446-$AB446-$O446))</x:f>
      </x:c>
    </x:row>
    <x:row r="447">
      <x:c r="A447" s="13"/>
      <x:c r="B447" s="14"/>
      <x:c r="C447" s="8"/>
      <x:c r="D447" s="13"/>
      <x:c r="E447" s="7"/>
      <x:c r="F447" s="13"/>
      <x:c r="G447" s="7"/>
      <x:c r="H447" s="7"/>
      <x:c r="I447" s="10"/>
      <x:c r="J447" s="9"/>
      <x:c r="K447" s="10"/>
      <x:c r="L447" s="10"/>
      <x:c r="M447" s="10"/>
      <x:c r="N447" s="9"/>
      <x:c r="O447" s="9"/>
      <x:c r="P447" s="7"/>
      <x:c r="Q447" s="9"/>
      <x:c r="R447" s="8"/>
      <x:c r="S447" s="9"/>
      <x:c r="T447" s="8"/>
      <x:c r="U447" s="13"/>
      <x:c r="V447" s="7"/>
      <x:c r="W447" s="7"/>
      <x:c r="X447" s="9" t="str">
        <x:f>IF($A447="","",SUMIF(Purchase_Items!$A$2:$A$501,$A447,Purchase_Items!$P$2:$P$501))</x:f>
      </x:c>
      <x:c r="Y447" s="9" t="str">
        <x:f>IF($A447="","",$X447*$I447/100)</x:f>
      </x:c>
      <x:c r="Z447" s="9" t="str">
        <x:f>IF($A447="","",MAX(0,($X447-$Y447)*$K447/100))</x:f>
      </x:c>
      <x:c r="AA447" s="9" t="str">
        <x:f>IF($A447="","",MAX(0,($X447-$Y447)*$L447/100))</x:f>
      </x:c>
      <x:c r="AB447" s="9" t="str">
        <x:f>IF($A447="","",MAX(0,($X447-$Y447)*$M447/100))</x:f>
      </x:c>
      <x:c r="AC447" s="9" t="str">
        <x:f>IF($A447="","",MAX(0,($X447-$Y447)+$J447+$Z447+$N447-$AA447-$AB447-$O447))</x:f>
      </x:c>
    </x:row>
    <x:row r="448">
      <x:c r="A448" s="13"/>
      <x:c r="B448" s="14"/>
      <x:c r="C448" s="8"/>
      <x:c r="D448" s="13"/>
      <x:c r="E448" s="7"/>
      <x:c r="F448" s="13"/>
      <x:c r="G448" s="7"/>
      <x:c r="H448" s="7"/>
      <x:c r="I448" s="10"/>
      <x:c r="J448" s="9"/>
      <x:c r="K448" s="10"/>
      <x:c r="L448" s="10"/>
      <x:c r="M448" s="10"/>
      <x:c r="N448" s="9"/>
      <x:c r="O448" s="9"/>
      <x:c r="P448" s="7"/>
      <x:c r="Q448" s="9"/>
      <x:c r="R448" s="8"/>
      <x:c r="S448" s="9"/>
      <x:c r="T448" s="8"/>
      <x:c r="U448" s="13"/>
      <x:c r="V448" s="7"/>
      <x:c r="W448" s="7"/>
      <x:c r="X448" s="9" t="str">
        <x:f>IF($A448="","",SUMIF(Purchase_Items!$A$2:$A$501,$A448,Purchase_Items!$P$2:$P$501))</x:f>
      </x:c>
      <x:c r="Y448" s="9" t="str">
        <x:f>IF($A448="","",$X448*$I448/100)</x:f>
      </x:c>
      <x:c r="Z448" s="9" t="str">
        <x:f>IF($A448="","",MAX(0,($X448-$Y448)*$K448/100))</x:f>
      </x:c>
      <x:c r="AA448" s="9" t="str">
        <x:f>IF($A448="","",MAX(0,($X448-$Y448)*$L448/100))</x:f>
      </x:c>
      <x:c r="AB448" s="9" t="str">
        <x:f>IF($A448="","",MAX(0,($X448-$Y448)*$M448/100))</x:f>
      </x:c>
      <x:c r="AC448" s="9" t="str">
        <x:f>IF($A448="","",MAX(0,($X448-$Y448)+$J448+$Z448+$N448-$AA448-$AB448-$O448))</x:f>
      </x:c>
    </x:row>
    <x:row r="449">
      <x:c r="A449" s="13"/>
      <x:c r="B449" s="14"/>
      <x:c r="C449" s="8"/>
      <x:c r="D449" s="13"/>
      <x:c r="E449" s="7"/>
      <x:c r="F449" s="13"/>
      <x:c r="G449" s="7"/>
      <x:c r="H449" s="7"/>
      <x:c r="I449" s="10"/>
      <x:c r="J449" s="9"/>
      <x:c r="K449" s="10"/>
      <x:c r="L449" s="10"/>
      <x:c r="M449" s="10"/>
      <x:c r="N449" s="9"/>
      <x:c r="O449" s="9"/>
      <x:c r="P449" s="7"/>
      <x:c r="Q449" s="9"/>
      <x:c r="R449" s="8"/>
      <x:c r="S449" s="9"/>
      <x:c r="T449" s="8"/>
      <x:c r="U449" s="13"/>
      <x:c r="V449" s="7"/>
      <x:c r="W449" s="7"/>
      <x:c r="X449" s="9" t="str">
        <x:f>IF($A449="","",SUMIF(Purchase_Items!$A$2:$A$501,$A449,Purchase_Items!$P$2:$P$501))</x:f>
      </x:c>
      <x:c r="Y449" s="9" t="str">
        <x:f>IF($A449="","",$X449*$I449/100)</x:f>
      </x:c>
      <x:c r="Z449" s="9" t="str">
        <x:f>IF($A449="","",MAX(0,($X449-$Y449)*$K449/100))</x:f>
      </x:c>
      <x:c r="AA449" s="9" t="str">
        <x:f>IF($A449="","",MAX(0,($X449-$Y449)*$L449/100))</x:f>
      </x:c>
      <x:c r="AB449" s="9" t="str">
        <x:f>IF($A449="","",MAX(0,($X449-$Y449)*$M449/100))</x:f>
      </x:c>
      <x:c r="AC449" s="9" t="str">
        <x:f>IF($A449="","",MAX(0,($X449-$Y449)+$J449+$Z449+$N449-$AA449-$AB449-$O449))</x:f>
      </x:c>
    </x:row>
    <x:row r="450">
      <x:c r="A450" s="13"/>
      <x:c r="B450" s="14"/>
      <x:c r="C450" s="8"/>
      <x:c r="D450" s="13"/>
      <x:c r="E450" s="7"/>
      <x:c r="F450" s="13"/>
      <x:c r="G450" s="7"/>
      <x:c r="H450" s="7"/>
      <x:c r="I450" s="10"/>
      <x:c r="J450" s="9"/>
      <x:c r="K450" s="10"/>
      <x:c r="L450" s="10"/>
      <x:c r="M450" s="10"/>
      <x:c r="N450" s="9"/>
      <x:c r="O450" s="9"/>
      <x:c r="P450" s="7"/>
      <x:c r="Q450" s="9"/>
      <x:c r="R450" s="8"/>
      <x:c r="S450" s="9"/>
      <x:c r="T450" s="8"/>
      <x:c r="U450" s="13"/>
      <x:c r="V450" s="7"/>
      <x:c r="W450" s="7"/>
      <x:c r="X450" s="9" t="str">
        <x:f>IF($A450="","",SUMIF(Purchase_Items!$A$2:$A$501,$A450,Purchase_Items!$P$2:$P$501))</x:f>
      </x:c>
      <x:c r="Y450" s="9" t="str">
        <x:f>IF($A450="","",$X450*$I450/100)</x:f>
      </x:c>
      <x:c r="Z450" s="9" t="str">
        <x:f>IF($A450="","",MAX(0,($X450-$Y450)*$K450/100))</x:f>
      </x:c>
      <x:c r="AA450" s="9" t="str">
        <x:f>IF($A450="","",MAX(0,($X450-$Y450)*$L450/100))</x:f>
      </x:c>
      <x:c r="AB450" s="9" t="str">
        <x:f>IF($A450="","",MAX(0,($X450-$Y450)*$M450/100))</x:f>
      </x:c>
      <x:c r="AC450" s="9" t="str">
        <x:f>IF($A450="","",MAX(0,($X450-$Y450)+$J450+$Z450+$N450-$AA450-$AB450-$O450))</x:f>
      </x:c>
    </x:row>
    <x:row r="451">
      <x:c r="A451" s="13"/>
      <x:c r="B451" s="14"/>
      <x:c r="C451" s="8"/>
      <x:c r="D451" s="13"/>
      <x:c r="E451" s="7"/>
      <x:c r="F451" s="13"/>
      <x:c r="G451" s="7"/>
      <x:c r="H451" s="7"/>
      <x:c r="I451" s="10"/>
      <x:c r="J451" s="9"/>
      <x:c r="K451" s="10"/>
      <x:c r="L451" s="10"/>
      <x:c r="M451" s="10"/>
      <x:c r="N451" s="9"/>
      <x:c r="O451" s="9"/>
      <x:c r="P451" s="7"/>
      <x:c r="Q451" s="9"/>
      <x:c r="R451" s="8"/>
      <x:c r="S451" s="9"/>
      <x:c r="T451" s="8"/>
      <x:c r="U451" s="13"/>
      <x:c r="V451" s="7"/>
      <x:c r="W451" s="7"/>
      <x:c r="X451" s="9" t="str">
        <x:f>IF($A451="","",SUMIF(Purchase_Items!$A$2:$A$501,$A451,Purchase_Items!$P$2:$P$501))</x:f>
      </x:c>
      <x:c r="Y451" s="9" t="str">
        <x:f>IF($A451="","",$X451*$I451/100)</x:f>
      </x:c>
      <x:c r="Z451" s="9" t="str">
        <x:f>IF($A451="","",MAX(0,($X451-$Y451)*$K451/100))</x:f>
      </x:c>
      <x:c r="AA451" s="9" t="str">
        <x:f>IF($A451="","",MAX(0,($X451-$Y451)*$L451/100))</x:f>
      </x:c>
      <x:c r="AB451" s="9" t="str">
        <x:f>IF($A451="","",MAX(0,($X451-$Y451)*$M451/100))</x:f>
      </x:c>
      <x:c r="AC451" s="9" t="str">
        <x:f>IF($A451="","",MAX(0,($X451-$Y451)+$J451+$Z451+$N451-$AA451-$AB451-$O451))</x:f>
      </x:c>
    </x:row>
    <x:row r="452">
      <x:c r="A452" s="13"/>
      <x:c r="B452" s="14"/>
      <x:c r="C452" s="8"/>
      <x:c r="D452" s="13"/>
      <x:c r="E452" s="7"/>
      <x:c r="F452" s="13"/>
      <x:c r="G452" s="7"/>
      <x:c r="H452" s="7"/>
      <x:c r="I452" s="10"/>
      <x:c r="J452" s="9"/>
      <x:c r="K452" s="10"/>
      <x:c r="L452" s="10"/>
      <x:c r="M452" s="10"/>
      <x:c r="N452" s="9"/>
      <x:c r="O452" s="9"/>
      <x:c r="P452" s="7"/>
      <x:c r="Q452" s="9"/>
      <x:c r="R452" s="8"/>
      <x:c r="S452" s="9"/>
      <x:c r="T452" s="8"/>
      <x:c r="U452" s="13"/>
      <x:c r="V452" s="7"/>
      <x:c r="W452" s="7"/>
      <x:c r="X452" s="9" t="str">
        <x:f>IF($A452="","",SUMIF(Purchase_Items!$A$2:$A$501,$A452,Purchase_Items!$P$2:$P$501))</x:f>
      </x:c>
      <x:c r="Y452" s="9" t="str">
        <x:f>IF($A452="","",$X452*$I452/100)</x:f>
      </x:c>
      <x:c r="Z452" s="9" t="str">
        <x:f>IF($A452="","",MAX(0,($X452-$Y452)*$K452/100))</x:f>
      </x:c>
      <x:c r="AA452" s="9" t="str">
        <x:f>IF($A452="","",MAX(0,($X452-$Y452)*$L452/100))</x:f>
      </x:c>
      <x:c r="AB452" s="9" t="str">
        <x:f>IF($A452="","",MAX(0,($X452-$Y452)*$M452/100))</x:f>
      </x:c>
      <x:c r="AC452" s="9" t="str">
        <x:f>IF($A452="","",MAX(0,($X452-$Y452)+$J452+$Z452+$N452-$AA452-$AB452-$O452))</x:f>
      </x:c>
    </x:row>
    <x:row r="453">
      <x:c r="A453" s="13"/>
      <x:c r="B453" s="14"/>
      <x:c r="C453" s="8"/>
      <x:c r="D453" s="13"/>
      <x:c r="E453" s="7"/>
      <x:c r="F453" s="13"/>
      <x:c r="G453" s="7"/>
      <x:c r="H453" s="7"/>
      <x:c r="I453" s="10"/>
      <x:c r="J453" s="9"/>
      <x:c r="K453" s="10"/>
      <x:c r="L453" s="10"/>
      <x:c r="M453" s="10"/>
      <x:c r="N453" s="9"/>
      <x:c r="O453" s="9"/>
      <x:c r="P453" s="7"/>
      <x:c r="Q453" s="9"/>
      <x:c r="R453" s="8"/>
      <x:c r="S453" s="9"/>
      <x:c r="T453" s="8"/>
      <x:c r="U453" s="13"/>
      <x:c r="V453" s="7"/>
      <x:c r="W453" s="7"/>
      <x:c r="X453" s="9" t="str">
        <x:f>IF($A453="","",SUMIF(Purchase_Items!$A$2:$A$501,$A453,Purchase_Items!$P$2:$P$501))</x:f>
      </x:c>
      <x:c r="Y453" s="9" t="str">
        <x:f>IF($A453="","",$X453*$I453/100)</x:f>
      </x:c>
      <x:c r="Z453" s="9" t="str">
        <x:f>IF($A453="","",MAX(0,($X453-$Y453)*$K453/100))</x:f>
      </x:c>
      <x:c r="AA453" s="9" t="str">
        <x:f>IF($A453="","",MAX(0,($X453-$Y453)*$L453/100))</x:f>
      </x:c>
      <x:c r="AB453" s="9" t="str">
        <x:f>IF($A453="","",MAX(0,($X453-$Y453)*$M453/100))</x:f>
      </x:c>
      <x:c r="AC453" s="9" t="str">
        <x:f>IF($A453="","",MAX(0,($X453-$Y453)+$J453+$Z453+$N453-$AA453-$AB453-$O453))</x:f>
      </x:c>
    </x:row>
    <x:row r="454">
      <x:c r="A454" s="13"/>
      <x:c r="B454" s="14"/>
      <x:c r="C454" s="8"/>
      <x:c r="D454" s="13"/>
      <x:c r="E454" s="7"/>
      <x:c r="F454" s="13"/>
      <x:c r="G454" s="7"/>
      <x:c r="H454" s="7"/>
      <x:c r="I454" s="10"/>
      <x:c r="J454" s="9"/>
      <x:c r="K454" s="10"/>
      <x:c r="L454" s="10"/>
      <x:c r="M454" s="10"/>
      <x:c r="N454" s="9"/>
      <x:c r="O454" s="9"/>
      <x:c r="P454" s="7"/>
      <x:c r="Q454" s="9"/>
      <x:c r="R454" s="8"/>
      <x:c r="S454" s="9"/>
      <x:c r="T454" s="8"/>
      <x:c r="U454" s="13"/>
      <x:c r="V454" s="7"/>
      <x:c r="W454" s="7"/>
      <x:c r="X454" s="9" t="str">
        <x:f>IF($A454="","",SUMIF(Purchase_Items!$A$2:$A$501,$A454,Purchase_Items!$P$2:$P$501))</x:f>
      </x:c>
      <x:c r="Y454" s="9" t="str">
        <x:f>IF($A454="","",$X454*$I454/100)</x:f>
      </x:c>
      <x:c r="Z454" s="9" t="str">
        <x:f>IF($A454="","",MAX(0,($X454-$Y454)*$K454/100))</x:f>
      </x:c>
      <x:c r="AA454" s="9" t="str">
        <x:f>IF($A454="","",MAX(0,($X454-$Y454)*$L454/100))</x:f>
      </x:c>
      <x:c r="AB454" s="9" t="str">
        <x:f>IF($A454="","",MAX(0,($X454-$Y454)*$M454/100))</x:f>
      </x:c>
      <x:c r="AC454" s="9" t="str">
        <x:f>IF($A454="","",MAX(0,($X454-$Y454)+$J454+$Z454+$N454-$AA454-$AB454-$O454))</x:f>
      </x:c>
    </x:row>
    <x:row r="455">
      <x:c r="A455" s="13"/>
      <x:c r="B455" s="14"/>
      <x:c r="C455" s="8"/>
      <x:c r="D455" s="13"/>
      <x:c r="E455" s="7"/>
      <x:c r="F455" s="13"/>
      <x:c r="G455" s="7"/>
      <x:c r="H455" s="7"/>
      <x:c r="I455" s="10"/>
      <x:c r="J455" s="9"/>
      <x:c r="K455" s="10"/>
      <x:c r="L455" s="10"/>
      <x:c r="M455" s="10"/>
      <x:c r="N455" s="9"/>
      <x:c r="O455" s="9"/>
      <x:c r="P455" s="7"/>
      <x:c r="Q455" s="9"/>
      <x:c r="R455" s="8"/>
      <x:c r="S455" s="9"/>
      <x:c r="T455" s="8"/>
      <x:c r="U455" s="13"/>
      <x:c r="V455" s="7"/>
      <x:c r="W455" s="7"/>
      <x:c r="X455" s="9" t="str">
        <x:f>IF($A455="","",SUMIF(Purchase_Items!$A$2:$A$501,$A455,Purchase_Items!$P$2:$P$501))</x:f>
      </x:c>
      <x:c r="Y455" s="9" t="str">
        <x:f>IF($A455="","",$X455*$I455/100)</x:f>
      </x:c>
      <x:c r="Z455" s="9" t="str">
        <x:f>IF($A455="","",MAX(0,($X455-$Y455)*$K455/100))</x:f>
      </x:c>
      <x:c r="AA455" s="9" t="str">
        <x:f>IF($A455="","",MAX(0,($X455-$Y455)*$L455/100))</x:f>
      </x:c>
      <x:c r="AB455" s="9" t="str">
        <x:f>IF($A455="","",MAX(0,($X455-$Y455)*$M455/100))</x:f>
      </x:c>
      <x:c r="AC455" s="9" t="str">
        <x:f>IF($A455="","",MAX(0,($X455-$Y455)+$J455+$Z455+$N455-$AA455-$AB455-$O455))</x:f>
      </x:c>
    </x:row>
    <x:row r="456">
      <x:c r="A456" s="13"/>
      <x:c r="B456" s="14"/>
      <x:c r="C456" s="8"/>
      <x:c r="D456" s="13"/>
      <x:c r="E456" s="7"/>
      <x:c r="F456" s="13"/>
      <x:c r="G456" s="7"/>
      <x:c r="H456" s="7"/>
      <x:c r="I456" s="10"/>
      <x:c r="J456" s="9"/>
      <x:c r="K456" s="10"/>
      <x:c r="L456" s="10"/>
      <x:c r="M456" s="10"/>
      <x:c r="N456" s="9"/>
      <x:c r="O456" s="9"/>
      <x:c r="P456" s="7"/>
      <x:c r="Q456" s="9"/>
      <x:c r="R456" s="8"/>
      <x:c r="S456" s="9"/>
      <x:c r="T456" s="8"/>
      <x:c r="U456" s="13"/>
      <x:c r="V456" s="7"/>
      <x:c r="W456" s="7"/>
      <x:c r="X456" s="9" t="str">
        <x:f>IF($A456="","",SUMIF(Purchase_Items!$A$2:$A$501,$A456,Purchase_Items!$P$2:$P$501))</x:f>
      </x:c>
      <x:c r="Y456" s="9" t="str">
        <x:f>IF($A456="","",$X456*$I456/100)</x:f>
      </x:c>
      <x:c r="Z456" s="9" t="str">
        <x:f>IF($A456="","",MAX(0,($X456-$Y456)*$K456/100))</x:f>
      </x:c>
      <x:c r="AA456" s="9" t="str">
        <x:f>IF($A456="","",MAX(0,($X456-$Y456)*$L456/100))</x:f>
      </x:c>
      <x:c r="AB456" s="9" t="str">
        <x:f>IF($A456="","",MAX(0,($X456-$Y456)*$M456/100))</x:f>
      </x:c>
      <x:c r="AC456" s="9" t="str">
        <x:f>IF($A456="","",MAX(0,($X456-$Y456)+$J456+$Z456+$N456-$AA456-$AB456-$O456))</x:f>
      </x:c>
    </x:row>
    <x:row r="457">
      <x:c r="A457" s="13"/>
      <x:c r="B457" s="14"/>
      <x:c r="C457" s="8"/>
      <x:c r="D457" s="13"/>
      <x:c r="E457" s="7"/>
      <x:c r="F457" s="13"/>
      <x:c r="G457" s="7"/>
      <x:c r="H457" s="7"/>
      <x:c r="I457" s="10"/>
      <x:c r="J457" s="9"/>
      <x:c r="K457" s="10"/>
      <x:c r="L457" s="10"/>
      <x:c r="M457" s="10"/>
      <x:c r="N457" s="9"/>
      <x:c r="O457" s="9"/>
      <x:c r="P457" s="7"/>
      <x:c r="Q457" s="9"/>
      <x:c r="R457" s="8"/>
      <x:c r="S457" s="9"/>
      <x:c r="T457" s="8"/>
      <x:c r="U457" s="13"/>
      <x:c r="V457" s="7"/>
      <x:c r="W457" s="7"/>
      <x:c r="X457" s="9" t="str">
        <x:f>IF($A457="","",SUMIF(Purchase_Items!$A$2:$A$501,$A457,Purchase_Items!$P$2:$P$501))</x:f>
      </x:c>
      <x:c r="Y457" s="9" t="str">
        <x:f>IF($A457="","",$X457*$I457/100)</x:f>
      </x:c>
      <x:c r="Z457" s="9" t="str">
        <x:f>IF($A457="","",MAX(0,($X457-$Y457)*$K457/100))</x:f>
      </x:c>
      <x:c r="AA457" s="9" t="str">
        <x:f>IF($A457="","",MAX(0,($X457-$Y457)*$L457/100))</x:f>
      </x:c>
      <x:c r="AB457" s="9" t="str">
        <x:f>IF($A457="","",MAX(0,($X457-$Y457)*$M457/100))</x:f>
      </x:c>
      <x:c r="AC457" s="9" t="str">
        <x:f>IF($A457="","",MAX(0,($X457-$Y457)+$J457+$Z457+$N457-$AA457-$AB457-$O457))</x:f>
      </x:c>
    </x:row>
    <x:row r="458">
      <x:c r="A458" s="13"/>
      <x:c r="B458" s="14"/>
      <x:c r="C458" s="8"/>
      <x:c r="D458" s="13"/>
      <x:c r="E458" s="7"/>
      <x:c r="F458" s="13"/>
      <x:c r="G458" s="7"/>
      <x:c r="H458" s="7"/>
      <x:c r="I458" s="10"/>
      <x:c r="J458" s="9"/>
      <x:c r="K458" s="10"/>
      <x:c r="L458" s="10"/>
      <x:c r="M458" s="10"/>
      <x:c r="N458" s="9"/>
      <x:c r="O458" s="9"/>
      <x:c r="P458" s="7"/>
      <x:c r="Q458" s="9"/>
      <x:c r="R458" s="8"/>
      <x:c r="S458" s="9"/>
      <x:c r="T458" s="8"/>
      <x:c r="U458" s="13"/>
      <x:c r="V458" s="7"/>
      <x:c r="W458" s="7"/>
      <x:c r="X458" s="9" t="str">
        <x:f>IF($A458="","",SUMIF(Purchase_Items!$A$2:$A$501,$A458,Purchase_Items!$P$2:$P$501))</x:f>
      </x:c>
      <x:c r="Y458" s="9" t="str">
        <x:f>IF($A458="","",$X458*$I458/100)</x:f>
      </x:c>
      <x:c r="Z458" s="9" t="str">
        <x:f>IF($A458="","",MAX(0,($X458-$Y458)*$K458/100))</x:f>
      </x:c>
      <x:c r="AA458" s="9" t="str">
        <x:f>IF($A458="","",MAX(0,($X458-$Y458)*$L458/100))</x:f>
      </x:c>
      <x:c r="AB458" s="9" t="str">
        <x:f>IF($A458="","",MAX(0,($X458-$Y458)*$M458/100))</x:f>
      </x:c>
      <x:c r="AC458" s="9" t="str">
        <x:f>IF($A458="","",MAX(0,($X458-$Y458)+$J458+$Z458+$N458-$AA458-$AB458-$O458))</x:f>
      </x:c>
    </x:row>
    <x:row r="459">
      <x:c r="A459" s="13"/>
      <x:c r="B459" s="14"/>
      <x:c r="C459" s="8"/>
      <x:c r="D459" s="13"/>
      <x:c r="E459" s="7"/>
      <x:c r="F459" s="13"/>
      <x:c r="G459" s="7"/>
      <x:c r="H459" s="7"/>
      <x:c r="I459" s="10"/>
      <x:c r="J459" s="9"/>
      <x:c r="K459" s="10"/>
      <x:c r="L459" s="10"/>
      <x:c r="M459" s="10"/>
      <x:c r="N459" s="9"/>
      <x:c r="O459" s="9"/>
      <x:c r="P459" s="7"/>
      <x:c r="Q459" s="9"/>
      <x:c r="R459" s="8"/>
      <x:c r="S459" s="9"/>
      <x:c r="T459" s="8"/>
      <x:c r="U459" s="13"/>
      <x:c r="V459" s="7"/>
      <x:c r="W459" s="7"/>
      <x:c r="X459" s="9" t="str">
        <x:f>IF($A459="","",SUMIF(Purchase_Items!$A$2:$A$501,$A459,Purchase_Items!$P$2:$P$501))</x:f>
      </x:c>
      <x:c r="Y459" s="9" t="str">
        <x:f>IF($A459="","",$X459*$I459/100)</x:f>
      </x:c>
      <x:c r="Z459" s="9" t="str">
        <x:f>IF($A459="","",MAX(0,($X459-$Y459)*$K459/100))</x:f>
      </x:c>
      <x:c r="AA459" s="9" t="str">
        <x:f>IF($A459="","",MAX(0,($X459-$Y459)*$L459/100))</x:f>
      </x:c>
      <x:c r="AB459" s="9" t="str">
        <x:f>IF($A459="","",MAX(0,($X459-$Y459)*$M459/100))</x:f>
      </x:c>
      <x:c r="AC459" s="9" t="str">
        <x:f>IF($A459="","",MAX(0,($X459-$Y459)+$J459+$Z459+$N459-$AA459-$AB459-$O459))</x:f>
      </x:c>
    </x:row>
    <x:row r="460">
      <x:c r="A460" s="13"/>
      <x:c r="B460" s="14"/>
      <x:c r="C460" s="8"/>
      <x:c r="D460" s="13"/>
      <x:c r="E460" s="7"/>
      <x:c r="F460" s="13"/>
      <x:c r="G460" s="7"/>
      <x:c r="H460" s="7"/>
      <x:c r="I460" s="10"/>
      <x:c r="J460" s="9"/>
      <x:c r="K460" s="10"/>
      <x:c r="L460" s="10"/>
      <x:c r="M460" s="10"/>
      <x:c r="N460" s="9"/>
      <x:c r="O460" s="9"/>
      <x:c r="P460" s="7"/>
      <x:c r="Q460" s="9"/>
      <x:c r="R460" s="8"/>
      <x:c r="S460" s="9"/>
      <x:c r="T460" s="8"/>
      <x:c r="U460" s="13"/>
      <x:c r="V460" s="7"/>
      <x:c r="W460" s="7"/>
      <x:c r="X460" s="9" t="str">
        <x:f>IF($A460="","",SUMIF(Purchase_Items!$A$2:$A$501,$A460,Purchase_Items!$P$2:$P$501))</x:f>
      </x:c>
      <x:c r="Y460" s="9" t="str">
        <x:f>IF($A460="","",$X460*$I460/100)</x:f>
      </x:c>
      <x:c r="Z460" s="9" t="str">
        <x:f>IF($A460="","",MAX(0,($X460-$Y460)*$K460/100))</x:f>
      </x:c>
      <x:c r="AA460" s="9" t="str">
        <x:f>IF($A460="","",MAX(0,($X460-$Y460)*$L460/100))</x:f>
      </x:c>
      <x:c r="AB460" s="9" t="str">
        <x:f>IF($A460="","",MAX(0,($X460-$Y460)*$M460/100))</x:f>
      </x:c>
      <x:c r="AC460" s="9" t="str">
        <x:f>IF($A460="","",MAX(0,($X460-$Y460)+$J460+$Z460+$N460-$AA460-$AB460-$O460))</x:f>
      </x:c>
    </x:row>
    <x:row r="461">
      <x:c r="A461" s="13"/>
      <x:c r="B461" s="14"/>
      <x:c r="C461" s="8"/>
      <x:c r="D461" s="13"/>
      <x:c r="E461" s="7"/>
      <x:c r="F461" s="13"/>
      <x:c r="G461" s="7"/>
      <x:c r="H461" s="7"/>
      <x:c r="I461" s="10"/>
      <x:c r="J461" s="9"/>
      <x:c r="K461" s="10"/>
      <x:c r="L461" s="10"/>
      <x:c r="M461" s="10"/>
      <x:c r="N461" s="9"/>
      <x:c r="O461" s="9"/>
      <x:c r="P461" s="7"/>
      <x:c r="Q461" s="9"/>
      <x:c r="R461" s="8"/>
      <x:c r="S461" s="9"/>
      <x:c r="T461" s="8"/>
      <x:c r="U461" s="13"/>
      <x:c r="V461" s="7"/>
      <x:c r="W461" s="7"/>
      <x:c r="X461" s="9" t="str">
        <x:f>IF($A461="","",SUMIF(Purchase_Items!$A$2:$A$501,$A461,Purchase_Items!$P$2:$P$501))</x:f>
      </x:c>
      <x:c r="Y461" s="9" t="str">
        <x:f>IF($A461="","",$X461*$I461/100)</x:f>
      </x:c>
      <x:c r="Z461" s="9" t="str">
        <x:f>IF($A461="","",MAX(0,($X461-$Y461)*$K461/100))</x:f>
      </x:c>
      <x:c r="AA461" s="9" t="str">
        <x:f>IF($A461="","",MAX(0,($X461-$Y461)*$L461/100))</x:f>
      </x:c>
      <x:c r="AB461" s="9" t="str">
        <x:f>IF($A461="","",MAX(0,($X461-$Y461)*$M461/100))</x:f>
      </x:c>
      <x:c r="AC461" s="9" t="str">
        <x:f>IF($A461="","",MAX(0,($X461-$Y461)+$J461+$Z461+$N461-$AA461-$AB461-$O461))</x:f>
      </x:c>
    </x:row>
    <x:row r="462">
      <x:c r="A462" s="13"/>
      <x:c r="B462" s="14"/>
      <x:c r="C462" s="8"/>
      <x:c r="D462" s="13"/>
      <x:c r="E462" s="7"/>
      <x:c r="F462" s="13"/>
      <x:c r="G462" s="7"/>
      <x:c r="H462" s="7"/>
      <x:c r="I462" s="10"/>
      <x:c r="J462" s="9"/>
      <x:c r="K462" s="10"/>
      <x:c r="L462" s="10"/>
      <x:c r="M462" s="10"/>
      <x:c r="N462" s="9"/>
      <x:c r="O462" s="9"/>
      <x:c r="P462" s="7"/>
      <x:c r="Q462" s="9"/>
      <x:c r="R462" s="8"/>
      <x:c r="S462" s="9"/>
      <x:c r="T462" s="8"/>
      <x:c r="U462" s="13"/>
      <x:c r="V462" s="7"/>
      <x:c r="W462" s="7"/>
      <x:c r="X462" s="9" t="str">
        <x:f>IF($A462="","",SUMIF(Purchase_Items!$A$2:$A$501,$A462,Purchase_Items!$P$2:$P$501))</x:f>
      </x:c>
      <x:c r="Y462" s="9" t="str">
        <x:f>IF($A462="","",$X462*$I462/100)</x:f>
      </x:c>
      <x:c r="Z462" s="9" t="str">
        <x:f>IF($A462="","",MAX(0,($X462-$Y462)*$K462/100))</x:f>
      </x:c>
      <x:c r="AA462" s="9" t="str">
        <x:f>IF($A462="","",MAX(0,($X462-$Y462)*$L462/100))</x:f>
      </x:c>
      <x:c r="AB462" s="9" t="str">
        <x:f>IF($A462="","",MAX(0,($X462-$Y462)*$M462/100))</x:f>
      </x:c>
      <x:c r="AC462" s="9" t="str">
        <x:f>IF($A462="","",MAX(0,($X462-$Y462)+$J462+$Z462+$N462-$AA462-$AB462-$O462))</x:f>
      </x:c>
    </x:row>
    <x:row r="463">
      <x:c r="A463" s="13"/>
      <x:c r="B463" s="14"/>
      <x:c r="C463" s="8"/>
      <x:c r="D463" s="13"/>
      <x:c r="E463" s="7"/>
      <x:c r="F463" s="13"/>
      <x:c r="G463" s="7"/>
      <x:c r="H463" s="7"/>
      <x:c r="I463" s="10"/>
      <x:c r="J463" s="9"/>
      <x:c r="K463" s="10"/>
      <x:c r="L463" s="10"/>
      <x:c r="M463" s="10"/>
      <x:c r="N463" s="9"/>
      <x:c r="O463" s="9"/>
      <x:c r="P463" s="7"/>
      <x:c r="Q463" s="9"/>
      <x:c r="R463" s="8"/>
      <x:c r="S463" s="9"/>
      <x:c r="T463" s="8"/>
      <x:c r="U463" s="13"/>
      <x:c r="V463" s="7"/>
      <x:c r="W463" s="7"/>
      <x:c r="X463" s="9" t="str">
        <x:f>IF($A463="","",SUMIF(Purchase_Items!$A$2:$A$501,$A463,Purchase_Items!$P$2:$P$501))</x:f>
      </x:c>
      <x:c r="Y463" s="9" t="str">
        <x:f>IF($A463="","",$X463*$I463/100)</x:f>
      </x:c>
      <x:c r="Z463" s="9" t="str">
        <x:f>IF($A463="","",MAX(0,($X463-$Y463)*$K463/100))</x:f>
      </x:c>
      <x:c r="AA463" s="9" t="str">
        <x:f>IF($A463="","",MAX(0,($X463-$Y463)*$L463/100))</x:f>
      </x:c>
      <x:c r="AB463" s="9" t="str">
        <x:f>IF($A463="","",MAX(0,($X463-$Y463)*$M463/100))</x:f>
      </x:c>
      <x:c r="AC463" s="9" t="str">
        <x:f>IF($A463="","",MAX(0,($X463-$Y463)+$J463+$Z463+$N463-$AA463-$AB463-$O463))</x:f>
      </x:c>
    </x:row>
    <x:row r="464">
      <x:c r="A464" s="13"/>
      <x:c r="B464" s="14"/>
      <x:c r="C464" s="8"/>
      <x:c r="D464" s="13"/>
      <x:c r="E464" s="7"/>
      <x:c r="F464" s="13"/>
      <x:c r="G464" s="7"/>
      <x:c r="H464" s="7"/>
      <x:c r="I464" s="10"/>
      <x:c r="J464" s="9"/>
      <x:c r="K464" s="10"/>
      <x:c r="L464" s="10"/>
      <x:c r="M464" s="10"/>
      <x:c r="N464" s="9"/>
      <x:c r="O464" s="9"/>
      <x:c r="P464" s="7"/>
      <x:c r="Q464" s="9"/>
      <x:c r="R464" s="8"/>
      <x:c r="S464" s="9"/>
      <x:c r="T464" s="8"/>
      <x:c r="U464" s="13"/>
      <x:c r="V464" s="7"/>
      <x:c r="W464" s="7"/>
      <x:c r="X464" s="9" t="str">
        <x:f>IF($A464="","",SUMIF(Purchase_Items!$A$2:$A$501,$A464,Purchase_Items!$P$2:$P$501))</x:f>
      </x:c>
      <x:c r="Y464" s="9" t="str">
        <x:f>IF($A464="","",$X464*$I464/100)</x:f>
      </x:c>
      <x:c r="Z464" s="9" t="str">
        <x:f>IF($A464="","",MAX(0,($X464-$Y464)*$K464/100))</x:f>
      </x:c>
      <x:c r="AA464" s="9" t="str">
        <x:f>IF($A464="","",MAX(0,($X464-$Y464)*$L464/100))</x:f>
      </x:c>
      <x:c r="AB464" s="9" t="str">
        <x:f>IF($A464="","",MAX(0,($X464-$Y464)*$M464/100))</x:f>
      </x:c>
      <x:c r="AC464" s="9" t="str">
        <x:f>IF($A464="","",MAX(0,($X464-$Y464)+$J464+$Z464+$N464-$AA464-$AB464-$O464))</x:f>
      </x:c>
    </x:row>
    <x:row r="465">
      <x:c r="A465" s="13"/>
      <x:c r="B465" s="14"/>
      <x:c r="C465" s="8"/>
      <x:c r="D465" s="13"/>
      <x:c r="E465" s="7"/>
      <x:c r="F465" s="13"/>
      <x:c r="G465" s="7"/>
      <x:c r="H465" s="7"/>
      <x:c r="I465" s="10"/>
      <x:c r="J465" s="9"/>
      <x:c r="K465" s="10"/>
      <x:c r="L465" s="10"/>
      <x:c r="M465" s="10"/>
      <x:c r="N465" s="9"/>
      <x:c r="O465" s="9"/>
      <x:c r="P465" s="7"/>
      <x:c r="Q465" s="9"/>
      <x:c r="R465" s="8"/>
      <x:c r="S465" s="9"/>
      <x:c r="T465" s="8"/>
      <x:c r="U465" s="13"/>
      <x:c r="V465" s="7"/>
      <x:c r="W465" s="7"/>
      <x:c r="X465" s="9" t="str">
        <x:f>IF($A465="","",SUMIF(Purchase_Items!$A$2:$A$501,$A465,Purchase_Items!$P$2:$P$501))</x:f>
      </x:c>
      <x:c r="Y465" s="9" t="str">
        <x:f>IF($A465="","",$X465*$I465/100)</x:f>
      </x:c>
      <x:c r="Z465" s="9" t="str">
        <x:f>IF($A465="","",MAX(0,($X465-$Y465)*$K465/100))</x:f>
      </x:c>
      <x:c r="AA465" s="9" t="str">
        <x:f>IF($A465="","",MAX(0,($X465-$Y465)*$L465/100))</x:f>
      </x:c>
      <x:c r="AB465" s="9" t="str">
        <x:f>IF($A465="","",MAX(0,($X465-$Y465)*$M465/100))</x:f>
      </x:c>
      <x:c r="AC465" s="9" t="str">
        <x:f>IF($A465="","",MAX(0,($X465-$Y465)+$J465+$Z465+$N465-$AA465-$AB465-$O465))</x:f>
      </x:c>
    </x:row>
    <x:row r="466">
      <x:c r="A466" s="13"/>
      <x:c r="B466" s="14"/>
      <x:c r="C466" s="8"/>
      <x:c r="D466" s="13"/>
      <x:c r="E466" s="7"/>
      <x:c r="F466" s="13"/>
      <x:c r="G466" s="7"/>
      <x:c r="H466" s="7"/>
      <x:c r="I466" s="10"/>
      <x:c r="J466" s="9"/>
      <x:c r="K466" s="10"/>
      <x:c r="L466" s="10"/>
      <x:c r="M466" s="10"/>
      <x:c r="N466" s="9"/>
      <x:c r="O466" s="9"/>
      <x:c r="P466" s="7"/>
      <x:c r="Q466" s="9"/>
      <x:c r="R466" s="8"/>
      <x:c r="S466" s="9"/>
      <x:c r="T466" s="8"/>
      <x:c r="U466" s="13"/>
      <x:c r="V466" s="7"/>
      <x:c r="W466" s="7"/>
      <x:c r="X466" s="9" t="str">
        <x:f>IF($A466="","",SUMIF(Purchase_Items!$A$2:$A$501,$A466,Purchase_Items!$P$2:$P$501))</x:f>
      </x:c>
      <x:c r="Y466" s="9" t="str">
        <x:f>IF($A466="","",$X466*$I466/100)</x:f>
      </x:c>
      <x:c r="Z466" s="9" t="str">
        <x:f>IF($A466="","",MAX(0,($X466-$Y466)*$K466/100))</x:f>
      </x:c>
      <x:c r="AA466" s="9" t="str">
        <x:f>IF($A466="","",MAX(0,($X466-$Y466)*$L466/100))</x:f>
      </x:c>
      <x:c r="AB466" s="9" t="str">
        <x:f>IF($A466="","",MAX(0,($X466-$Y466)*$M466/100))</x:f>
      </x:c>
      <x:c r="AC466" s="9" t="str">
        <x:f>IF($A466="","",MAX(0,($X466-$Y466)+$J466+$Z466+$N466-$AA466-$AB466-$O466))</x:f>
      </x:c>
    </x:row>
    <x:row r="467">
      <x:c r="A467" s="13"/>
      <x:c r="B467" s="14"/>
      <x:c r="C467" s="8"/>
      <x:c r="D467" s="13"/>
      <x:c r="E467" s="7"/>
      <x:c r="F467" s="13"/>
      <x:c r="G467" s="7"/>
      <x:c r="H467" s="7"/>
      <x:c r="I467" s="10"/>
      <x:c r="J467" s="9"/>
      <x:c r="K467" s="10"/>
      <x:c r="L467" s="10"/>
      <x:c r="M467" s="10"/>
      <x:c r="N467" s="9"/>
      <x:c r="O467" s="9"/>
      <x:c r="P467" s="7"/>
      <x:c r="Q467" s="9"/>
      <x:c r="R467" s="8"/>
      <x:c r="S467" s="9"/>
      <x:c r="T467" s="8"/>
      <x:c r="U467" s="13"/>
      <x:c r="V467" s="7"/>
      <x:c r="W467" s="7"/>
      <x:c r="X467" s="9" t="str">
        <x:f>IF($A467="","",SUMIF(Purchase_Items!$A$2:$A$501,$A467,Purchase_Items!$P$2:$P$501))</x:f>
      </x:c>
      <x:c r="Y467" s="9" t="str">
        <x:f>IF($A467="","",$X467*$I467/100)</x:f>
      </x:c>
      <x:c r="Z467" s="9" t="str">
        <x:f>IF($A467="","",MAX(0,($X467-$Y467)*$K467/100))</x:f>
      </x:c>
      <x:c r="AA467" s="9" t="str">
        <x:f>IF($A467="","",MAX(0,($X467-$Y467)*$L467/100))</x:f>
      </x:c>
      <x:c r="AB467" s="9" t="str">
        <x:f>IF($A467="","",MAX(0,($X467-$Y467)*$M467/100))</x:f>
      </x:c>
      <x:c r="AC467" s="9" t="str">
        <x:f>IF($A467="","",MAX(0,($X467-$Y467)+$J467+$Z467+$N467-$AA467-$AB467-$O467))</x:f>
      </x:c>
    </x:row>
    <x:row r="468">
      <x:c r="A468" s="13"/>
      <x:c r="B468" s="14"/>
      <x:c r="C468" s="8"/>
      <x:c r="D468" s="13"/>
      <x:c r="E468" s="7"/>
      <x:c r="F468" s="13"/>
      <x:c r="G468" s="7"/>
      <x:c r="H468" s="7"/>
      <x:c r="I468" s="10"/>
      <x:c r="J468" s="9"/>
      <x:c r="K468" s="10"/>
      <x:c r="L468" s="10"/>
      <x:c r="M468" s="10"/>
      <x:c r="N468" s="9"/>
      <x:c r="O468" s="9"/>
      <x:c r="P468" s="7"/>
      <x:c r="Q468" s="9"/>
      <x:c r="R468" s="8"/>
      <x:c r="S468" s="9"/>
      <x:c r="T468" s="8"/>
      <x:c r="U468" s="13"/>
      <x:c r="V468" s="7"/>
      <x:c r="W468" s="7"/>
      <x:c r="X468" s="9" t="str">
        <x:f>IF($A468="","",SUMIF(Purchase_Items!$A$2:$A$501,$A468,Purchase_Items!$P$2:$P$501))</x:f>
      </x:c>
      <x:c r="Y468" s="9" t="str">
        <x:f>IF($A468="","",$X468*$I468/100)</x:f>
      </x:c>
      <x:c r="Z468" s="9" t="str">
        <x:f>IF($A468="","",MAX(0,($X468-$Y468)*$K468/100))</x:f>
      </x:c>
      <x:c r="AA468" s="9" t="str">
        <x:f>IF($A468="","",MAX(0,($X468-$Y468)*$L468/100))</x:f>
      </x:c>
      <x:c r="AB468" s="9" t="str">
        <x:f>IF($A468="","",MAX(0,($X468-$Y468)*$M468/100))</x:f>
      </x:c>
      <x:c r="AC468" s="9" t="str">
        <x:f>IF($A468="","",MAX(0,($X468-$Y468)+$J468+$Z468+$N468-$AA468-$AB468-$O468))</x:f>
      </x:c>
    </x:row>
    <x:row r="469">
      <x:c r="A469" s="13"/>
      <x:c r="B469" s="14"/>
      <x:c r="C469" s="8"/>
      <x:c r="D469" s="13"/>
      <x:c r="E469" s="7"/>
      <x:c r="F469" s="13"/>
      <x:c r="G469" s="7"/>
      <x:c r="H469" s="7"/>
      <x:c r="I469" s="10"/>
      <x:c r="J469" s="9"/>
      <x:c r="K469" s="10"/>
      <x:c r="L469" s="10"/>
      <x:c r="M469" s="10"/>
      <x:c r="N469" s="9"/>
      <x:c r="O469" s="9"/>
      <x:c r="P469" s="7"/>
      <x:c r="Q469" s="9"/>
      <x:c r="R469" s="8"/>
      <x:c r="S469" s="9"/>
      <x:c r="T469" s="8"/>
      <x:c r="U469" s="13"/>
      <x:c r="V469" s="7"/>
      <x:c r="W469" s="7"/>
      <x:c r="X469" s="9" t="str">
        <x:f>IF($A469="","",SUMIF(Purchase_Items!$A$2:$A$501,$A469,Purchase_Items!$P$2:$P$501))</x:f>
      </x:c>
      <x:c r="Y469" s="9" t="str">
        <x:f>IF($A469="","",$X469*$I469/100)</x:f>
      </x:c>
      <x:c r="Z469" s="9" t="str">
        <x:f>IF($A469="","",MAX(0,($X469-$Y469)*$K469/100))</x:f>
      </x:c>
      <x:c r="AA469" s="9" t="str">
        <x:f>IF($A469="","",MAX(0,($X469-$Y469)*$L469/100))</x:f>
      </x:c>
      <x:c r="AB469" s="9" t="str">
        <x:f>IF($A469="","",MAX(0,($X469-$Y469)*$M469/100))</x:f>
      </x:c>
      <x:c r="AC469" s="9" t="str">
        <x:f>IF($A469="","",MAX(0,($X469-$Y469)+$J469+$Z469+$N469-$AA469-$AB469-$O469))</x:f>
      </x:c>
    </x:row>
    <x:row r="470">
      <x:c r="A470" s="13"/>
      <x:c r="B470" s="14"/>
      <x:c r="C470" s="8"/>
      <x:c r="D470" s="13"/>
      <x:c r="E470" s="7"/>
      <x:c r="F470" s="13"/>
      <x:c r="G470" s="7"/>
      <x:c r="H470" s="7"/>
      <x:c r="I470" s="10"/>
      <x:c r="J470" s="9"/>
      <x:c r="K470" s="10"/>
      <x:c r="L470" s="10"/>
      <x:c r="M470" s="10"/>
      <x:c r="N470" s="9"/>
      <x:c r="O470" s="9"/>
      <x:c r="P470" s="7"/>
      <x:c r="Q470" s="9"/>
      <x:c r="R470" s="8"/>
      <x:c r="S470" s="9"/>
      <x:c r="T470" s="8"/>
      <x:c r="U470" s="13"/>
      <x:c r="V470" s="7"/>
      <x:c r="W470" s="7"/>
      <x:c r="X470" s="9" t="str">
        <x:f>IF($A470="","",SUMIF(Purchase_Items!$A$2:$A$501,$A470,Purchase_Items!$P$2:$P$501))</x:f>
      </x:c>
      <x:c r="Y470" s="9" t="str">
        <x:f>IF($A470="","",$X470*$I470/100)</x:f>
      </x:c>
      <x:c r="Z470" s="9" t="str">
        <x:f>IF($A470="","",MAX(0,($X470-$Y470)*$K470/100))</x:f>
      </x:c>
      <x:c r="AA470" s="9" t="str">
        <x:f>IF($A470="","",MAX(0,($X470-$Y470)*$L470/100))</x:f>
      </x:c>
      <x:c r="AB470" s="9" t="str">
        <x:f>IF($A470="","",MAX(0,($X470-$Y470)*$M470/100))</x:f>
      </x:c>
      <x:c r="AC470" s="9" t="str">
        <x:f>IF($A470="","",MAX(0,($X470-$Y470)+$J470+$Z470+$N470-$AA470-$AB470-$O470))</x:f>
      </x:c>
    </x:row>
    <x:row r="471">
      <x:c r="A471" s="13"/>
      <x:c r="B471" s="14"/>
      <x:c r="C471" s="8"/>
      <x:c r="D471" s="13"/>
      <x:c r="E471" s="7"/>
      <x:c r="F471" s="13"/>
      <x:c r="G471" s="7"/>
      <x:c r="H471" s="7"/>
      <x:c r="I471" s="10"/>
      <x:c r="J471" s="9"/>
      <x:c r="K471" s="10"/>
      <x:c r="L471" s="10"/>
      <x:c r="M471" s="10"/>
      <x:c r="N471" s="9"/>
      <x:c r="O471" s="9"/>
      <x:c r="P471" s="7"/>
      <x:c r="Q471" s="9"/>
      <x:c r="R471" s="8"/>
      <x:c r="S471" s="9"/>
      <x:c r="T471" s="8"/>
      <x:c r="U471" s="13"/>
      <x:c r="V471" s="7"/>
      <x:c r="W471" s="7"/>
      <x:c r="X471" s="9" t="str">
        <x:f>IF($A471="","",SUMIF(Purchase_Items!$A$2:$A$501,$A471,Purchase_Items!$P$2:$P$501))</x:f>
      </x:c>
      <x:c r="Y471" s="9" t="str">
        <x:f>IF($A471="","",$X471*$I471/100)</x:f>
      </x:c>
      <x:c r="Z471" s="9" t="str">
        <x:f>IF($A471="","",MAX(0,($X471-$Y471)*$K471/100))</x:f>
      </x:c>
      <x:c r="AA471" s="9" t="str">
        <x:f>IF($A471="","",MAX(0,($X471-$Y471)*$L471/100))</x:f>
      </x:c>
      <x:c r="AB471" s="9" t="str">
        <x:f>IF($A471="","",MAX(0,($X471-$Y471)*$M471/100))</x:f>
      </x:c>
      <x:c r="AC471" s="9" t="str">
        <x:f>IF($A471="","",MAX(0,($X471-$Y471)+$J471+$Z471+$N471-$AA471-$AB471-$O471))</x:f>
      </x:c>
    </x:row>
    <x:row r="472">
      <x:c r="A472" s="13"/>
      <x:c r="B472" s="14"/>
      <x:c r="C472" s="8"/>
      <x:c r="D472" s="13"/>
      <x:c r="E472" s="7"/>
      <x:c r="F472" s="13"/>
      <x:c r="G472" s="7"/>
      <x:c r="H472" s="7"/>
      <x:c r="I472" s="10"/>
      <x:c r="J472" s="9"/>
      <x:c r="K472" s="10"/>
      <x:c r="L472" s="10"/>
      <x:c r="M472" s="10"/>
      <x:c r="N472" s="9"/>
      <x:c r="O472" s="9"/>
      <x:c r="P472" s="7"/>
      <x:c r="Q472" s="9"/>
      <x:c r="R472" s="8"/>
      <x:c r="S472" s="9"/>
      <x:c r="T472" s="8"/>
      <x:c r="U472" s="13"/>
      <x:c r="V472" s="7"/>
      <x:c r="W472" s="7"/>
      <x:c r="X472" s="9" t="str">
        <x:f>IF($A472="","",SUMIF(Purchase_Items!$A$2:$A$501,$A472,Purchase_Items!$P$2:$P$501))</x:f>
      </x:c>
      <x:c r="Y472" s="9" t="str">
        <x:f>IF($A472="","",$X472*$I472/100)</x:f>
      </x:c>
      <x:c r="Z472" s="9" t="str">
        <x:f>IF($A472="","",MAX(0,($X472-$Y472)*$K472/100))</x:f>
      </x:c>
      <x:c r="AA472" s="9" t="str">
        <x:f>IF($A472="","",MAX(0,($X472-$Y472)*$L472/100))</x:f>
      </x:c>
      <x:c r="AB472" s="9" t="str">
        <x:f>IF($A472="","",MAX(0,($X472-$Y472)*$M472/100))</x:f>
      </x:c>
      <x:c r="AC472" s="9" t="str">
        <x:f>IF($A472="","",MAX(0,($X472-$Y472)+$J472+$Z472+$N472-$AA472-$AB472-$O472))</x:f>
      </x:c>
    </x:row>
    <x:row r="473">
      <x:c r="A473" s="13"/>
      <x:c r="B473" s="14"/>
      <x:c r="C473" s="8"/>
      <x:c r="D473" s="13"/>
      <x:c r="E473" s="7"/>
      <x:c r="F473" s="13"/>
      <x:c r="G473" s="7"/>
      <x:c r="H473" s="7"/>
      <x:c r="I473" s="10"/>
      <x:c r="J473" s="9"/>
      <x:c r="K473" s="10"/>
      <x:c r="L473" s="10"/>
      <x:c r="M473" s="10"/>
      <x:c r="N473" s="9"/>
      <x:c r="O473" s="9"/>
      <x:c r="P473" s="7"/>
      <x:c r="Q473" s="9"/>
      <x:c r="R473" s="8"/>
      <x:c r="S473" s="9"/>
      <x:c r="T473" s="8"/>
      <x:c r="U473" s="13"/>
      <x:c r="V473" s="7"/>
      <x:c r="W473" s="7"/>
      <x:c r="X473" s="9" t="str">
        <x:f>IF($A473="","",SUMIF(Purchase_Items!$A$2:$A$501,$A473,Purchase_Items!$P$2:$P$501))</x:f>
      </x:c>
      <x:c r="Y473" s="9" t="str">
        <x:f>IF($A473="","",$X473*$I473/100)</x:f>
      </x:c>
      <x:c r="Z473" s="9" t="str">
        <x:f>IF($A473="","",MAX(0,($X473-$Y473)*$K473/100))</x:f>
      </x:c>
      <x:c r="AA473" s="9" t="str">
        <x:f>IF($A473="","",MAX(0,($X473-$Y473)*$L473/100))</x:f>
      </x:c>
      <x:c r="AB473" s="9" t="str">
        <x:f>IF($A473="","",MAX(0,($X473-$Y473)*$M473/100))</x:f>
      </x:c>
      <x:c r="AC473" s="9" t="str">
        <x:f>IF($A473="","",MAX(0,($X473-$Y473)+$J473+$Z473+$N473-$AA473-$AB473-$O473))</x:f>
      </x:c>
    </x:row>
    <x:row r="474">
      <x:c r="A474" s="13"/>
      <x:c r="B474" s="14"/>
      <x:c r="C474" s="8"/>
      <x:c r="D474" s="13"/>
      <x:c r="E474" s="7"/>
      <x:c r="F474" s="13"/>
      <x:c r="G474" s="7"/>
      <x:c r="H474" s="7"/>
      <x:c r="I474" s="10"/>
      <x:c r="J474" s="9"/>
      <x:c r="K474" s="10"/>
      <x:c r="L474" s="10"/>
      <x:c r="M474" s="10"/>
      <x:c r="N474" s="9"/>
      <x:c r="O474" s="9"/>
      <x:c r="P474" s="7"/>
      <x:c r="Q474" s="9"/>
      <x:c r="R474" s="8"/>
      <x:c r="S474" s="9"/>
      <x:c r="T474" s="8"/>
      <x:c r="U474" s="13"/>
      <x:c r="V474" s="7"/>
      <x:c r="W474" s="7"/>
      <x:c r="X474" s="9" t="str">
        <x:f>IF($A474="","",SUMIF(Purchase_Items!$A$2:$A$501,$A474,Purchase_Items!$P$2:$P$501))</x:f>
      </x:c>
      <x:c r="Y474" s="9" t="str">
        <x:f>IF($A474="","",$X474*$I474/100)</x:f>
      </x:c>
      <x:c r="Z474" s="9" t="str">
        <x:f>IF($A474="","",MAX(0,($X474-$Y474)*$K474/100))</x:f>
      </x:c>
      <x:c r="AA474" s="9" t="str">
        <x:f>IF($A474="","",MAX(0,($X474-$Y474)*$L474/100))</x:f>
      </x:c>
      <x:c r="AB474" s="9" t="str">
        <x:f>IF($A474="","",MAX(0,($X474-$Y474)*$M474/100))</x:f>
      </x:c>
      <x:c r="AC474" s="9" t="str">
        <x:f>IF($A474="","",MAX(0,($X474-$Y474)+$J474+$Z474+$N474-$AA474-$AB474-$O474))</x:f>
      </x:c>
    </x:row>
    <x:row r="475">
      <x:c r="A475" s="13"/>
      <x:c r="B475" s="14"/>
      <x:c r="C475" s="8"/>
      <x:c r="D475" s="13"/>
      <x:c r="E475" s="7"/>
      <x:c r="F475" s="13"/>
      <x:c r="G475" s="7"/>
      <x:c r="H475" s="7"/>
      <x:c r="I475" s="10"/>
      <x:c r="J475" s="9"/>
      <x:c r="K475" s="10"/>
      <x:c r="L475" s="10"/>
      <x:c r="M475" s="10"/>
      <x:c r="N475" s="9"/>
      <x:c r="O475" s="9"/>
      <x:c r="P475" s="7"/>
      <x:c r="Q475" s="9"/>
      <x:c r="R475" s="8"/>
      <x:c r="S475" s="9"/>
      <x:c r="T475" s="8"/>
      <x:c r="U475" s="13"/>
      <x:c r="V475" s="7"/>
      <x:c r="W475" s="7"/>
      <x:c r="X475" s="9" t="str">
        <x:f>IF($A475="","",SUMIF(Purchase_Items!$A$2:$A$501,$A475,Purchase_Items!$P$2:$P$501))</x:f>
      </x:c>
      <x:c r="Y475" s="9" t="str">
        <x:f>IF($A475="","",$X475*$I475/100)</x:f>
      </x:c>
      <x:c r="Z475" s="9" t="str">
        <x:f>IF($A475="","",MAX(0,($X475-$Y475)*$K475/100))</x:f>
      </x:c>
      <x:c r="AA475" s="9" t="str">
        <x:f>IF($A475="","",MAX(0,($X475-$Y475)*$L475/100))</x:f>
      </x:c>
      <x:c r="AB475" s="9" t="str">
        <x:f>IF($A475="","",MAX(0,($X475-$Y475)*$M475/100))</x:f>
      </x:c>
      <x:c r="AC475" s="9" t="str">
        <x:f>IF($A475="","",MAX(0,($X475-$Y475)+$J475+$Z475+$N475-$AA475-$AB475-$O475))</x:f>
      </x:c>
    </x:row>
    <x:row r="476">
      <x:c r="A476" s="13"/>
      <x:c r="B476" s="14"/>
      <x:c r="C476" s="8"/>
      <x:c r="D476" s="13"/>
      <x:c r="E476" s="7"/>
      <x:c r="F476" s="13"/>
      <x:c r="G476" s="7"/>
      <x:c r="H476" s="7"/>
      <x:c r="I476" s="10"/>
      <x:c r="J476" s="9"/>
      <x:c r="K476" s="10"/>
      <x:c r="L476" s="10"/>
      <x:c r="M476" s="10"/>
      <x:c r="N476" s="9"/>
      <x:c r="O476" s="9"/>
      <x:c r="P476" s="7"/>
      <x:c r="Q476" s="9"/>
      <x:c r="R476" s="8"/>
      <x:c r="S476" s="9"/>
      <x:c r="T476" s="8"/>
      <x:c r="U476" s="13"/>
      <x:c r="V476" s="7"/>
      <x:c r="W476" s="7"/>
      <x:c r="X476" s="9" t="str">
        <x:f>IF($A476="","",SUMIF(Purchase_Items!$A$2:$A$501,$A476,Purchase_Items!$P$2:$P$501))</x:f>
      </x:c>
      <x:c r="Y476" s="9" t="str">
        <x:f>IF($A476="","",$X476*$I476/100)</x:f>
      </x:c>
      <x:c r="Z476" s="9" t="str">
        <x:f>IF($A476="","",MAX(0,($X476-$Y476)*$K476/100))</x:f>
      </x:c>
      <x:c r="AA476" s="9" t="str">
        <x:f>IF($A476="","",MAX(0,($X476-$Y476)*$L476/100))</x:f>
      </x:c>
      <x:c r="AB476" s="9" t="str">
        <x:f>IF($A476="","",MAX(0,($X476-$Y476)*$M476/100))</x:f>
      </x:c>
      <x:c r="AC476" s="9" t="str">
        <x:f>IF($A476="","",MAX(0,($X476-$Y476)+$J476+$Z476+$N476-$AA476-$AB476-$O476))</x:f>
      </x:c>
    </x:row>
    <x:row r="477">
      <x:c r="A477" s="13"/>
      <x:c r="B477" s="14"/>
      <x:c r="C477" s="8"/>
      <x:c r="D477" s="13"/>
      <x:c r="E477" s="7"/>
      <x:c r="F477" s="13"/>
      <x:c r="G477" s="7"/>
      <x:c r="H477" s="7"/>
      <x:c r="I477" s="10"/>
      <x:c r="J477" s="9"/>
      <x:c r="K477" s="10"/>
      <x:c r="L477" s="10"/>
      <x:c r="M477" s="10"/>
      <x:c r="N477" s="9"/>
      <x:c r="O477" s="9"/>
      <x:c r="P477" s="7"/>
      <x:c r="Q477" s="9"/>
      <x:c r="R477" s="8"/>
      <x:c r="S477" s="9"/>
      <x:c r="T477" s="8"/>
      <x:c r="U477" s="13"/>
      <x:c r="V477" s="7"/>
      <x:c r="W477" s="7"/>
      <x:c r="X477" s="9" t="str">
        <x:f>IF($A477="","",SUMIF(Purchase_Items!$A$2:$A$501,$A477,Purchase_Items!$P$2:$P$501))</x:f>
      </x:c>
      <x:c r="Y477" s="9" t="str">
        <x:f>IF($A477="","",$X477*$I477/100)</x:f>
      </x:c>
      <x:c r="Z477" s="9" t="str">
        <x:f>IF($A477="","",MAX(0,($X477-$Y477)*$K477/100))</x:f>
      </x:c>
      <x:c r="AA477" s="9" t="str">
        <x:f>IF($A477="","",MAX(0,($X477-$Y477)*$L477/100))</x:f>
      </x:c>
      <x:c r="AB477" s="9" t="str">
        <x:f>IF($A477="","",MAX(0,($X477-$Y477)*$M477/100))</x:f>
      </x:c>
      <x:c r="AC477" s="9" t="str">
        <x:f>IF($A477="","",MAX(0,($X477-$Y477)+$J477+$Z477+$N477-$AA477-$AB477-$O477))</x:f>
      </x:c>
    </x:row>
    <x:row r="478">
      <x:c r="A478" s="13"/>
      <x:c r="B478" s="14"/>
      <x:c r="C478" s="8"/>
      <x:c r="D478" s="13"/>
      <x:c r="E478" s="7"/>
      <x:c r="F478" s="13"/>
      <x:c r="G478" s="7"/>
      <x:c r="H478" s="7"/>
      <x:c r="I478" s="10"/>
      <x:c r="J478" s="9"/>
      <x:c r="K478" s="10"/>
      <x:c r="L478" s="10"/>
      <x:c r="M478" s="10"/>
      <x:c r="N478" s="9"/>
      <x:c r="O478" s="9"/>
      <x:c r="P478" s="7"/>
      <x:c r="Q478" s="9"/>
      <x:c r="R478" s="8"/>
      <x:c r="S478" s="9"/>
      <x:c r="T478" s="8"/>
      <x:c r="U478" s="13"/>
      <x:c r="V478" s="7"/>
      <x:c r="W478" s="7"/>
      <x:c r="X478" s="9" t="str">
        <x:f>IF($A478="","",SUMIF(Purchase_Items!$A$2:$A$501,$A478,Purchase_Items!$P$2:$P$501))</x:f>
      </x:c>
      <x:c r="Y478" s="9" t="str">
        <x:f>IF($A478="","",$X478*$I478/100)</x:f>
      </x:c>
      <x:c r="Z478" s="9" t="str">
        <x:f>IF($A478="","",MAX(0,($X478-$Y478)*$K478/100))</x:f>
      </x:c>
      <x:c r="AA478" s="9" t="str">
        <x:f>IF($A478="","",MAX(0,($X478-$Y478)*$L478/100))</x:f>
      </x:c>
      <x:c r="AB478" s="9" t="str">
        <x:f>IF($A478="","",MAX(0,($X478-$Y478)*$M478/100))</x:f>
      </x:c>
      <x:c r="AC478" s="9" t="str">
        <x:f>IF($A478="","",MAX(0,($X478-$Y478)+$J478+$Z478+$N478-$AA478-$AB478-$O478))</x:f>
      </x:c>
    </x:row>
    <x:row r="479">
      <x:c r="A479" s="13"/>
      <x:c r="B479" s="14"/>
      <x:c r="C479" s="8"/>
      <x:c r="D479" s="13"/>
      <x:c r="E479" s="7"/>
      <x:c r="F479" s="13"/>
      <x:c r="G479" s="7"/>
      <x:c r="H479" s="7"/>
      <x:c r="I479" s="10"/>
      <x:c r="J479" s="9"/>
      <x:c r="K479" s="10"/>
      <x:c r="L479" s="10"/>
      <x:c r="M479" s="10"/>
      <x:c r="N479" s="9"/>
      <x:c r="O479" s="9"/>
      <x:c r="P479" s="7"/>
      <x:c r="Q479" s="9"/>
      <x:c r="R479" s="8"/>
      <x:c r="S479" s="9"/>
      <x:c r="T479" s="8"/>
      <x:c r="U479" s="13"/>
      <x:c r="V479" s="7"/>
      <x:c r="W479" s="7"/>
      <x:c r="X479" s="9" t="str">
        <x:f>IF($A479="","",SUMIF(Purchase_Items!$A$2:$A$501,$A479,Purchase_Items!$P$2:$P$501))</x:f>
      </x:c>
      <x:c r="Y479" s="9" t="str">
        <x:f>IF($A479="","",$X479*$I479/100)</x:f>
      </x:c>
      <x:c r="Z479" s="9" t="str">
        <x:f>IF($A479="","",MAX(0,($X479-$Y479)*$K479/100))</x:f>
      </x:c>
      <x:c r="AA479" s="9" t="str">
        <x:f>IF($A479="","",MAX(0,($X479-$Y479)*$L479/100))</x:f>
      </x:c>
      <x:c r="AB479" s="9" t="str">
        <x:f>IF($A479="","",MAX(0,($X479-$Y479)*$M479/100))</x:f>
      </x:c>
      <x:c r="AC479" s="9" t="str">
        <x:f>IF($A479="","",MAX(0,($X479-$Y479)+$J479+$Z479+$N479-$AA479-$AB479-$O479))</x:f>
      </x:c>
    </x:row>
    <x:row r="480">
      <x:c r="A480" s="13"/>
      <x:c r="B480" s="14"/>
      <x:c r="C480" s="8"/>
      <x:c r="D480" s="13"/>
      <x:c r="E480" s="7"/>
      <x:c r="F480" s="13"/>
      <x:c r="G480" s="7"/>
      <x:c r="H480" s="7"/>
      <x:c r="I480" s="10"/>
      <x:c r="J480" s="9"/>
      <x:c r="K480" s="10"/>
      <x:c r="L480" s="10"/>
      <x:c r="M480" s="10"/>
      <x:c r="N480" s="9"/>
      <x:c r="O480" s="9"/>
      <x:c r="P480" s="7"/>
      <x:c r="Q480" s="9"/>
      <x:c r="R480" s="8"/>
      <x:c r="S480" s="9"/>
      <x:c r="T480" s="8"/>
      <x:c r="U480" s="13"/>
      <x:c r="V480" s="7"/>
      <x:c r="W480" s="7"/>
      <x:c r="X480" s="9" t="str">
        <x:f>IF($A480="","",SUMIF(Purchase_Items!$A$2:$A$501,$A480,Purchase_Items!$P$2:$P$501))</x:f>
      </x:c>
      <x:c r="Y480" s="9" t="str">
        <x:f>IF($A480="","",$X480*$I480/100)</x:f>
      </x:c>
      <x:c r="Z480" s="9" t="str">
        <x:f>IF($A480="","",MAX(0,($X480-$Y480)*$K480/100))</x:f>
      </x:c>
      <x:c r="AA480" s="9" t="str">
        <x:f>IF($A480="","",MAX(0,($X480-$Y480)*$L480/100))</x:f>
      </x:c>
      <x:c r="AB480" s="9" t="str">
        <x:f>IF($A480="","",MAX(0,($X480-$Y480)*$M480/100))</x:f>
      </x:c>
      <x:c r="AC480" s="9" t="str">
        <x:f>IF($A480="","",MAX(0,($X480-$Y480)+$J480+$Z480+$N480-$AA480-$AB480-$O480))</x:f>
      </x:c>
    </x:row>
    <x:row r="481">
      <x:c r="A481" s="13"/>
      <x:c r="B481" s="14"/>
      <x:c r="C481" s="8"/>
      <x:c r="D481" s="13"/>
      <x:c r="E481" s="7"/>
      <x:c r="F481" s="13"/>
      <x:c r="G481" s="7"/>
      <x:c r="H481" s="7"/>
      <x:c r="I481" s="10"/>
      <x:c r="J481" s="9"/>
      <x:c r="K481" s="10"/>
      <x:c r="L481" s="10"/>
      <x:c r="M481" s="10"/>
      <x:c r="N481" s="9"/>
      <x:c r="O481" s="9"/>
      <x:c r="P481" s="7"/>
      <x:c r="Q481" s="9"/>
      <x:c r="R481" s="8"/>
      <x:c r="S481" s="9"/>
      <x:c r="T481" s="8"/>
      <x:c r="U481" s="13"/>
      <x:c r="V481" s="7"/>
      <x:c r="W481" s="7"/>
      <x:c r="X481" s="9" t="str">
        <x:f>IF($A481="","",SUMIF(Purchase_Items!$A$2:$A$501,$A481,Purchase_Items!$P$2:$P$501))</x:f>
      </x:c>
      <x:c r="Y481" s="9" t="str">
        <x:f>IF($A481="","",$X481*$I481/100)</x:f>
      </x:c>
      <x:c r="Z481" s="9" t="str">
        <x:f>IF($A481="","",MAX(0,($X481-$Y481)*$K481/100))</x:f>
      </x:c>
      <x:c r="AA481" s="9" t="str">
        <x:f>IF($A481="","",MAX(0,($X481-$Y481)*$L481/100))</x:f>
      </x:c>
      <x:c r="AB481" s="9" t="str">
        <x:f>IF($A481="","",MAX(0,($X481-$Y481)*$M481/100))</x:f>
      </x:c>
      <x:c r="AC481" s="9" t="str">
        <x:f>IF($A481="","",MAX(0,($X481-$Y481)+$J481+$Z481+$N481-$AA481-$AB481-$O481))</x:f>
      </x:c>
    </x:row>
    <x:row r="482">
      <x:c r="A482" s="13"/>
      <x:c r="B482" s="14"/>
      <x:c r="C482" s="8"/>
      <x:c r="D482" s="13"/>
      <x:c r="E482" s="7"/>
      <x:c r="F482" s="13"/>
      <x:c r="G482" s="7"/>
      <x:c r="H482" s="7"/>
      <x:c r="I482" s="10"/>
      <x:c r="J482" s="9"/>
      <x:c r="K482" s="10"/>
      <x:c r="L482" s="10"/>
      <x:c r="M482" s="10"/>
      <x:c r="N482" s="9"/>
      <x:c r="O482" s="9"/>
      <x:c r="P482" s="7"/>
      <x:c r="Q482" s="9"/>
      <x:c r="R482" s="8"/>
      <x:c r="S482" s="9"/>
      <x:c r="T482" s="8"/>
      <x:c r="U482" s="13"/>
      <x:c r="V482" s="7"/>
      <x:c r="W482" s="7"/>
      <x:c r="X482" s="9" t="str">
        <x:f>IF($A482="","",SUMIF(Purchase_Items!$A$2:$A$501,$A482,Purchase_Items!$P$2:$P$501))</x:f>
      </x:c>
      <x:c r="Y482" s="9" t="str">
        <x:f>IF($A482="","",$X482*$I482/100)</x:f>
      </x:c>
      <x:c r="Z482" s="9" t="str">
        <x:f>IF($A482="","",MAX(0,($X482-$Y482)*$K482/100))</x:f>
      </x:c>
      <x:c r="AA482" s="9" t="str">
        <x:f>IF($A482="","",MAX(0,($X482-$Y482)*$L482/100))</x:f>
      </x:c>
      <x:c r="AB482" s="9" t="str">
        <x:f>IF($A482="","",MAX(0,($X482-$Y482)*$M482/100))</x:f>
      </x:c>
      <x:c r="AC482" s="9" t="str">
        <x:f>IF($A482="","",MAX(0,($X482-$Y482)+$J482+$Z482+$N482-$AA482-$AB482-$O482))</x:f>
      </x:c>
    </x:row>
    <x:row r="483">
      <x:c r="A483" s="13"/>
      <x:c r="B483" s="14"/>
      <x:c r="C483" s="8"/>
      <x:c r="D483" s="13"/>
      <x:c r="E483" s="7"/>
      <x:c r="F483" s="13"/>
      <x:c r="G483" s="7"/>
      <x:c r="H483" s="7"/>
      <x:c r="I483" s="10"/>
      <x:c r="J483" s="9"/>
      <x:c r="K483" s="10"/>
      <x:c r="L483" s="10"/>
      <x:c r="M483" s="10"/>
      <x:c r="N483" s="9"/>
      <x:c r="O483" s="9"/>
      <x:c r="P483" s="7"/>
      <x:c r="Q483" s="9"/>
      <x:c r="R483" s="8"/>
      <x:c r="S483" s="9"/>
      <x:c r="T483" s="8"/>
      <x:c r="U483" s="13"/>
      <x:c r="V483" s="7"/>
      <x:c r="W483" s="7"/>
      <x:c r="X483" s="9" t="str">
        <x:f>IF($A483="","",SUMIF(Purchase_Items!$A$2:$A$501,$A483,Purchase_Items!$P$2:$P$501))</x:f>
      </x:c>
      <x:c r="Y483" s="9" t="str">
        <x:f>IF($A483="","",$X483*$I483/100)</x:f>
      </x:c>
      <x:c r="Z483" s="9" t="str">
        <x:f>IF($A483="","",MAX(0,($X483-$Y483)*$K483/100))</x:f>
      </x:c>
      <x:c r="AA483" s="9" t="str">
        <x:f>IF($A483="","",MAX(0,($X483-$Y483)*$L483/100))</x:f>
      </x:c>
      <x:c r="AB483" s="9" t="str">
        <x:f>IF($A483="","",MAX(0,($X483-$Y483)*$M483/100))</x:f>
      </x:c>
      <x:c r="AC483" s="9" t="str">
        <x:f>IF($A483="","",MAX(0,($X483-$Y483)+$J483+$Z483+$N483-$AA483-$AB483-$O483))</x:f>
      </x:c>
    </x:row>
    <x:row r="484">
      <x:c r="A484" s="13"/>
      <x:c r="B484" s="14"/>
      <x:c r="C484" s="8"/>
      <x:c r="D484" s="13"/>
      <x:c r="E484" s="7"/>
      <x:c r="F484" s="13"/>
      <x:c r="G484" s="7"/>
      <x:c r="H484" s="7"/>
      <x:c r="I484" s="10"/>
      <x:c r="J484" s="9"/>
      <x:c r="K484" s="10"/>
      <x:c r="L484" s="10"/>
      <x:c r="M484" s="10"/>
      <x:c r="N484" s="9"/>
      <x:c r="O484" s="9"/>
      <x:c r="P484" s="7"/>
      <x:c r="Q484" s="9"/>
      <x:c r="R484" s="8"/>
      <x:c r="S484" s="9"/>
      <x:c r="T484" s="8"/>
      <x:c r="U484" s="13"/>
      <x:c r="V484" s="7"/>
      <x:c r="W484" s="7"/>
      <x:c r="X484" s="9" t="str">
        <x:f>IF($A484="","",SUMIF(Purchase_Items!$A$2:$A$501,$A484,Purchase_Items!$P$2:$P$501))</x:f>
      </x:c>
      <x:c r="Y484" s="9" t="str">
        <x:f>IF($A484="","",$X484*$I484/100)</x:f>
      </x:c>
      <x:c r="Z484" s="9" t="str">
        <x:f>IF($A484="","",MAX(0,($X484-$Y484)*$K484/100))</x:f>
      </x:c>
      <x:c r="AA484" s="9" t="str">
        <x:f>IF($A484="","",MAX(0,($X484-$Y484)*$L484/100))</x:f>
      </x:c>
      <x:c r="AB484" s="9" t="str">
        <x:f>IF($A484="","",MAX(0,($X484-$Y484)*$M484/100))</x:f>
      </x:c>
      <x:c r="AC484" s="9" t="str">
        <x:f>IF($A484="","",MAX(0,($X484-$Y484)+$J484+$Z484+$N484-$AA484-$AB484-$O484))</x:f>
      </x:c>
    </x:row>
    <x:row r="485">
      <x:c r="A485" s="13"/>
      <x:c r="B485" s="14"/>
      <x:c r="C485" s="8"/>
      <x:c r="D485" s="13"/>
      <x:c r="E485" s="7"/>
      <x:c r="F485" s="13"/>
      <x:c r="G485" s="7"/>
      <x:c r="H485" s="7"/>
      <x:c r="I485" s="10"/>
      <x:c r="J485" s="9"/>
      <x:c r="K485" s="10"/>
      <x:c r="L485" s="10"/>
      <x:c r="M485" s="10"/>
      <x:c r="N485" s="9"/>
      <x:c r="O485" s="9"/>
      <x:c r="P485" s="7"/>
      <x:c r="Q485" s="9"/>
      <x:c r="R485" s="8"/>
      <x:c r="S485" s="9"/>
      <x:c r="T485" s="8"/>
      <x:c r="U485" s="13"/>
      <x:c r="V485" s="7"/>
      <x:c r="W485" s="7"/>
      <x:c r="X485" s="9" t="str">
        <x:f>IF($A485="","",SUMIF(Purchase_Items!$A$2:$A$501,$A485,Purchase_Items!$P$2:$P$501))</x:f>
      </x:c>
      <x:c r="Y485" s="9" t="str">
        <x:f>IF($A485="","",$X485*$I485/100)</x:f>
      </x:c>
      <x:c r="Z485" s="9" t="str">
        <x:f>IF($A485="","",MAX(0,($X485-$Y485)*$K485/100))</x:f>
      </x:c>
      <x:c r="AA485" s="9" t="str">
        <x:f>IF($A485="","",MAX(0,($X485-$Y485)*$L485/100))</x:f>
      </x:c>
      <x:c r="AB485" s="9" t="str">
        <x:f>IF($A485="","",MAX(0,($X485-$Y485)*$M485/100))</x:f>
      </x:c>
      <x:c r="AC485" s="9" t="str">
        <x:f>IF($A485="","",MAX(0,($X485-$Y485)+$J485+$Z485+$N485-$AA485-$AB485-$O485))</x:f>
      </x:c>
    </x:row>
    <x:row r="486">
      <x:c r="A486" s="13"/>
      <x:c r="B486" s="14"/>
      <x:c r="C486" s="8"/>
      <x:c r="D486" s="13"/>
      <x:c r="E486" s="7"/>
      <x:c r="F486" s="13"/>
      <x:c r="G486" s="7"/>
      <x:c r="H486" s="7"/>
      <x:c r="I486" s="10"/>
      <x:c r="J486" s="9"/>
      <x:c r="K486" s="10"/>
      <x:c r="L486" s="10"/>
      <x:c r="M486" s="10"/>
      <x:c r="N486" s="9"/>
      <x:c r="O486" s="9"/>
      <x:c r="P486" s="7"/>
      <x:c r="Q486" s="9"/>
      <x:c r="R486" s="8"/>
      <x:c r="S486" s="9"/>
      <x:c r="T486" s="8"/>
      <x:c r="U486" s="13"/>
      <x:c r="V486" s="7"/>
      <x:c r="W486" s="7"/>
      <x:c r="X486" s="9" t="str">
        <x:f>IF($A486="","",SUMIF(Purchase_Items!$A$2:$A$501,$A486,Purchase_Items!$P$2:$P$501))</x:f>
      </x:c>
      <x:c r="Y486" s="9" t="str">
        <x:f>IF($A486="","",$X486*$I486/100)</x:f>
      </x:c>
      <x:c r="Z486" s="9" t="str">
        <x:f>IF($A486="","",MAX(0,($X486-$Y486)*$K486/100))</x:f>
      </x:c>
      <x:c r="AA486" s="9" t="str">
        <x:f>IF($A486="","",MAX(0,($X486-$Y486)*$L486/100))</x:f>
      </x:c>
      <x:c r="AB486" s="9" t="str">
        <x:f>IF($A486="","",MAX(0,($X486-$Y486)*$M486/100))</x:f>
      </x:c>
      <x:c r="AC486" s="9" t="str">
        <x:f>IF($A486="","",MAX(0,($X486-$Y486)+$J486+$Z486+$N486-$AA486-$AB486-$O486))</x:f>
      </x:c>
    </x:row>
    <x:row r="487">
      <x:c r="A487" s="13"/>
      <x:c r="B487" s="14"/>
      <x:c r="C487" s="8"/>
      <x:c r="D487" s="13"/>
      <x:c r="E487" s="7"/>
      <x:c r="F487" s="13"/>
      <x:c r="G487" s="7"/>
      <x:c r="H487" s="7"/>
      <x:c r="I487" s="10"/>
      <x:c r="J487" s="9"/>
      <x:c r="K487" s="10"/>
      <x:c r="L487" s="10"/>
      <x:c r="M487" s="10"/>
      <x:c r="N487" s="9"/>
      <x:c r="O487" s="9"/>
      <x:c r="P487" s="7"/>
      <x:c r="Q487" s="9"/>
      <x:c r="R487" s="8"/>
      <x:c r="S487" s="9"/>
      <x:c r="T487" s="8"/>
      <x:c r="U487" s="13"/>
      <x:c r="V487" s="7"/>
      <x:c r="W487" s="7"/>
      <x:c r="X487" s="9" t="str">
        <x:f>IF($A487="","",SUMIF(Purchase_Items!$A$2:$A$501,$A487,Purchase_Items!$P$2:$P$501))</x:f>
      </x:c>
      <x:c r="Y487" s="9" t="str">
        <x:f>IF($A487="","",$X487*$I487/100)</x:f>
      </x:c>
      <x:c r="Z487" s="9" t="str">
        <x:f>IF($A487="","",MAX(0,($X487-$Y487)*$K487/100))</x:f>
      </x:c>
      <x:c r="AA487" s="9" t="str">
        <x:f>IF($A487="","",MAX(0,($X487-$Y487)*$L487/100))</x:f>
      </x:c>
      <x:c r="AB487" s="9" t="str">
        <x:f>IF($A487="","",MAX(0,($X487-$Y487)*$M487/100))</x:f>
      </x:c>
      <x:c r="AC487" s="9" t="str">
        <x:f>IF($A487="","",MAX(0,($X487-$Y487)+$J487+$Z487+$N487-$AA487-$AB487-$O487))</x:f>
      </x:c>
    </x:row>
    <x:row r="488">
      <x:c r="A488" s="13"/>
      <x:c r="B488" s="14"/>
      <x:c r="C488" s="8"/>
      <x:c r="D488" s="13"/>
      <x:c r="E488" s="7"/>
      <x:c r="F488" s="13"/>
      <x:c r="G488" s="7"/>
      <x:c r="H488" s="7"/>
      <x:c r="I488" s="10"/>
      <x:c r="J488" s="9"/>
      <x:c r="K488" s="10"/>
      <x:c r="L488" s="10"/>
      <x:c r="M488" s="10"/>
      <x:c r="N488" s="9"/>
      <x:c r="O488" s="9"/>
      <x:c r="P488" s="7"/>
      <x:c r="Q488" s="9"/>
      <x:c r="R488" s="8"/>
      <x:c r="S488" s="9"/>
      <x:c r="T488" s="8"/>
      <x:c r="U488" s="13"/>
      <x:c r="V488" s="7"/>
      <x:c r="W488" s="7"/>
      <x:c r="X488" s="9" t="str">
        <x:f>IF($A488="","",SUMIF(Purchase_Items!$A$2:$A$501,$A488,Purchase_Items!$P$2:$P$501))</x:f>
      </x:c>
      <x:c r="Y488" s="9" t="str">
        <x:f>IF($A488="","",$X488*$I488/100)</x:f>
      </x:c>
      <x:c r="Z488" s="9" t="str">
        <x:f>IF($A488="","",MAX(0,($X488-$Y488)*$K488/100))</x:f>
      </x:c>
      <x:c r="AA488" s="9" t="str">
        <x:f>IF($A488="","",MAX(0,($X488-$Y488)*$L488/100))</x:f>
      </x:c>
      <x:c r="AB488" s="9" t="str">
        <x:f>IF($A488="","",MAX(0,($X488-$Y488)*$M488/100))</x:f>
      </x:c>
      <x:c r="AC488" s="9" t="str">
        <x:f>IF($A488="","",MAX(0,($X488-$Y488)+$J488+$Z488+$N488-$AA488-$AB488-$O488))</x:f>
      </x:c>
    </x:row>
    <x:row r="489">
      <x:c r="A489" s="13"/>
      <x:c r="B489" s="14"/>
      <x:c r="C489" s="8"/>
      <x:c r="D489" s="13"/>
      <x:c r="E489" s="7"/>
      <x:c r="F489" s="13"/>
      <x:c r="G489" s="7"/>
      <x:c r="H489" s="7"/>
      <x:c r="I489" s="10"/>
      <x:c r="J489" s="9"/>
      <x:c r="K489" s="10"/>
      <x:c r="L489" s="10"/>
      <x:c r="M489" s="10"/>
      <x:c r="N489" s="9"/>
      <x:c r="O489" s="9"/>
      <x:c r="P489" s="7"/>
      <x:c r="Q489" s="9"/>
      <x:c r="R489" s="8"/>
      <x:c r="S489" s="9"/>
      <x:c r="T489" s="8"/>
      <x:c r="U489" s="13"/>
      <x:c r="V489" s="7"/>
      <x:c r="W489" s="7"/>
      <x:c r="X489" s="9" t="str">
        <x:f>IF($A489="","",SUMIF(Purchase_Items!$A$2:$A$501,$A489,Purchase_Items!$P$2:$P$501))</x:f>
      </x:c>
      <x:c r="Y489" s="9" t="str">
        <x:f>IF($A489="","",$X489*$I489/100)</x:f>
      </x:c>
      <x:c r="Z489" s="9" t="str">
        <x:f>IF($A489="","",MAX(0,($X489-$Y489)*$K489/100))</x:f>
      </x:c>
      <x:c r="AA489" s="9" t="str">
        <x:f>IF($A489="","",MAX(0,($X489-$Y489)*$L489/100))</x:f>
      </x:c>
      <x:c r="AB489" s="9" t="str">
        <x:f>IF($A489="","",MAX(0,($X489-$Y489)*$M489/100))</x:f>
      </x:c>
      <x:c r="AC489" s="9" t="str">
        <x:f>IF($A489="","",MAX(0,($X489-$Y489)+$J489+$Z489+$N489-$AA489-$AB489-$O489))</x:f>
      </x:c>
    </x:row>
    <x:row r="490">
      <x:c r="A490" s="13"/>
      <x:c r="B490" s="14"/>
      <x:c r="C490" s="8"/>
      <x:c r="D490" s="13"/>
      <x:c r="E490" s="7"/>
      <x:c r="F490" s="13"/>
      <x:c r="G490" s="7"/>
      <x:c r="H490" s="7"/>
      <x:c r="I490" s="10"/>
      <x:c r="J490" s="9"/>
      <x:c r="K490" s="10"/>
      <x:c r="L490" s="10"/>
      <x:c r="M490" s="10"/>
      <x:c r="N490" s="9"/>
      <x:c r="O490" s="9"/>
      <x:c r="P490" s="7"/>
      <x:c r="Q490" s="9"/>
      <x:c r="R490" s="8"/>
      <x:c r="S490" s="9"/>
      <x:c r="T490" s="8"/>
      <x:c r="U490" s="13"/>
      <x:c r="V490" s="7"/>
      <x:c r="W490" s="7"/>
      <x:c r="X490" s="9" t="str">
        <x:f>IF($A490="","",SUMIF(Purchase_Items!$A$2:$A$501,$A490,Purchase_Items!$P$2:$P$501))</x:f>
      </x:c>
      <x:c r="Y490" s="9" t="str">
        <x:f>IF($A490="","",$X490*$I490/100)</x:f>
      </x:c>
      <x:c r="Z490" s="9" t="str">
        <x:f>IF($A490="","",MAX(0,($X490-$Y490)*$K490/100))</x:f>
      </x:c>
      <x:c r="AA490" s="9" t="str">
        <x:f>IF($A490="","",MAX(0,($X490-$Y490)*$L490/100))</x:f>
      </x:c>
      <x:c r="AB490" s="9" t="str">
        <x:f>IF($A490="","",MAX(0,($X490-$Y490)*$M490/100))</x:f>
      </x:c>
      <x:c r="AC490" s="9" t="str">
        <x:f>IF($A490="","",MAX(0,($X490-$Y490)+$J490+$Z490+$N490-$AA490-$AB490-$O490))</x:f>
      </x:c>
    </x:row>
    <x:row r="491">
      <x:c r="A491" s="13"/>
      <x:c r="B491" s="14"/>
      <x:c r="C491" s="8"/>
      <x:c r="D491" s="13"/>
      <x:c r="E491" s="7"/>
      <x:c r="F491" s="13"/>
      <x:c r="G491" s="7"/>
      <x:c r="H491" s="7"/>
      <x:c r="I491" s="10"/>
      <x:c r="J491" s="9"/>
      <x:c r="K491" s="10"/>
      <x:c r="L491" s="10"/>
      <x:c r="M491" s="10"/>
      <x:c r="N491" s="9"/>
      <x:c r="O491" s="9"/>
      <x:c r="P491" s="7"/>
      <x:c r="Q491" s="9"/>
      <x:c r="R491" s="8"/>
      <x:c r="S491" s="9"/>
      <x:c r="T491" s="8"/>
      <x:c r="U491" s="13"/>
      <x:c r="V491" s="7"/>
      <x:c r="W491" s="7"/>
      <x:c r="X491" s="9" t="str">
        <x:f>IF($A491="","",SUMIF(Purchase_Items!$A$2:$A$501,$A491,Purchase_Items!$P$2:$P$501))</x:f>
      </x:c>
      <x:c r="Y491" s="9" t="str">
        <x:f>IF($A491="","",$X491*$I491/100)</x:f>
      </x:c>
      <x:c r="Z491" s="9" t="str">
        <x:f>IF($A491="","",MAX(0,($X491-$Y491)*$K491/100))</x:f>
      </x:c>
      <x:c r="AA491" s="9" t="str">
        <x:f>IF($A491="","",MAX(0,($X491-$Y491)*$L491/100))</x:f>
      </x:c>
      <x:c r="AB491" s="9" t="str">
        <x:f>IF($A491="","",MAX(0,($X491-$Y491)*$M491/100))</x:f>
      </x:c>
      <x:c r="AC491" s="9" t="str">
        <x:f>IF($A491="","",MAX(0,($X491-$Y491)+$J491+$Z491+$N491-$AA491-$AB491-$O491))</x:f>
      </x:c>
    </x:row>
    <x:row r="492">
      <x:c r="A492" s="13"/>
      <x:c r="B492" s="14"/>
      <x:c r="C492" s="8"/>
      <x:c r="D492" s="13"/>
      <x:c r="E492" s="7"/>
      <x:c r="F492" s="13"/>
      <x:c r="G492" s="7"/>
      <x:c r="H492" s="7"/>
      <x:c r="I492" s="10"/>
      <x:c r="J492" s="9"/>
      <x:c r="K492" s="10"/>
      <x:c r="L492" s="10"/>
      <x:c r="M492" s="10"/>
      <x:c r="N492" s="9"/>
      <x:c r="O492" s="9"/>
      <x:c r="P492" s="7"/>
      <x:c r="Q492" s="9"/>
      <x:c r="R492" s="8"/>
      <x:c r="S492" s="9"/>
      <x:c r="T492" s="8"/>
      <x:c r="U492" s="13"/>
      <x:c r="V492" s="7"/>
      <x:c r="W492" s="7"/>
      <x:c r="X492" s="9" t="str">
        <x:f>IF($A492="","",SUMIF(Purchase_Items!$A$2:$A$501,$A492,Purchase_Items!$P$2:$P$501))</x:f>
      </x:c>
      <x:c r="Y492" s="9" t="str">
        <x:f>IF($A492="","",$X492*$I492/100)</x:f>
      </x:c>
      <x:c r="Z492" s="9" t="str">
        <x:f>IF($A492="","",MAX(0,($X492-$Y492)*$K492/100))</x:f>
      </x:c>
      <x:c r="AA492" s="9" t="str">
        <x:f>IF($A492="","",MAX(0,($X492-$Y492)*$L492/100))</x:f>
      </x:c>
      <x:c r="AB492" s="9" t="str">
        <x:f>IF($A492="","",MAX(0,($X492-$Y492)*$M492/100))</x:f>
      </x:c>
      <x:c r="AC492" s="9" t="str">
        <x:f>IF($A492="","",MAX(0,($X492-$Y492)+$J492+$Z492+$N492-$AA492-$AB492-$O492))</x:f>
      </x:c>
    </x:row>
    <x:row r="493">
      <x:c r="A493" s="13"/>
      <x:c r="B493" s="14"/>
      <x:c r="C493" s="8"/>
      <x:c r="D493" s="13"/>
      <x:c r="E493" s="7"/>
      <x:c r="F493" s="13"/>
      <x:c r="G493" s="7"/>
      <x:c r="H493" s="7"/>
      <x:c r="I493" s="10"/>
      <x:c r="J493" s="9"/>
      <x:c r="K493" s="10"/>
      <x:c r="L493" s="10"/>
      <x:c r="M493" s="10"/>
      <x:c r="N493" s="9"/>
      <x:c r="O493" s="9"/>
      <x:c r="P493" s="7"/>
      <x:c r="Q493" s="9"/>
      <x:c r="R493" s="8"/>
      <x:c r="S493" s="9"/>
      <x:c r="T493" s="8"/>
      <x:c r="U493" s="13"/>
      <x:c r="V493" s="7"/>
      <x:c r="W493" s="7"/>
      <x:c r="X493" s="9" t="str">
        <x:f>IF($A493="","",SUMIF(Purchase_Items!$A$2:$A$501,$A493,Purchase_Items!$P$2:$P$501))</x:f>
      </x:c>
      <x:c r="Y493" s="9" t="str">
        <x:f>IF($A493="","",$X493*$I493/100)</x:f>
      </x:c>
      <x:c r="Z493" s="9" t="str">
        <x:f>IF($A493="","",MAX(0,($X493-$Y493)*$K493/100))</x:f>
      </x:c>
      <x:c r="AA493" s="9" t="str">
        <x:f>IF($A493="","",MAX(0,($X493-$Y493)*$L493/100))</x:f>
      </x:c>
      <x:c r="AB493" s="9" t="str">
        <x:f>IF($A493="","",MAX(0,($X493-$Y493)*$M493/100))</x:f>
      </x:c>
      <x:c r="AC493" s="9" t="str">
        <x:f>IF($A493="","",MAX(0,($X493-$Y493)+$J493+$Z493+$N493-$AA493-$AB493-$O493))</x:f>
      </x:c>
    </x:row>
    <x:row r="494">
      <x:c r="A494" s="13"/>
      <x:c r="B494" s="14"/>
      <x:c r="C494" s="8"/>
      <x:c r="D494" s="13"/>
      <x:c r="E494" s="7"/>
      <x:c r="F494" s="13"/>
      <x:c r="G494" s="7"/>
      <x:c r="H494" s="7"/>
      <x:c r="I494" s="10"/>
      <x:c r="J494" s="9"/>
      <x:c r="K494" s="10"/>
      <x:c r="L494" s="10"/>
      <x:c r="M494" s="10"/>
      <x:c r="N494" s="9"/>
      <x:c r="O494" s="9"/>
      <x:c r="P494" s="7"/>
      <x:c r="Q494" s="9"/>
      <x:c r="R494" s="8"/>
      <x:c r="S494" s="9"/>
      <x:c r="T494" s="8"/>
      <x:c r="U494" s="13"/>
      <x:c r="V494" s="7"/>
      <x:c r="W494" s="7"/>
      <x:c r="X494" s="9" t="str">
        <x:f>IF($A494="","",SUMIF(Purchase_Items!$A$2:$A$501,$A494,Purchase_Items!$P$2:$P$501))</x:f>
      </x:c>
      <x:c r="Y494" s="9" t="str">
        <x:f>IF($A494="","",$X494*$I494/100)</x:f>
      </x:c>
      <x:c r="Z494" s="9" t="str">
        <x:f>IF($A494="","",MAX(0,($X494-$Y494)*$K494/100))</x:f>
      </x:c>
      <x:c r="AA494" s="9" t="str">
        <x:f>IF($A494="","",MAX(0,($X494-$Y494)*$L494/100))</x:f>
      </x:c>
      <x:c r="AB494" s="9" t="str">
        <x:f>IF($A494="","",MAX(0,($X494-$Y494)*$M494/100))</x:f>
      </x:c>
      <x:c r="AC494" s="9" t="str">
        <x:f>IF($A494="","",MAX(0,($X494-$Y494)+$J494+$Z494+$N494-$AA494-$AB494-$O494))</x:f>
      </x:c>
    </x:row>
    <x:row r="495">
      <x:c r="A495" s="13"/>
      <x:c r="B495" s="14"/>
      <x:c r="C495" s="8"/>
      <x:c r="D495" s="13"/>
      <x:c r="E495" s="7"/>
      <x:c r="F495" s="13"/>
      <x:c r="G495" s="7"/>
      <x:c r="H495" s="7"/>
      <x:c r="I495" s="10"/>
      <x:c r="J495" s="9"/>
      <x:c r="K495" s="10"/>
      <x:c r="L495" s="10"/>
      <x:c r="M495" s="10"/>
      <x:c r="N495" s="9"/>
      <x:c r="O495" s="9"/>
      <x:c r="P495" s="7"/>
      <x:c r="Q495" s="9"/>
      <x:c r="R495" s="8"/>
      <x:c r="S495" s="9"/>
      <x:c r="T495" s="8"/>
      <x:c r="U495" s="13"/>
      <x:c r="V495" s="7"/>
      <x:c r="W495" s="7"/>
      <x:c r="X495" s="9" t="str">
        <x:f>IF($A495="","",SUMIF(Purchase_Items!$A$2:$A$501,$A495,Purchase_Items!$P$2:$P$501))</x:f>
      </x:c>
      <x:c r="Y495" s="9" t="str">
        <x:f>IF($A495="","",$X495*$I495/100)</x:f>
      </x:c>
      <x:c r="Z495" s="9" t="str">
        <x:f>IF($A495="","",MAX(0,($X495-$Y495)*$K495/100))</x:f>
      </x:c>
      <x:c r="AA495" s="9" t="str">
        <x:f>IF($A495="","",MAX(0,($X495-$Y495)*$L495/100))</x:f>
      </x:c>
      <x:c r="AB495" s="9" t="str">
        <x:f>IF($A495="","",MAX(0,($X495-$Y495)*$M495/100))</x:f>
      </x:c>
      <x:c r="AC495" s="9" t="str">
        <x:f>IF($A495="","",MAX(0,($X495-$Y495)+$J495+$Z495+$N495-$AA495-$AB495-$O495))</x:f>
      </x:c>
    </x:row>
    <x:row r="496">
      <x:c r="A496" s="13"/>
      <x:c r="B496" s="14"/>
      <x:c r="C496" s="8"/>
      <x:c r="D496" s="13"/>
      <x:c r="E496" s="7"/>
      <x:c r="F496" s="13"/>
      <x:c r="G496" s="7"/>
      <x:c r="H496" s="7"/>
      <x:c r="I496" s="10"/>
      <x:c r="J496" s="9"/>
      <x:c r="K496" s="10"/>
      <x:c r="L496" s="10"/>
      <x:c r="M496" s="10"/>
      <x:c r="N496" s="9"/>
      <x:c r="O496" s="9"/>
      <x:c r="P496" s="7"/>
      <x:c r="Q496" s="9"/>
      <x:c r="R496" s="8"/>
      <x:c r="S496" s="9"/>
      <x:c r="T496" s="8"/>
      <x:c r="U496" s="13"/>
      <x:c r="V496" s="7"/>
      <x:c r="W496" s="7"/>
      <x:c r="X496" s="9" t="str">
        <x:f>IF($A496="","",SUMIF(Purchase_Items!$A$2:$A$501,$A496,Purchase_Items!$P$2:$P$501))</x:f>
      </x:c>
      <x:c r="Y496" s="9" t="str">
        <x:f>IF($A496="","",$X496*$I496/100)</x:f>
      </x:c>
      <x:c r="Z496" s="9" t="str">
        <x:f>IF($A496="","",MAX(0,($X496-$Y496)*$K496/100))</x:f>
      </x:c>
      <x:c r="AA496" s="9" t="str">
        <x:f>IF($A496="","",MAX(0,($X496-$Y496)*$L496/100))</x:f>
      </x:c>
      <x:c r="AB496" s="9" t="str">
        <x:f>IF($A496="","",MAX(0,($X496-$Y496)*$M496/100))</x:f>
      </x:c>
      <x:c r="AC496" s="9" t="str">
        <x:f>IF($A496="","",MAX(0,($X496-$Y496)+$J496+$Z496+$N496-$AA496-$AB496-$O496))</x:f>
      </x:c>
    </x:row>
    <x:row r="497">
      <x:c r="A497" s="13"/>
      <x:c r="B497" s="14"/>
      <x:c r="C497" s="8"/>
      <x:c r="D497" s="13"/>
      <x:c r="E497" s="7"/>
      <x:c r="F497" s="13"/>
      <x:c r="G497" s="7"/>
      <x:c r="H497" s="7"/>
      <x:c r="I497" s="10"/>
      <x:c r="J497" s="9"/>
      <x:c r="K497" s="10"/>
      <x:c r="L497" s="10"/>
      <x:c r="M497" s="10"/>
      <x:c r="N497" s="9"/>
      <x:c r="O497" s="9"/>
      <x:c r="P497" s="7"/>
      <x:c r="Q497" s="9"/>
      <x:c r="R497" s="8"/>
      <x:c r="S497" s="9"/>
      <x:c r="T497" s="8"/>
      <x:c r="U497" s="13"/>
      <x:c r="V497" s="7"/>
      <x:c r="W497" s="7"/>
      <x:c r="X497" s="9" t="str">
        <x:f>IF($A497="","",SUMIF(Purchase_Items!$A$2:$A$501,$A497,Purchase_Items!$P$2:$P$501))</x:f>
      </x:c>
      <x:c r="Y497" s="9" t="str">
        <x:f>IF($A497="","",$X497*$I497/100)</x:f>
      </x:c>
      <x:c r="Z497" s="9" t="str">
        <x:f>IF($A497="","",MAX(0,($X497-$Y497)*$K497/100))</x:f>
      </x:c>
      <x:c r="AA497" s="9" t="str">
        <x:f>IF($A497="","",MAX(0,($X497-$Y497)*$L497/100))</x:f>
      </x:c>
      <x:c r="AB497" s="9" t="str">
        <x:f>IF($A497="","",MAX(0,($X497-$Y497)*$M497/100))</x:f>
      </x:c>
      <x:c r="AC497" s="9" t="str">
        <x:f>IF($A497="","",MAX(0,($X497-$Y497)+$J497+$Z497+$N497-$AA497-$AB497-$O497))</x:f>
      </x:c>
    </x:row>
    <x:row r="498">
      <x:c r="A498" s="13"/>
      <x:c r="B498" s="14"/>
      <x:c r="C498" s="8"/>
      <x:c r="D498" s="13"/>
      <x:c r="E498" s="7"/>
      <x:c r="F498" s="13"/>
      <x:c r="G498" s="7"/>
      <x:c r="H498" s="7"/>
      <x:c r="I498" s="10"/>
      <x:c r="J498" s="9"/>
      <x:c r="K498" s="10"/>
      <x:c r="L498" s="10"/>
      <x:c r="M498" s="10"/>
      <x:c r="N498" s="9"/>
      <x:c r="O498" s="9"/>
      <x:c r="P498" s="7"/>
      <x:c r="Q498" s="9"/>
      <x:c r="R498" s="8"/>
      <x:c r="S498" s="9"/>
      <x:c r="T498" s="8"/>
      <x:c r="U498" s="13"/>
      <x:c r="V498" s="7"/>
      <x:c r="W498" s="7"/>
      <x:c r="X498" s="9" t="str">
        <x:f>IF($A498="","",SUMIF(Purchase_Items!$A$2:$A$501,$A498,Purchase_Items!$P$2:$P$501))</x:f>
      </x:c>
      <x:c r="Y498" s="9" t="str">
        <x:f>IF($A498="","",$X498*$I498/100)</x:f>
      </x:c>
      <x:c r="Z498" s="9" t="str">
        <x:f>IF($A498="","",MAX(0,($X498-$Y498)*$K498/100))</x:f>
      </x:c>
      <x:c r="AA498" s="9" t="str">
        <x:f>IF($A498="","",MAX(0,($X498-$Y498)*$L498/100))</x:f>
      </x:c>
      <x:c r="AB498" s="9" t="str">
        <x:f>IF($A498="","",MAX(0,($X498-$Y498)*$M498/100))</x:f>
      </x:c>
      <x:c r="AC498" s="9" t="str">
        <x:f>IF($A498="","",MAX(0,($X498-$Y498)+$J498+$Z498+$N498-$AA498-$AB498-$O498))</x:f>
      </x:c>
    </x:row>
    <x:row r="499">
      <x:c r="A499" s="13"/>
      <x:c r="B499" s="14"/>
      <x:c r="C499" s="8"/>
      <x:c r="D499" s="13"/>
      <x:c r="E499" s="7"/>
      <x:c r="F499" s="13"/>
      <x:c r="G499" s="7"/>
      <x:c r="H499" s="7"/>
      <x:c r="I499" s="10"/>
      <x:c r="J499" s="9"/>
      <x:c r="K499" s="10"/>
      <x:c r="L499" s="10"/>
      <x:c r="M499" s="10"/>
      <x:c r="N499" s="9"/>
      <x:c r="O499" s="9"/>
      <x:c r="P499" s="7"/>
      <x:c r="Q499" s="9"/>
      <x:c r="R499" s="8"/>
      <x:c r="S499" s="9"/>
      <x:c r="T499" s="8"/>
      <x:c r="U499" s="13"/>
      <x:c r="V499" s="7"/>
      <x:c r="W499" s="7"/>
      <x:c r="X499" s="9" t="str">
        <x:f>IF($A499="","",SUMIF(Purchase_Items!$A$2:$A$501,$A499,Purchase_Items!$P$2:$P$501))</x:f>
      </x:c>
      <x:c r="Y499" s="9" t="str">
        <x:f>IF($A499="","",$X499*$I499/100)</x:f>
      </x:c>
      <x:c r="Z499" s="9" t="str">
        <x:f>IF($A499="","",MAX(0,($X499-$Y499)*$K499/100))</x:f>
      </x:c>
      <x:c r="AA499" s="9" t="str">
        <x:f>IF($A499="","",MAX(0,($X499-$Y499)*$L499/100))</x:f>
      </x:c>
      <x:c r="AB499" s="9" t="str">
        <x:f>IF($A499="","",MAX(0,($X499-$Y499)*$M499/100))</x:f>
      </x:c>
      <x:c r="AC499" s="9" t="str">
        <x:f>IF($A499="","",MAX(0,($X499-$Y499)+$J499+$Z499+$N499-$AA499-$AB499-$O499))</x:f>
      </x:c>
    </x:row>
    <x:row r="500">
      <x:c r="A500" s="13"/>
      <x:c r="B500" s="14"/>
      <x:c r="C500" s="8"/>
      <x:c r="D500" s="13"/>
      <x:c r="E500" s="7"/>
      <x:c r="F500" s="13"/>
      <x:c r="G500" s="7"/>
      <x:c r="H500" s="7"/>
      <x:c r="I500" s="10"/>
      <x:c r="J500" s="9"/>
      <x:c r="K500" s="10"/>
      <x:c r="L500" s="10"/>
      <x:c r="M500" s="10"/>
      <x:c r="N500" s="9"/>
      <x:c r="O500" s="9"/>
      <x:c r="P500" s="7"/>
      <x:c r="Q500" s="9"/>
      <x:c r="R500" s="8"/>
      <x:c r="S500" s="9"/>
      <x:c r="T500" s="8"/>
      <x:c r="U500" s="13"/>
      <x:c r="V500" s="7"/>
      <x:c r="W500" s="7"/>
      <x:c r="X500" s="9" t="str">
        <x:f>IF($A500="","",SUMIF(Purchase_Items!$A$2:$A$501,$A500,Purchase_Items!$P$2:$P$501))</x:f>
      </x:c>
      <x:c r="Y500" s="9" t="str">
        <x:f>IF($A500="","",$X500*$I500/100)</x:f>
      </x:c>
      <x:c r="Z500" s="9" t="str">
        <x:f>IF($A500="","",MAX(0,($X500-$Y500)*$K500/100))</x:f>
      </x:c>
      <x:c r="AA500" s="9" t="str">
        <x:f>IF($A500="","",MAX(0,($X500-$Y500)*$L500/100))</x:f>
      </x:c>
      <x:c r="AB500" s="9" t="str">
        <x:f>IF($A500="","",MAX(0,($X500-$Y500)*$M500/100))</x:f>
      </x:c>
      <x:c r="AC500" s="9" t="str">
        <x:f>IF($A500="","",MAX(0,($X500-$Y500)+$J500+$Z500+$N500-$AA500-$AB500-$O500))</x:f>
      </x:c>
    </x:row>
    <x:row r="501">
      <x:c r="A501" s="13"/>
      <x:c r="B501" s="14"/>
      <x:c r="C501" s="8"/>
      <x:c r="D501" s="13"/>
      <x:c r="E501" s="7"/>
      <x:c r="F501" s="13"/>
      <x:c r="G501" s="7"/>
      <x:c r="H501" s="7"/>
      <x:c r="I501" s="10"/>
      <x:c r="J501" s="9"/>
      <x:c r="K501" s="10"/>
      <x:c r="L501" s="10"/>
      <x:c r="M501" s="10"/>
      <x:c r="N501" s="9"/>
      <x:c r="O501" s="9"/>
      <x:c r="P501" s="7"/>
      <x:c r="Q501" s="9"/>
      <x:c r="R501" s="8"/>
      <x:c r="S501" s="9"/>
      <x:c r="T501" s="8"/>
      <x:c r="U501" s="13"/>
      <x:c r="V501" s="7"/>
      <x:c r="W501" s="7"/>
      <x:c r="X501" s="9" t="str">
        <x:f>IF($A501="","",SUMIF(Purchase_Items!$A$2:$A$501,$A501,Purchase_Items!$P$2:$P$501))</x:f>
      </x:c>
      <x:c r="Y501" s="9" t="str">
        <x:f>IF($A501="","",$X501*$I501/100)</x:f>
      </x:c>
      <x:c r="Z501" s="9" t="str">
        <x:f>IF($A501="","",MAX(0,($X501-$Y501)*$K501/100))</x:f>
      </x:c>
      <x:c r="AA501" s="9" t="str">
        <x:f>IF($A501="","",MAX(0,($X501-$Y501)*$L501/100))</x:f>
      </x:c>
      <x:c r="AB501" s="9" t="str">
        <x:f>IF($A501="","",MAX(0,($X501-$Y501)*$M501/100))</x:f>
      </x:c>
      <x:c r="AC501" s="9" t="str">
        <x:f>IF($A501="","",MAX(0,($X501-$Y501)+$J501+$Z501+$N501-$AA501-$AB501-$O501))</x:f>
      </x:c>
    </x:row>
  </x:sheetData>
  <x:dataValidations count="3">
    <x:dataValidation type="list" sqref="F2:F501">
      <x:formula1>"CREDIT,CASH,BANK_TRANSFER,CHECK"</x:formula1>
    </x:dataValidation>
    <x:dataValidation type="list" sqref="U2:U501">
      <x:formula1>"DRAFT,PENDING_APPROVAL,PENDING_ACCOUNTING,PENDING_FINAL_APPROVAL,APPROVED,PAID"</x:formula1>
    </x:dataValidation>
    <x:dataValidation type="list" sqref="V2:V5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6c4ece2f5d43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8.75" hidden="0" customWidth="1"/>
    <x:col min="3" max="3" width="13.75" hidden="0" customWidth="1"/>
    <x:col min="4" max="4" width="16.25" hidden="0" customWidth="1"/>
    <x:col min="5" max="5" width="32.5" hidden="0" customWidth="1"/>
    <x:col min="6" max="6" width="10.630000114440918" hidden="0" customWidth="1"/>
    <x:col min="7" max="7" width="14.380000114440918" hidden="0" customWidth="1"/>
    <x:col min="8" max="8" width="15.630000114440918" hidden="0" customWidth="1"/>
    <x:col min="9" max="9" width="12.5" hidden="0" customWidth="1"/>
    <x:col min="10" max="10" width="18.75" hidden="0" customWidth="1"/>
    <x:col min="11" max="11" width="16.8799991607666" hidden="0" customWidth="1"/>
    <x:col min="12" max="12" width="16.25" hidden="0" customWidth="1"/>
    <x:col min="13" max="13" width="12.5" hidden="0" customWidth="1"/>
    <x:col min="14" max="14" width="13.130000114440918" hidden="0" customWidth="1"/>
    <x:col min="15" max="15" width="31.25" hidden="0" customWidth="1"/>
    <x:col min="16" max="16" width="15.630000114440918" hidden="0" customWidth="1"/>
  </x:cols>
  <x:sheetData>
    <x:row r="1">
      <x:c r="A1" s="5" t="str">
        <x:v>external_purchase_code</x:v>
      </x:c>
      <x:c r="B1" s="5" t="str">
        <x:v>line_no</x:v>
      </x:c>
      <x:c r="C1" s="5" t="str">
        <x:v>item_type</x:v>
      </x:c>
      <x:c r="D1" s="5" t="str">
        <x:v>product_code</x:v>
      </x:c>
      <x:c r="E1" s="5" t="str">
        <x:v>description</x:v>
      </x:c>
      <x:c r="F1" s="5" t="str">
        <x:v>quantity</x:v>
      </x:c>
      <x:c r="G1" s="5" t="str">
        <x:v>unit_price</x:v>
      </x:c>
      <x:c r="H1" s="5" t="str">
        <x:v>discount_amount</x:v>
      </x:c>
      <x:c r="I1" s="5" t="str">
        <x:v>tax_amount</x:v>
      </x:c>
      <x:c r="J1" s="5" t="str">
        <x:v>expense_account_code</x:v>
      </x:c>
      <x:c r="K1" s="5" t="str">
        <x:v>asset_category_code</x:v>
      </x:c>
      <x:c r="L1" s="5" t="str">
        <x:v>amortization_month</x:v>
      </x:c>
      <x:c r="M1" s="5" t="str">
        <x:v>receipt_qty</x:v>
      </x:c>
      <x:c r="N1" s="5" t="str">
        <x:v>receipt_date</x:v>
      </x:c>
      <x:c r="O1" s="5" t="str">
        <x:v>notes</x:v>
      </x:c>
      <x:c r="P1" s="5" t="str">
        <x:v>check_line_net</x:v>
      </x:c>
    </x:row>
    <x:row r="2">
      <x:c r="A2" s="13" t="str">
        <x:v>CONTOH-PUR-2026-01-0001</x:v>
      </x:c>
      <x:c r="B2" s="15" t="n">
        <x:v>1</x:v>
      </x:c>
      <x:c r="C2" s="13" t="str">
        <x:v>INVENTORY</x:v>
      </x:c>
      <x:c r="D2" s="7" t="str">
        <x:v>PRD-0001</x:v>
      </x:c>
      <x:c r="E2" s="7" t="str">
        <x:v>Laptop Dell XPS 13</x:v>
      </x:c>
      <x:c r="F2" s="15" t="n">
        <x:v>2</x:v>
      </x:c>
      <x:c r="G2" s="16" t="n">
        <x:v>12500000</x:v>
      </x:c>
      <x:c r="H2" s="9" t="n">
        <x:v>0</x:v>
      </x:c>
      <x:c r="I2" s="9" t="n">
        <x:v>0</x:v>
      </x:c>
      <x:c r="J2" s="7" t="str">
        <x:v>1103-001</x:v>
      </x:c>
      <x:c r="K2" s="7" t="str"/>
      <x:c r="L2" s="11" t="n">
        <x:v>0</x:v>
      </x:c>
      <x:c r="M2" s="11" t="n">
        <x:v>0</x:v>
      </x:c>
      <x:c r="N2" s="8"/>
      <x:c r="O2" s="7" t="str">
        <x:v>CONTOH SAJA - item purchase 1</x:v>
      </x:c>
      <x:c r="P2" s="9" t="n">
        <x:f>IF($A2="","",MAX(0,$F2*$G2-$H2))</x:f>
        <x:v>25000000</x:v>
      </x:c>
    </x:row>
    <x:row r="3">
      <x:c r="A3" s="13" t="str">
        <x:v>CONTOH-PUR-2026-01-0001</x:v>
      </x:c>
      <x:c r="B3" s="15" t="n">
        <x:v>2</x:v>
      </x:c>
      <x:c r="C3" s="13" t="str">
        <x:v>INVENTORY</x:v>
      </x:c>
      <x:c r="D3" s="7" t="str">
        <x:v>PRD-0002</x:v>
      </x:c>
      <x:c r="E3" s="7" t="str">
        <x:v>Mouse Wireless</x:v>
      </x:c>
      <x:c r="F3" s="15" t="n">
        <x:v>5</x:v>
      </x:c>
      <x:c r="G3" s="16" t="n">
        <x:v>150000</x:v>
      </x:c>
      <x:c r="H3" s="9" t="n">
        <x:v>0</x:v>
      </x:c>
      <x:c r="I3" s="9" t="n">
        <x:v>0</x:v>
      </x:c>
      <x:c r="J3" s="7" t="str">
        <x:v>1103-001</x:v>
      </x:c>
      <x:c r="K3" s="7" t="str"/>
      <x:c r="L3" s="11" t="n">
        <x:v>0</x:v>
      </x:c>
      <x:c r="M3" s="11" t="n">
        <x:v>0</x:v>
      </x:c>
      <x:c r="N3" s="8"/>
      <x:c r="O3" s="7" t="str">
        <x:v>CONTOH SAJA - item purchase 2</x:v>
      </x:c>
      <x:c r="P3" s="9" t="n">
        <x:f>IF($A3="","",MAX(0,$F3*$G3-$H3))</x:f>
        <x:v>750000</x:v>
      </x:c>
    </x:row>
    <x:row r="4">
      <x:c r="A4" s="13"/>
      <x:c r="B4" s="15"/>
      <x:c r="C4" s="13"/>
      <x:c r="D4" s="7"/>
      <x:c r="E4" s="7"/>
      <x:c r="F4" s="15"/>
      <x:c r="G4" s="16"/>
      <x:c r="H4" s="9"/>
      <x:c r="I4" s="9"/>
      <x:c r="J4" s="7"/>
      <x:c r="K4" s="7"/>
      <x:c r="L4" s="11"/>
      <x:c r="M4" s="11"/>
      <x:c r="N4" s="8"/>
      <x:c r="O4" s="7"/>
      <x:c r="P4" s="9" t="str">
        <x:f>IF($A4="","",MAX(0,$F4*$G4-$H4))</x:f>
      </x:c>
    </x:row>
    <x:row r="5">
      <x:c r="A5" s="13"/>
      <x:c r="B5" s="15"/>
      <x:c r="C5" s="13"/>
      <x:c r="D5" s="7"/>
      <x:c r="E5" s="7"/>
      <x:c r="F5" s="15"/>
      <x:c r="G5" s="16"/>
      <x:c r="H5" s="9"/>
      <x:c r="I5" s="9"/>
      <x:c r="J5" s="7"/>
      <x:c r="K5" s="7"/>
      <x:c r="L5" s="11"/>
      <x:c r="M5" s="11"/>
      <x:c r="N5" s="8"/>
      <x:c r="O5" s="7"/>
      <x:c r="P5" s="9" t="str">
        <x:f>IF($A5="","",MAX(0,$F5*$G5-$H5))</x:f>
      </x:c>
    </x:row>
    <x:row r="6">
      <x:c r="A6" s="13"/>
      <x:c r="B6" s="15"/>
      <x:c r="C6" s="13"/>
      <x:c r="D6" s="7"/>
      <x:c r="E6" s="7"/>
      <x:c r="F6" s="15"/>
      <x:c r="G6" s="16"/>
      <x:c r="H6" s="9"/>
      <x:c r="I6" s="9"/>
      <x:c r="J6" s="7"/>
      <x:c r="K6" s="7"/>
      <x:c r="L6" s="11"/>
      <x:c r="M6" s="11"/>
      <x:c r="N6" s="8"/>
      <x:c r="O6" s="7"/>
      <x:c r="P6" s="9" t="str">
        <x:f>IF($A6="","",MAX(0,$F6*$G6-$H6))</x:f>
      </x:c>
    </x:row>
    <x:row r="7">
      <x:c r="A7" s="13"/>
      <x:c r="B7" s="15"/>
      <x:c r="C7" s="13"/>
      <x:c r="D7" s="7"/>
      <x:c r="E7" s="7"/>
      <x:c r="F7" s="15"/>
      <x:c r="G7" s="16"/>
      <x:c r="H7" s="9"/>
      <x:c r="I7" s="9"/>
      <x:c r="J7" s="7"/>
      <x:c r="K7" s="7"/>
      <x:c r="L7" s="11"/>
      <x:c r="M7" s="11"/>
      <x:c r="N7" s="8"/>
      <x:c r="O7" s="7"/>
      <x:c r="P7" s="9" t="str">
        <x:f>IF($A7="","",MAX(0,$F7*$G7-$H7))</x:f>
      </x:c>
    </x:row>
    <x:row r="8">
      <x:c r="A8" s="13"/>
      <x:c r="B8" s="15"/>
      <x:c r="C8" s="13"/>
      <x:c r="D8" s="7"/>
      <x:c r="E8" s="7"/>
      <x:c r="F8" s="15"/>
      <x:c r="G8" s="16"/>
      <x:c r="H8" s="9"/>
      <x:c r="I8" s="9"/>
      <x:c r="J8" s="7"/>
      <x:c r="K8" s="7"/>
      <x:c r="L8" s="11"/>
      <x:c r="M8" s="11"/>
      <x:c r="N8" s="8"/>
      <x:c r="O8" s="7"/>
      <x:c r="P8" s="9" t="str">
        <x:f>IF($A8="","",MAX(0,$F8*$G8-$H8))</x:f>
      </x:c>
    </x:row>
    <x:row r="9">
      <x:c r="A9" s="13"/>
      <x:c r="B9" s="15"/>
      <x:c r="C9" s="13"/>
      <x:c r="D9" s="7"/>
      <x:c r="E9" s="7"/>
      <x:c r="F9" s="15"/>
      <x:c r="G9" s="16"/>
      <x:c r="H9" s="9"/>
      <x:c r="I9" s="9"/>
      <x:c r="J9" s="7"/>
      <x:c r="K9" s="7"/>
      <x:c r="L9" s="11"/>
      <x:c r="M9" s="11"/>
      <x:c r="N9" s="8"/>
      <x:c r="O9" s="7"/>
      <x:c r="P9" s="9" t="str">
        <x:f>IF($A9="","",MAX(0,$F9*$G9-$H9))</x:f>
      </x:c>
    </x:row>
    <x:row r="10">
      <x:c r="A10" s="13"/>
      <x:c r="B10" s="15"/>
      <x:c r="C10" s="13"/>
      <x:c r="D10" s="7"/>
      <x:c r="E10" s="7"/>
      <x:c r="F10" s="15"/>
      <x:c r="G10" s="16"/>
      <x:c r="H10" s="9"/>
      <x:c r="I10" s="9"/>
      <x:c r="J10" s="7"/>
      <x:c r="K10" s="7"/>
      <x:c r="L10" s="11"/>
      <x:c r="M10" s="11"/>
      <x:c r="N10" s="8"/>
      <x:c r="O10" s="7"/>
      <x:c r="P10" s="9" t="str">
        <x:f>IF($A10="","",MAX(0,$F10*$G10-$H10))</x:f>
      </x:c>
    </x:row>
    <x:row r="11">
      <x:c r="A11" s="13"/>
      <x:c r="B11" s="15"/>
      <x:c r="C11" s="13"/>
      <x:c r="D11" s="7"/>
      <x:c r="E11" s="7"/>
      <x:c r="F11" s="15"/>
      <x:c r="G11" s="16"/>
      <x:c r="H11" s="9"/>
      <x:c r="I11" s="9"/>
      <x:c r="J11" s="7"/>
      <x:c r="K11" s="7"/>
      <x:c r="L11" s="11"/>
      <x:c r="M11" s="11"/>
      <x:c r="N11" s="8"/>
      <x:c r="O11" s="7"/>
      <x:c r="P11" s="9" t="str">
        <x:f>IF($A11="","",MAX(0,$F11*$G11-$H11))</x:f>
      </x:c>
    </x:row>
    <x:row r="12">
      <x:c r="A12" s="13"/>
      <x:c r="B12" s="15"/>
      <x:c r="C12" s="13"/>
      <x:c r="D12" s="7"/>
      <x:c r="E12" s="7"/>
      <x:c r="F12" s="15"/>
      <x:c r="G12" s="16"/>
      <x:c r="H12" s="9"/>
      <x:c r="I12" s="9"/>
      <x:c r="J12" s="7"/>
      <x:c r="K12" s="7"/>
      <x:c r="L12" s="11"/>
      <x:c r="M12" s="11"/>
      <x:c r="N12" s="8"/>
      <x:c r="O12" s="7"/>
      <x:c r="P12" s="9" t="str">
        <x:f>IF($A12="","",MAX(0,$F12*$G12-$H12))</x:f>
      </x:c>
    </x:row>
    <x:row r="13">
      <x:c r="A13" s="13"/>
      <x:c r="B13" s="15"/>
      <x:c r="C13" s="13"/>
      <x:c r="D13" s="7"/>
      <x:c r="E13" s="7"/>
      <x:c r="F13" s="15"/>
      <x:c r="G13" s="16"/>
      <x:c r="H13" s="9"/>
      <x:c r="I13" s="9"/>
      <x:c r="J13" s="7"/>
      <x:c r="K13" s="7"/>
      <x:c r="L13" s="11"/>
      <x:c r="M13" s="11"/>
      <x:c r="N13" s="8"/>
      <x:c r="O13" s="7"/>
      <x:c r="P13" s="9" t="str">
        <x:f>IF($A13="","",MAX(0,$F13*$G13-$H13))</x:f>
      </x:c>
    </x:row>
    <x:row r="14">
      <x:c r="A14" s="13"/>
      <x:c r="B14" s="15"/>
      <x:c r="C14" s="13"/>
      <x:c r="D14" s="7"/>
      <x:c r="E14" s="7"/>
      <x:c r="F14" s="15"/>
      <x:c r="G14" s="16"/>
      <x:c r="H14" s="9"/>
      <x:c r="I14" s="9"/>
      <x:c r="J14" s="7"/>
      <x:c r="K14" s="7"/>
      <x:c r="L14" s="11"/>
      <x:c r="M14" s="11"/>
      <x:c r="N14" s="8"/>
      <x:c r="O14" s="7"/>
      <x:c r="P14" s="9" t="str">
        <x:f>IF($A14="","",MAX(0,$F14*$G14-$H14))</x:f>
      </x:c>
    </x:row>
    <x:row r="15">
      <x:c r="A15" s="13"/>
      <x:c r="B15" s="15"/>
      <x:c r="C15" s="13"/>
      <x:c r="D15" s="7"/>
      <x:c r="E15" s="7"/>
      <x:c r="F15" s="15"/>
      <x:c r="G15" s="16"/>
      <x:c r="H15" s="9"/>
      <x:c r="I15" s="9"/>
      <x:c r="J15" s="7"/>
      <x:c r="K15" s="7"/>
      <x:c r="L15" s="11"/>
      <x:c r="M15" s="11"/>
      <x:c r="N15" s="8"/>
      <x:c r="O15" s="7"/>
      <x:c r="P15" s="9" t="str">
        <x:f>IF($A15="","",MAX(0,$F15*$G15-$H15))</x:f>
      </x:c>
    </x:row>
    <x:row r="16">
      <x:c r="A16" s="13"/>
      <x:c r="B16" s="15"/>
      <x:c r="C16" s="13"/>
      <x:c r="D16" s="7"/>
      <x:c r="E16" s="7"/>
      <x:c r="F16" s="15"/>
      <x:c r="G16" s="16"/>
      <x:c r="H16" s="9"/>
      <x:c r="I16" s="9"/>
      <x:c r="J16" s="7"/>
      <x:c r="K16" s="7"/>
      <x:c r="L16" s="11"/>
      <x:c r="M16" s="11"/>
      <x:c r="N16" s="8"/>
      <x:c r="O16" s="7"/>
      <x:c r="P16" s="9" t="str">
        <x:f>IF($A16="","",MAX(0,$F16*$G16-$H16))</x:f>
      </x:c>
    </x:row>
    <x:row r="17">
      <x:c r="A17" s="13"/>
      <x:c r="B17" s="15"/>
      <x:c r="C17" s="13"/>
      <x:c r="D17" s="7"/>
      <x:c r="E17" s="7"/>
      <x:c r="F17" s="15"/>
      <x:c r="G17" s="16"/>
      <x:c r="H17" s="9"/>
      <x:c r="I17" s="9"/>
      <x:c r="J17" s="7"/>
      <x:c r="K17" s="7"/>
      <x:c r="L17" s="11"/>
      <x:c r="M17" s="11"/>
      <x:c r="N17" s="8"/>
      <x:c r="O17" s="7"/>
      <x:c r="P17" s="9" t="str">
        <x:f>IF($A17="","",MAX(0,$F17*$G17-$H17))</x:f>
      </x:c>
    </x:row>
    <x:row r="18">
      <x:c r="A18" s="13"/>
      <x:c r="B18" s="15"/>
      <x:c r="C18" s="13"/>
      <x:c r="D18" s="7"/>
      <x:c r="E18" s="7"/>
      <x:c r="F18" s="15"/>
      <x:c r="G18" s="16"/>
      <x:c r="H18" s="9"/>
      <x:c r="I18" s="9"/>
      <x:c r="J18" s="7"/>
      <x:c r="K18" s="7"/>
      <x:c r="L18" s="11"/>
      <x:c r="M18" s="11"/>
      <x:c r="N18" s="8"/>
      <x:c r="O18" s="7"/>
      <x:c r="P18" s="9" t="str">
        <x:f>IF($A18="","",MAX(0,$F18*$G18-$H18))</x:f>
      </x:c>
    </x:row>
    <x:row r="19">
      <x:c r="A19" s="13"/>
      <x:c r="B19" s="15"/>
      <x:c r="C19" s="13"/>
      <x:c r="D19" s="7"/>
      <x:c r="E19" s="7"/>
      <x:c r="F19" s="15"/>
      <x:c r="G19" s="16"/>
      <x:c r="H19" s="9"/>
      <x:c r="I19" s="9"/>
      <x:c r="J19" s="7"/>
      <x:c r="K19" s="7"/>
      <x:c r="L19" s="11"/>
      <x:c r="M19" s="11"/>
      <x:c r="N19" s="8"/>
      <x:c r="O19" s="7"/>
      <x:c r="P19" s="9" t="str">
        <x:f>IF($A19="","",MAX(0,$F19*$G19-$H19))</x:f>
      </x:c>
    </x:row>
    <x:row r="20">
      <x:c r="A20" s="13"/>
      <x:c r="B20" s="15"/>
      <x:c r="C20" s="13"/>
      <x:c r="D20" s="7"/>
      <x:c r="E20" s="7"/>
      <x:c r="F20" s="15"/>
      <x:c r="G20" s="16"/>
      <x:c r="H20" s="9"/>
      <x:c r="I20" s="9"/>
      <x:c r="J20" s="7"/>
      <x:c r="K20" s="7"/>
      <x:c r="L20" s="11"/>
      <x:c r="M20" s="11"/>
      <x:c r="N20" s="8"/>
      <x:c r="O20" s="7"/>
      <x:c r="P20" s="9" t="str">
        <x:f>IF($A20="","",MAX(0,$F20*$G20-$H20))</x:f>
      </x:c>
    </x:row>
    <x:row r="21">
      <x:c r="A21" s="13"/>
      <x:c r="B21" s="15"/>
      <x:c r="C21" s="13"/>
      <x:c r="D21" s="7"/>
      <x:c r="E21" s="7"/>
      <x:c r="F21" s="15"/>
      <x:c r="G21" s="16"/>
      <x:c r="H21" s="9"/>
      <x:c r="I21" s="9"/>
      <x:c r="J21" s="7"/>
      <x:c r="K21" s="7"/>
      <x:c r="L21" s="11"/>
      <x:c r="M21" s="11"/>
      <x:c r="N21" s="8"/>
      <x:c r="O21" s="7"/>
      <x:c r="P21" s="9" t="str">
        <x:f>IF($A21="","",MAX(0,$F21*$G21-$H21))</x:f>
      </x:c>
    </x:row>
    <x:row r="22">
      <x:c r="A22" s="13"/>
      <x:c r="B22" s="15"/>
      <x:c r="C22" s="13"/>
      <x:c r="D22" s="7"/>
      <x:c r="E22" s="7"/>
      <x:c r="F22" s="15"/>
      <x:c r="G22" s="16"/>
      <x:c r="H22" s="9"/>
      <x:c r="I22" s="9"/>
      <x:c r="J22" s="7"/>
      <x:c r="K22" s="7"/>
      <x:c r="L22" s="11"/>
      <x:c r="M22" s="11"/>
      <x:c r="N22" s="8"/>
      <x:c r="O22" s="7"/>
      <x:c r="P22" s="9" t="str">
        <x:f>IF($A22="","",MAX(0,$F22*$G22-$H22))</x:f>
      </x:c>
    </x:row>
    <x:row r="23">
      <x:c r="A23" s="13"/>
      <x:c r="B23" s="15"/>
      <x:c r="C23" s="13"/>
      <x:c r="D23" s="7"/>
      <x:c r="E23" s="7"/>
      <x:c r="F23" s="15"/>
      <x:c r="G23" s="16"/>
      <x:c r="H23" s="9"/>
      <x:c r="I23" s="9"/>
      <x:c r="J23" s="7"/>
      <x:c r="K23" s="7"/>
      <x:c r="L23" s="11"/>
      <x:c r="M23" s="11"/>
      <x:c r="N23" s="8"/>
      <x:c r="O23" s="7"/>
      <x:c r="P23" s="9" t="str">
        <x:f>IF($A23="","",MAX(0,$F23*$G23-$H23))</x:f>
      </x:c>
    </x:row>
    <x:row r="24">
      <x:c r="A24" s="13"/>
      <x:c r="B24" s="15"/>
      <x:c r="C24" s="13"/>
      <x:c r="D24" s="7"/>
      <x:c r="E24" s="7"/>
      <x:c r="F24" s="15"/>
      <x:c r="G24" s="16"/>
      <x:c r="H24" s="9"/>
      <x:c r="I24" s="9"/>
      <x:c r="J24" s="7"/>
      <x:c r="K24" s="7"/>
      <x:c r="L24" s="11"/>
      <x:c r="M24" s="11"/>
      <x:c r="N24" s="8"/>
      <x:c r="O24" s="7"/>
      <x:c r="P24" s="9" t="str">
        <x:f>IF($A24="","",MAX(0,$F24*$G24-$H24))</x:f>
      </x:c>
    </x:row>
    <x:row r="25">
      <x:c r="A25" s="13"/>
      <x:c r="B25" s="15"/>
      <x:c r="C25" s="13"/>
      <x:c r="D25" s="7"/>
      <x:c r="E25" s="7"/>
      <x:c r="F25" s="15"/>
      <x:c r="G25" s="16"/>
      <x:c r="H25" s="9"/>
      <x:c r="I25" s="9"/>
      <x:c r="J25" s="7"/>
      <x:c r="K25" s="7"/>
      <x:c r="L25" s="11"/>
      <x:c r="M25" s="11"/>
      <x:c r="N25" s="8"/>
      <x:c r="O25" s="7"/>
      <x:c r="P25" s="9" t="str">
        <x:f>IF($A25="","",MAX(0,$F25*$G25-$H25))</x:f>
      </x:c>
    </x:row>
    <x:row r="26">
      <x:c r="A26" s="13"/>
      <x:c r="B26" s="15"/>
      <x:c r="C26" s="13"/>
      <x:c r="D26" s="7"/>
      <x:c r="E26" s="7"/>
      <x:c r="F26" s="15"/>
      <x:c r="G26" s="16"/>
      <x:c r="H26" s="9"/>
      <x:c r="I26" s="9"/>
      <x:c r="J26" s="7"/>
      <x:c r="K26" s="7"/>
      <x:c r="L26" s="11"/>
      <x:c r="M26" s="11"/>
      <x:c r="N26" s="8"/>
      <x:c r="O26" s="7"/>
      <x:c r="P26" s="9" t="str">
        <x:f>IF($A26="","",MAX(0,$F26*$G26-$H26))</x:f>
      </x:c>
    </x:row>
    <x:row r="27">
      <x:c r="A27" s="13"/>
      <x:c r="B27" s="15"/>
      <x:c r="C27" s="13"/>
      <x:c r="D27" s="7"/>
      <x:c r="E27" s="7"/>
      <x:c r="F27" s="15"/>
      <x:c r="G27" s="16"/>
      <x:c r="H27" s="9"/>
      <x:c r="I27" s="9"/>
      <x:c r="J27" s="7"/>
      <x:c r="K27" s="7"/>
      <x:c r="L27" s="11"/>
      <x:c r="M27" s="11"/>
      <x:c r="N27" s="8"/>
      <x:c r="O27" s="7"/>
      <x:c r="P27" s="9" t="str">
        <x:f>IF($A27="","",MAX(0,$F27*$G27-$H27))</x:f>
      </x:c>
    </x:row>
    <x:row r="28">
      <x:c r="A28" s="13"/>
      <x:c r="B28" s="15"/>
      <x:c r="C28" s="13"/>
      <x:c r="D28" s="7"/>
      <x:c r="E28" s="7"/>
      <x:c r="F28" s="15"/>
      <x:c r="G28" s="16"/>
      <x:c r="H28" s="9"/>
      <x:c r="I28" s="9"/>
      <x:c r="J28" s="7"/>
      <x:c r="K28" s="7"/>
      <x:c r="L28" s="11"/>
      <x:c r="M28" s="11"/>
      <x:c r="N28" s="8"/>
      <x:c r="O28" s="7"/>
      <x:c r="P28" s="9" t="str">
        <x:f>IF($A28="","",MAX(0,$F28*$G28-$H28))</x:f>
      </x:c>
    </x:row>
    <x:row r="29">
      <x:c r="A29" s="13"/>
      <x:c r="B29" s="15"/>
      <x:c r="C29" s="13"/>
      <x:c r="D29" s="7"/>
      <x:c r="E29" s="7"/>
      <x:c r="F29" s="15"/>
      <x:c r="G29" s="16"/>
      <x:c r="H29" s="9"/>
      <x:c r="I29" s="9"/>
      <x:c r="J29" s="7"/>
      <x:c r="K29" s="7"/>
      <x:c r="L29" s="11"/>
      <x:c r="M29" s="11"/>
      <x:c r="N29" s="8"/>
      <x:c r="O29" s="7"/>
      <x:c r="P29" s="9" t="str">
        <x:f>IF($A29="","",MAX(0,$F29*$G29-$H29))</x:f>
      </x:c>
    </x:row>
    <x:row r="30">
      <x:c r="A30" s="13"/>
      <x:c r="B30" s="15"/>
      <x:c r="C30" s="13"/>
      <x:c r="D30" s="7"/>
      <x:c r="E30" s="7"/>
      <x:c r="F30" s="15"/>
      <x:c r="G30" s="16"/>
      <x:c r="H30" s="9"/>
      <x:c r="I30" s="9"/>
      <x:c r="J30" s="7"/>
      <x:c r="K30" s="7"/>
      <x:c r="L30" s="11"/>
      <x:c r="M30" s="11"/>
      <x:c r="N30" s="8"/>
      <x:c r="O30" s="7"/>
      <x:c r="P30" s="9" t="str">
        <x:f>IF($A30="","",MAX(0,$F30*$G30-$H30))</x:f>
      </x:c>
    </x:row>
    <x:row r="31">
      <x:c r="A31" s="13"/>
      <x:c r="B31" s="15"/>
      <x:c r="C31" s="13"/>
      <x:c r="D31" s="7"/>
      <x:c r="E31" s="7"/>
      <x:c r="F31" s="15"/>
      <x:c r="G31" s="16"/>
      <x:c r="H31" s="9"/>
      <x:c r="I31" s="9"/>
      <x:c r="J31" s="7"/>
      <x:c r="K31" s="7"/>
      <x:c r="L31" s="11"/>
      <x:c r="M31" s="11"/>
      <x:c r="N31" s="8"/>
      <x:c r="O31" s="7"/>
      <x:c r="P31" s="9" t="str">
        <x:f>IF($A31="","",MAX(0,$F31*$G31-$H31))</x:f>
      </x:c>
    </x:row>
    <x:row r="32">
      <x:c r="A32" s="13"/>
      <x:c r="B32" s="15"/>
      <x:c r="C32" s="13"/>
      <x:c r="D32" s="7"/>
      <x:c r="E32" s="7"/>
      <x:c r="F32" s="15"/>
      <x:c r="G32" s="16"/>
      <x:c r="H32" s="9"/>
      <x:c r="I32" s="9"/>
      <x:c r="J32" s="7"/>
      <x:c r="K32" s="7"/>
      <x:c r="L32" s="11"/>
      <x:c r="M32" s="11"/>
      <x:c r="N32" s="8"/>
      <x:c r="O32" s="7"/>
      <x:c r="P32" s="9" t="str">
        <x:f>IF($A32="","",MAX(0,$F32*$G32-$H32))</x:f>
      </x:c>
    </x:row>
    <x:row r="33">
      <x:c r="A33" s="13"/>
      <x:c r="B33" s="15"/>
      <x:c r="C33" s="13"/>
      <x:c r="D33" s="7"/>
      <x:c r="E33" s="7"/>
      <x:c r="F33" s="15"/>
      <x:c r="G33" s="16"/>
      <x:c r="H33" s="9"/>
      <x:c r="I33" s="9"/>
      <x:c r="J33" s="7"/>
      <x:c r="K33" s="7"/>
      <x:c r="L33" s="11"/>
      <x:c r="M33" s="11"/>
      <x:c r="N33" s="8"/>
      <x:c r="O33" s="7"/>
      <x:c r="P33" s="9" t="str">
        <x:f>IF($A33="","",MAX(0,$F33*$G33-$H33))</x:f>
      </x:c>
    </x:row>
    <x:row r="34">
      <x:c r="A34" s="13"/>
      <x:c r="B34" s="15"/>
      <x:c r="C34" s="13"/>
      <x:c r="D34" s="7"/>
      <x:c r="E34" s="7"/>
      <x:c r="F34" s="15"/>
      <x:c r="G34" s="16"/>
      <x:c r="H34" s="9"/>
      <x:c r="I34" s="9"/>
      <x:c r="J34" s="7"/>
      <x:c r="K34" s="7"/>
      <x:c r="L34" s="11"/>
      <x:c r="M34" s="11"/>
      <x:c r="N34" s="8"/>
      <x:c r="O34" s="7"/>
      <x:c r="P34" s="9" t="str">
        <x:f>IF($A34="","",MAX(0,$F34*$G34-$H34))</x:f>
      </x:c>
    </x:row>
    <x:row r="35">
      <x:c r="A35" s="13"/>
      <x:c r="B35" s="15"/>
      <x:c r="C35" s="13"/>
      <x:c r="D35" s="7"/>
      <x:c r="E35" s="7"/>
      <x:c r="F35" s="15"/>
      <x:c r="G35" s="16"/>
      <x:c r="H35" s="9"/>
      <x:c r="I35" s="9"/>
      <x:c r="J35" s="7"/>
      <x:c r="K35" s="7"/>
      <x:c r="L35" s="11"/>
      <x:c r="M35" s="11"/>
      <x:c r="N35" s="8"/>
      <x:c r="O35" s="7"/>
      <x:c r="P35" s="9" t="str">
        <x:f>IF($A35="","",MAX(0,$F35*$G35-$H35))</x:f>
      </x:c>
    </x:row>
    <x:row r="36">
      <x:c r="A36" s="13"/>
      <x:c r="B36" s="15"/>
      <x:c r="C36" s="13"/>
      <x:c r="D36" s="7"/>
      <x:c r="E36" s="7"/>
      <x:c r="F36" s="15"/>
      <x:c r="G36" s="16"/>
      <x:c r="H36" s="9"/>
      <x:c r="I36" s="9"/>
      <x:c r="J36" s="7"/>
      <x:c r="K36" s="7"/>
      <x:c r="L36" s="11"/>
      <x:c r="M36" s="11"/>
      <x:c r="N36" s="8"/>
      <x:c r="O36" s="7"/>
      <x:c r="P36" s="9" t="str">
        <x:f>IF($A36="","",MAX(0,$F36*$G36-$H36))</x:f>
      </x:c>
    </x:row>
    <x:row r="37">
      <x:c r="A37" s="13"/>
      <x:c r="B37" s="15"/>
      <x:c r="C37" s="13"/>
      <x:c r="D37" s="7"/>
      <x:c r="E37" s="7"/>
      <x:c r="F37" s="15"/>
      <x:c r="G37" s="16"/>
      <x:c r="H37" s="9"/>
      <x:c r="I37" s="9"/>
      <x:c r="J37" s="7"/>
      <x:c r="K37" s="7"/>
      <x:c r="L37" s="11"/>
      <x:c r="M37" s="11"/>
      <x:c r="N37" s="8"/>
      <x:c r="O37" s="7"/>
      <x:c r="P37" s="9" t="str">
        <x:f>IF($A37="","",MAX(0,$F37*$G37-$H37))</x:f>
      </x:c>
    </x:row>
    <x:row r="38">
      <x:c r="A38" s="13"/>
      <x:c r="B38" s="15"/>
      <x:c r="C38" s="13"/>
      <x:c r="D38" s="7"/>
      <x:c r="E38" s="7"/>
      <x:c r="F38" s="15"/>
      <x:c r="G38" s="16"/>
      <x:c r="H38" s="9"/>
      <x:c r="I38" s="9"/>
      <x:c r="J38" s="7"/>
      <x:c r="K38" s="7"/>
      <x:c r="L38" s="11"/>
      <x:c r="M38" s="11"/>
      <x:c r="N38" s="8"/>
      <x:c r="O38" s="7"/>
      <x:c r="P38" s="9" t="str">
        <x:f>IF($A38="","",MAX(0,$F38*$G38-$H38))</x:f>
      </x:c>
    </x:row>
    <x:row r="39">
      <x:c r="A39" s="13"/>
      <x:c r="B39" s="15"/>
      <x:c r="C39" s="13"/>
      <x:c r="D39" s="7"/>
      <x:c r="E39" s="7"/>
      <x:c r="F39" s="15"/>
      <x:c r="G39" s="16"/>
      <x:c r="H39" s="9"/>
      <x:c r="I39" s="9"/>
      <x:c r="J39" s="7"/>
      <x:c r="K39" s="7"/>
      <x:c r="L39" s="11"/>
      <x:c r="M39" s="11"/>
      <x:c r="N39" s="8"/>
      <x:c r="O39" s="7"/>
      <x:c r="P39" s="9" t="str">
        <x:f>IF($A39="","",MAX(0,$F39*$G39-$H39))</x:f>
      </x:c>
    </x:row>
    <x:row r="40">
      <x:c r="A40" s="13"/>
      <x:c r="B40" s="15"/>
      <x:c r="C40" s="13"/>
      <x:c r="D40" s="7"/>
      <x:c r="E40" s="7"/>
      <x:c r="F40" s="15"/>
      <x:c r="G40" s="16"/>
      <x:c r="H40" s="9"/>
      <x:c r="I40" s="9"/>
      <x:c r="J40" s="7"/>
      <x:c r="K40" s="7"/>
      <x:c r="L40" s="11"/>
      <x:c r="M40" s="11"/>
      <x:c r="N40" s="8"/>
      <x:c r="O40" s="7"/>
      <x:c r="P40" s="9" t="str">
        <x:f>IF($A40="","",MAX(0,$F40*$G40-$H40))</x:f>
      </x:c>
    </x:row>
    <x:row r="41">
      <x:c r="A41" s="13"/>
      <x:c r="B41" s="15"/>
      <x:c r="C41" s="13"/>
      <x:c r="D41" s="7"/>
      <x:c r="E41" s="7"/>
      <x:c r="F41" s="15"/>
      <x:c r="G41" s="16"/>
      <x:c r="H41" s="9"/>
      <x:c r="I41" s="9"/>
      <x:c r="J41" s="7"/>
      <x:c r="K41" s="7"/>
      <x:c r="L41" s="11"/>
      <x:c r="M41" s="11"/>
      <x:c r="N41" s="8"/>
      <x:c r="O41" s="7"/>
      <x:c r="P41" s="9" t="str">
        <x:f>IF($A41="","",MAX(0,$F41*$G41-$H41))</x:f>
      </x:c>
    </x:row>
    <x:row r="42">
      <x:c r="A42" s="13"/>
      <x:c r="B42" s="15"/>
      <x:c r="C42" s="13"/>
      <x:c r="D42" s="7"/>
      <x:c r="E42" s="7"/>
      <x:c r="F42" s="15"/>
      <x:c r="G42" s="16"/>
      <x:c r="H42" s="9"/>
      <x:c r="I42" s="9"/>
      <x:c r="J42" s="7"/>
      <x:c r="K42" s="7"/>
      <x:c r="L42" s="11"/>
      <x:c r="M42" s="11"/>
      <x:c r="N42" s="8"/>
      <x:c r="O42" s="7"/>
      <x:c r="P42" s="9" t="str">
        <x:f>IF($A42="","",MAX(0,$F42*$G42-$H42))</x:f>
      </x:c>
    </x:row>
    <x:row r="43">
      <x:c r="A43" s="13"/>
      <x:c r="B43" s="15"/>
      <x:c r="C43" s="13"/>
      <x:c r="D43" s="7"/>
      <x:c r="E43" s="7"/>
      <x:c r="F43" s="15"/>
      <x:c r="G43" s="16"/>
      <x:c r="H43" s="9"/>
      <x:c r="I43" s="9"/>
      <x:c r="J43" s="7"/>
      <x:c r="K43" s="7"/>
      <x:c r="L43" s="11"/>
      <x:c r="M43" s="11"/>
      <x:c r="N43" s="8"/>
      <x:c r="O43" s="7"/>
      <x:c r="P43" s="9" t="str">
        <x:f>IF($A43="","",MAX(0,$F43*$G43-$H43))</x:f>
      </x:c>
    </x:row>
    <x:row r="44">
      <x:c r="A44" s="13"/>
      <x:c r="B44" s="15"/>
      <x:c r="C44" s="13"/>
      <x:c r="D44" s="7"/>
      <x:c r="E44" s="7"/>
      <x:c r="F44" s="15"/>
      <x:c r="G44" s="16"/>
      <x:c r="H44" s="9"/>
      <x:c r="I44" s="9"/>
      <x:c r="J44" s="7"/>
      <x:c r="K44" s="7"/>
      <x:c r="L44" s="11"/>
      <x:c r="M44" s="11"/>
      <x:c r="N44" s="8"/>
      <x:c r="O44" s="7"/>
      <x:c r="P44" s="9" t="str">
        <x:f>IF($A44="","",MAX(0,$F44*$G44-$H44))</x:f>
      </x:c>
    </x:row>
    <x:row r="45">
      <x:c r="A45" s="13"/>
      <x:c r="B45" s="15"/>
      <x:c r="C45" s="13"/>
      <x:c r="D45" s="7"/>
      <x:c r="E45" s="7"/>
      <x:c r="F45" s="15"/>
      <x:c r="G45" s="16"/>
      <x:c r="H45" s="9"/>
      <x:c r="I45" s="9"/>
      <x:c r="J45" s="7"/>
      <x:c r="K45" s="7"/>
      <x:c r="L45" s="11"/>
      <x:c r="M45" s="11"/>
      <x:c r="N45" s="8"/>
      <x:c r="O45" s="7"/>
      <x:c r="P45" s="9" t="str">
        <x:f>IF($A45="","",MAX(0,$F45*$G45-$H45))</x:f>
      </x:c>
    </x:row>
    <x:row r="46">
      <x:c r="A46" s="13"/>
      <x:c r="B46" s="15"/>
      <x:c r="C46" s="13"/>
      <x:c r="D46" s="7"/>
      <x:c r="E46" s="7"/>
      <x:c r="F46" s="15"/>
      <x:c r="G46" s="16"/>
      <x:c r="H46" s="9"/>
      <x:c r="I46" s="9"/>
      <x:c r="J46" s="7"/>
      <x:c r="K46" s="7"/>
      <x:c r="L46" s="11"/>
      <x:c r="M46" s="11"/>
      <x:c r="N46" s="8"/>
      <x:c r="O46" s="7"/>
      <x:c r="P46" s="9" t="str">
        <x:f>IF($A46="","",MAX(0,$F46*$G46-$H46))</x:f>
      </x:c>
    </x:row>
    <x:row r="47">
      <x:c r="A47" s="13"/>
      <x:c r="B47" s="15"/>
      <x:c r="C47" s="13"/>
      <x:c r="D47" s="7"/>
      <x:c r="E47" s="7"/>
      <x:c r="F47" s="15"/>
      <x:c r="G47" s="16"/>
      <x:c r="H47" s="9"/>
      <x:c r="I47" s="9"/>
      <x:c r="J47" s="7"/>
      <x:c r="K47" s="7"/>
      <x:c r="L47" s="11"/>
      <x:c r="M47" s="11"/>
      <x:c r="N47" s="8"/>
      <x:c r="O47" s="7"/>
      <x:c r="P47" s="9" t="str">
        <x:f>IF($A47="","",MAX(0,$F47*$G47-$H47))</x:f>
      </x:c>
    </x:row>
    <x:row r="48">
      <x:c r="A48" s="13"/>
      <x:c r="B48" s="15"/>
      <x:c r="C48" s="13"/>
      <x:c r="D48" s="7"/>
      <x:c r="E48" s="7"/>
      <x:c r="F48" s="15"/>
      <x:c r="G48" s="16"/>
      <x:c r="H48" s="9"/>
      <x:c r="I48" s="9"/>
      <x:c r="J48" s="7"/>
      <x:c r="K48" s="7"/>
      <x:c r="L48" s="11"/>
      <x:c r="M48" s="11"/>
      <x:c r="N48" s="8"/>
      <x:c r="O48" s="7"/>
      <x:c r="P48" s="9" t="str">
        <x:f>IF($A48="","",MAX(0,$F48*$G48-$H48))</x:f>
      </x:c>
    </x:row>
    <x:row r="49">
      <x:c r="A49" s="13"/>
      <x:c r="B49" s="15"/>
      <x:c r="C49" s="13"/>
      <x:c r="D49" s="7"/>
      <x:c r="E49" s="7"/>
      <x:c r="F49" s="15"/>
      <x:c r="G49" s="16"/>
      <x:c r="H49" s="9"/>
      <x:c r="I49" s="9"/>
      <x:c r="J49" s="7"/>
      <x:c r="K49" s="7"/>
      <x:c r="L49" s="11"/>
      <x:c r="M49" s="11"/>
      <x:c r="N49" s="8"/>
      <x:c r="O49" s="7"/>
      <x:c r="P49" s="9" t="str">
        <x:f>IF($A49="","",MAX(0,$F49*$G49-$H49))</x:f>
      </x:c>
    </x:row>
    <x:row r="50">
      <x:c r="A50" s="13"/>
      <x:c r="B50" s="15"/>
      <x:c r="C50" s="13"/>
      <x:c r="D50" s="7"/>
      <x:c r="E50" s="7"/>
      <x:c r="F50" s="15"/>
      <x:c r="G50" s="16"/>
      <x:c r="H50" s="9"/>
      <x:c r="I50" s="9"/>
      <x:c r="J50" s="7"/>
      <x:c r="K50" s="7"/>
      <x:c r="L50" s="11"/>
      <x:c r="M50" s="11"/>
      <x:c r="N50" s="8"/>
      <x:c r="O50" s="7"/>
      <x:c r="P50" s="9" t="str">
        <x:f>IF($A50="","",MAX(0,$F50*$G50-$H50))</x:f>
      </x:c>
    </x:row>
    <x:row r="51">
      <x:c r="A51" s="13"/>
      <x:c r="B51" s="15"/>
      <x:c r="C51" s="13"/>
      <x:c r="D51" s="7"/>
      <x:c r="E51" s="7"/>
      <x:c r="F51" s="15"/>
      <x:c r="G51" s="16"/>
      <x:c r="H51" s="9"/>
      <x:c r="I51" s="9"/>
      <x:c r="J51" s="7"/>
      <x:c r="K51" s="7"/>
      <x:c r="L51" s="11"/>
      <x:c r="M51" s="11"/>
      <x:c r="N51" s="8"/>
      <x:c r="O51" s="7"/>
      <x:c r="P51" s="9" t="str">
        <x:f>IF($A51="","",MAX(0,$F51*$G51-$H51))</x:f>
      </x:c>
    </x:row>
    <x:row r="52">
      <x:c r="A52" s="13"/>
      <x:c r="B52" s="15"/>
      <x:c r="C52" s="13"/>
      <x:c r="D52" s="7"/>
      <x:c r="E52" s="7"/>
      <x:c r="F52" s="15"/>
      <x:c r="G52" s="16"/>
      <x:c r="H52" s="9"/>
      <x:c r="I52" s="9"/>
      <x:c r="J52" s="7"/>
      <x:c r="K52" s="7"/>
      <x:c r="L52" s="11"/>
      <x:c r="M52" s="11"/>
      <x:c r="N52" s="8"/>
      <x:c r="O52" s="7"/>
      <x:c r="P52" s="9" t="str">
        <x:f>IF($A52="","",MAX(0,$F52*$G52-$H52))</x:f>
      </x:c>
    </x:row>
    <x:row r="53">
      <x:c r="A53" s="13"/>
      <x:c r="B53" s="15"/>
      <x:c r="C53" s="13"/>
      <x:c r="D53" s="7"/>
      <x:c r="E53" s="7"/>
      <x:c r="F53" s="15"/>
      <x:c r="G53" s="16"/>
      <x:c r="H53" s="9"/>
      <x:c r="I53" s="9"/>
      <x:c r="J53" s="7"/>
      <x:c r="K53" s="7"/>
      <x:c r="L53" s="11"/>
      <x:c r="M53" s="11"/>
      <x:c r="N53" s="8"/>
      <x:c r="O53" s="7"/>
      <x:c r="P53" s="9" t="str">
        <x:f>IF($A53="","",MAX(0,$F53*$G53-$H53))</x:f>
      </x:c>
    </x:row>
    <x:row r="54">
      <x:c r="A54" s="13"/>
      <x:c r="B54" s="15"/>
      <x:c r="C54" s="13"/>
      <x:c r="D54" s="7"/>
      <x:c r="E54" s="7"/>
      <x:c r="F54" s="15"/>
      <x:c r="G54" s="16"/>
      <x:c r="H54" s="9"/>
      <x:c r="I54" s="9"/>
      <x:c r="J54" s="7"/>
      <x:c r="K54" s="7"/>
      <x:c r="L54" s="11"/>
      <x:c r="M54" s="11"/>
      <x:c r="N54" s="8"/>
      <x:c r="O54" s="7"/>
      <x:c r="P54" s="9" t="str">
        <x:f>IF($A54="","",MAX(0,$F54*$G54-$H54))</x:f>
      </x:c>
    </x:row>
    <x:row r="55">
      <x:c r="A55" s="13"/>
      <x:c r="B55" s="15"/>
      <x:c r="C55" s="13"/>
      <x:c r="D55" s="7"/>
      <x:c r="E55" s="7"/>
      <x:c r="F55" s="15"/>
      <x:c r="G55" s="16"/>
      <x:c r="H55" s="9"/>
      <x:c r="I55" s="9"/>
      <x:c r="J55" s="7"/>
      <x:c r="K55" s="7"/>
      <x:c r="L55" s="11"/>
      <x:c r="M55" s="11"/>
      <x:c r="N55" s="8"/>
      <x:c r="O55" s="7"/>
      <x:c r="P55" s="9" t="str">
        <x:f>IF($A55="","",MAX(0,$F55*$G55-$H55))</x:f>
      </x:c>
    </x:row>
    <x:row r="56">
      <x:c r="A56" s="13"/>
      <x:c r="B56" s="15"/>
      <x:c r="C56" s="13"/>
      <x:c r="D56" s="7"/>
      <x:c r="E56" s="7"/>
      <x:c r="F56" s="15"/>
      <x:c r="G56" s="16"/>
      <x:c r="H56" s="9"/>
      <x:c r="I56" s="9"/>
      <x:c r="J56" s="7"/>
      <x:c r="K56" s="7"/>
      <x:c r="L56" s="11"/>
      <x:c r="M56" s="11"/>
      <x:c r="N56" s="8"/>
      <x:c r="O56" s="7"/>
      <x:c r="P56" s="9" t="str">
        <x:f>IF($A56="","",MAX(0,$F56*$G56-$H56))</x:f>
      </x:c>
    </x:row>
    <x:row r="57">
      <x:c r="A57" s="13"/>
      <x:c r="B57" s="15"/>
      <x:c r="C57" s="13"/>
      <x:c r="D57" s="7"/>
      <x:c r="E57" s="7"/>
      <x:c r="F57" s="15"/>
      <x:c r="G57" s="16"/>
      <x:c r="H57" s="9"/>
      <x:c r="I57" s="9"/>
      <x:c r="J57" s="7"/>
      <x:c r="K57" s="7"/>
      <x:c r="L57" s="11"/>
      <x:c r="M57" s="11"/>
      <x:c r="N57" s="8"/>
      <x:c r="O57" s="7"/>
      <x:c r="P57" s="9" t="str">
        <x:f>IF($A57="","",MAX(0,$F57*$G57-$H57))</x:f>
      </x:c>
    </x:row>
    <x:row r="58">
      <x:c r="A58" s="13"/>
      <x:c r="B58" s="15"/>
      <x:c r="C58" s="13"/>
      <x:c r="D58" s="7"/>
      <x:c r="E58" s="7"/>
      <x:c r="F58" s="15"/>
      <x:c r="G58" s="16"/>
      <x:c r="H58" s="9"/>
      <x:c r="I58" s="9"/>
      <x:c r="J58" s="7"/>
      <x:c r="K58" s="7"/>
      <x:c r="L58" s="11"/>
      <x:c r="M58" s="11"/>
      <x:c r="N58" s="8"/>
      <x:c r="O58" s="7"/>
      <x:c r="P58" s="9" t="str">
        <x:f>IF($A58="","",MAX(0,$F58*$G58-$H58))</x:f>
      </x:c>
    </x:row>
    <x:row r="59">
      <x:c r="A59" s="13"/>
      <x:c r="B59" s="15"/>
      <x:c r="C59" s="13"/>
      <x:c r="D59" s="7"/>
      <x:c r="E59" s="7"/>
      <x:c r="F59" s="15"/>
      <x:c r="G59" s="16"/>
      <x:c r="H59" s="9"/>
      <x:c r="I59" s="9"/>
      <x:c r="J59" s="7"/>
      <x:c r="K59" s="7"/>
      <x:c r="L59" s="11"/>
      <x:c r="M59" s="11"/>
      <x:c r="N59" s="8"/>
      <x:c r="O59" s="7"/>
      <x:c r="P59" s="9" t="str">
        <x:f>IF($A59="","",MAX(0,$F59*$G59-$H59))</x:f>
      </x:c>
    </x:row>
    <x:row r="60">
      <x:c r="A60" s="13"/>
      <x:c r="B60" s="15"/>
      <x:c r="C60" s="13"/>
      <x:c r="D60" s="7"/>
      <x:c r="E60" s="7"/>
      <x:c r="F60" s="15"/>
      <x:c r="G60" s="16"/>
      <x:c r="H60" s="9"/>
      <x:c r="I60" s="9"/>
      <x:c r="J60" s="7"/>
      <x:c r="K60" s="7"/>
      <x:c r="L60" s="11"/>
      <x:c r="M60" s="11"/>
      <x:c r="N60" s="8"/>
      <x:c r="O60" s="7"/>
      <x:c r="P60" s="9" t="str">
        <x:f>IF($A60="","",MAX(0,$F60*$G60-$H60))</x:f>
      </x:c>
    </x:row>
    <x:row r="61">
      <x:c r="A61" s="13"/>
      <x:c r="B61" s="15"/>
      <x:c r="C61" s="13"/>
      <x:c r="D61" s="7"/>
      <x:c r="E61" s="7"/>
      <x:c r="F61" s="15"/>
      <x:c r="G61" s="16"/>
      <x:c r="H61" s="9"/>
      <x:c r="I61" s="9"/>
      <x:c r="J61" s="7"/>
      <x:c r="K61" s="7"/>
      <x:c r="L61" s="11"/>
      <x:c r="M61" s="11"/>
      <x:c r="N61" s="8"/>
      <x:c r="O61" s="7"/>
      <x:c r="P61" s="9" t="str">
        <x:f>IF($A61="","",MAX(0,$F61*$G61-$H61))</x:f>
      </x:c>
    </x:row>
    <x:row r="62">
      <x:c r="A62" s="13"/>
      <x:c r="B62" s="15"/>
      <x:c r="C62" s="13"/>
      <x:c r="D62" s="7"/>
      <x:c r="E62" s="7"/>
      <x:c r="F62" s="15"/>
      <x:c r="G62" s="16"/>
      <x:c r="H62" s="9"/>
      <x:c r="I62" s="9"/>
      <x:c r="J62" s="7"/>
      <x:c r="K62" s="7"/>
      <x:c r="L62" s="11"/>
      <x:c r="M62" s="11"/>
      <x:c r="N62" s="8"/>
      <x:c r="O62" s="7"/>
      <x:c r="P62" s="9" t="str">
        <x:f>IF($A62="","",MAX(0,$F62*$G62-$H62))</x:f>
      </x:c>
    </x:row>
    <x:row r="63">
      <x:c r="A63" s="13"/>
      <x:c r="B63" s="15"/>
      <x:c r="C63" s="13"/>
      <x:c r="D63" s="7"/>
      <x:c r="E63" s="7"/>
      <x:c r="F63" s="15"/>
      <x:c r="G63" s="16"/>
      <x:c r="H63" s="9"/>
      <x:c r="I63" s="9"/>
      <x:c r="J63" s="7"/>
      <x:c r="K63" s="7"/>
      <x:c r="L63" s="11"/>
      <x:c r="M63" s="11"/>
      <x:c r="N63" s="8"/>
      <x:c r="O63" s="7"/>
      <x:c r="P63" s="9" t="str">
        <x:f>IF($A63="","",MAX(0,$F63*$G63-$H63))</x:f>
      </x:c>
    </x:row>
    <x:row r="64">
      <x:c r="A64" s="13"/>
      <x:c r="B64" s="15"/>
      <x:c r="C64" s="13"/>
      <x:c r="D64" s="7"/>
      <x:c r="E64" s="7"/>
      <x:c r="F64" s="15"/>
      <x:c r="G64" s="16"/>
      <x:c r="H64" s="9"/>
      <x:c r="I64" s="9"/>
      <x:c r="J64" s="7"/>
      <x:c r="K64" s="7"/>
      <x:c r="L64" s="11"/>
      <x:c r="M64" s="11"/>
      <x:c r="N64" s="8"/>
      <x:c r="O64" s="7"/>
      <x:c r="P64" s="9" t="str">
        <x:f>IF($A64="","",MAX(0,$F64*$G64-$H64))</x:f>
      </x:c>
    </x:row>
    <x:row r="65">
      <x:c r="A65" s="13"/>
      <x:c r="B65" s="15"/>
      <x:c r="C65" s="13"/>
      <x:c r="D65" s="7"/>
      <x:c r="E65" s="7"/>
      <x:c r="F65" s="15"/>
      <x:c r="G65" s="16"/>
      <x:c r="H65" s="9"/>
      <x:c r="I65" s="9"/>
      <x:c r="J65" s="7"/>
      <x:c r="K65" s="7"/>
      <x:c r="L65" s="11"/>
      <x:c r="M65" s="11"/>
      <x:c r="N65" s="8"/>
      <x:c r="O65" s="7"/>
      <x:c r="P65" s="9" t="str">
        <x:f>IF($A65="","",MAX(0,$F65*$G65-$H65))</x:f>
      </x:c>
    </x:row>
    <x:row r="66">
      <x:c r="A66" s="13"/>
      <x:c r="B66" s="15"/>
      <x:c r="C66" s="13"/>
      <x:c r="D66" s="7"/>
      <x:c r="E66" s="7"/>
      <x:c r="F66" s="15"/>
      <x:c r="G66" s="16"/>
      <x:c r="H66" s="9"/>
      <x:c r="I66" s="9"/>
      <x:c r="J66" s="7"/>
      <x:c r="K66" s="7"/>
      <x:c r="L66" s="11"/>
      <x:c r="M66" s="11"/>
      <x:c r="N66" s="8"/>
      <x:c r="O66" s="7"/>
      <x:c r="P66" s="9" t="str">
        <x:f>IF($A66="","",MAX(0,$F66*$G66-$H66))</x:f>
      </x:c>
    </x:row>
    <x:row r="67">
      <x:c r="A67" s="13"/>
      <x:c r="B67" s="15"/>
      <x:c r="C67" s="13"/>
      <x:c r="D67" s="7"/>
      <x:c r="E67" s="7"/>
      <x:c r="F67" s="15"/>
      <x:c r="G67" s="16"/>
      <x:c r="H67" s="9"/>
      <x:c r="I67" s="9"/>
      <x:c r="J67" s="7"/>
      <x:c r="K67" s="7"/>
      <x:c r="L67" s="11"/>
      <x:c r="M67" s="11"/>
      <x:c r="N67" s="8"/>
      <x:c r="O67" s="7"/>
      <x:c r="P67" s="9" t="str">
        <x:f>IF($A67="","",MAX(0,$F67*$G67-$H67))</x:f>
      </x:c>
    </x:row>
    <x:row r="68">
      <x:c r="A68" s="13"/>
      <x:c r="B68" s="15"/>
      <x:c r="C68" s="13"/>
      <x:c r="D68" s="7"/>
      <x:c r="E68" s="7"/>
      <x:c r="F68" s="15"/>
      <x:c r="G68" s="16"/>
      <x:c r="H68" s="9"/>
      <x:c r="I68" s="9"/>
      <x:c r="J68" s="7"/>
      <x:c r="K68" s="7"/>
      <x:c r="L68" s="11"/>
      <x:c r="M68" s="11"/>
      <x:c r="N68" s="8"/>
      <x:c r="O68" s="7"/>
      <x:c r="P68" s="9" t="str">
        <x:f>IF($A68="","",MAX(0,$F68*$G68-$H68))</x:f>
      </x:c>
    </x:row>
    <x:row r="69">
      <x:c r="A69" s="13"/>
      <x:c r="B69" s="15"/>
      <x:c r="C69" s="13"/>
      <x:c r="D69" s="7"/>
      <x:c r="E69" s="7"/>
      <x:c r="F69" s="15"/>
      <x:c r="G69" s="16"/>
      <x:c r="H69" s="9"/>
      <x:c r="I69" s="9"/>
      <x:c r="J69" s="7"/>
      <x:c r="K69" s="7"/>
      <x:c r="L69" s="11"/>
      <x:c r="M69" s="11"/>
      <x:c r="N69" s="8"/>
      <x:c r="O69" s="7"/>
      <x:c r="P69" s="9" t="str">
        <x:f>IF($A69="","",MAX(0,$F69*$G69-$H69))</x:f>
      </x:c>
    </x:row>
    <x:row r="70">
      <x:c r="A70" s="13"/>
      <x:c r="B70" s="15"/>
      <x:c r="C70" s="13"/>
      <x:c r="D70" s="7"/>
      <x:c r="E70" s="7"/>
      <x:c r="F70" s="15"/>
      <x:c r="G70" s="16"/>
      <x:c r="H70" s="9"/>
      <x:c r="I70" s="9"/>
      <x:c r="J70" s="7"/>
      <x:c r="K70" s="7"/>
      <x:c r="L70" s="11"/>
      <x:c r="M70" s="11"/>
      <x:c r="N70" s="8"/>
      <x:c r="O70" s="7"/>
      <x:c r="P70" s="9" t="str">
        <x:f>IF($A70="","",MAX(0,$F70*$G70-$H70))</x:f>
      </x:c>
    </x:row>
    <x:row r="71">
      <x:c r="A71" s="13"/>
      <x:c r="B71" s="15"/>
      <x:c r="C71" s="13"/>
      <x:c r="D71" s="7"/>
      <x:c r="E71" s="7"/>
      <x:c r="F71" s="15"/>
      <x:c r="G71" s="16"/>
      <x:c r="H71" s="9"/>
      <x:c r="I71" s="9"/>
      <x:c r="J71" s="7"/>
      <x:c r="K71" s="7"/>
      <x:c r="L71" s="11"/>
      <x:c r="M71" s="11"/>
      <x:c r="N71" s="8"/>
      <x:c r="O71" s="7"/>
      <x:c r="P71" s="9" t="str">
        <x:f>IF($A71="","",MAX(0,$F71*$G71-$H71))</x:f>
      </x:c>
    </x:row>
    <x:row r="72">
      <x:c r="A72" s="13"/>
      <x:c r="B72" s="15"/>
      <x:c r="C72" s="13"/>
      <x:c r="D72" s="7"/>
      <x:c r="E72" s="7"/>
      <x:c r="F72" s="15"/>
      <x:c r="G72" s="16"/>
      <x:c r="H72" s="9"/>
      <x:c r="I72" s="9"/>
      <x:c r="J72" s="7"/>
      <x:c r="K72" s="7"/>
      <x:c r="L72" s="11"/>
      <x:c r="M72" s="11"/>
      <x:c r="N72" s="8"/>
      <x:c r="O72" s="7"/>
      <x:c r="P72" s="9" t="str">
        <x:f>IF($A72="","",MAX(0,$F72*$G72-$H72))</x:f>
      </x:c>
    </x:row>
    <x:row r="73">
      <x:c r="A73" s="13"/>
      <x:c r="B73" s="15"/>
      <x:c r="C73" s="13"/>
      <x:c r="D73" s="7"/>
      <x:c r="E73" s="7"/>
      <x:c r="F73" s="15"/>
      <x:c r="G73" s="16"/>
      <x:c r="H73" s="9"/>
      <x:c r="I73" s="9"/>
      <x:c r="J73" s="7"/>
      <x:c r="K73" s="7"/>
      <x:c r="L73" s="11"/>
      <x:c r="M73" s="11"/>
      <x:c r="N73" s="8"/>
      <x:c r="O73" s="7"/>
      <x:c r="P73" s="9" t="str">
        <x:f>IF($A73="","",MAX(0,$F73*$G73-$H73))</x:f>
      </x:c>
    </x:row>
    <x:row r="74">
      <x:c r="A74" s="13"/>
      <x:c r="B74" s="15"/>
      <x:c r="C74" s="13"/>
      <x:c r="D74" s="7"/>
      <x:c r="E74" s="7"/>
      <x:c r="F74" s="15"/>
      <x:c r="G74" s="16"/>
      <x:c r="H74" s="9"/>
      <x:c r="I74" s="9"/>
      <x:c r="J74" s="7"/>
      <x:c r="K74" s="7"/>
      <x:c r="L74" s="11"/>
      <x:c r="M74" s="11"/>
      <x:c r="N74" s="8"/>
      <x:c r="O74" s="7"/>
      <x:c r="P74" s="9" t="str">
        <x:f>IF($A74="","",MAX(0,$F74*$G74-$H74))</x:f>
      </x:c>
    </x:row>
    <x:row r="75">
      <x:c r="A75" s="13"/>
      <x:c r="B75" s="15"/>
      <x:c r="C75" s="13"/>
      <x:c r="D75" s="7"/>
      <x:c r="E75" s="7"/>
      <x:c r="F75" s="15"/>
      <x:c r="G75" s="16"/>
      <x:c r="H75" s="9"/>
      <x:c r="I75" s="9"/>
      <x:c r="J75" s="7"/>
      <x:c r="K75" s="7"/>
      <x:c r="L75" s="11"/>
      <x:c r="M75" s="11"/>
      <x:c r="N75" s="8"/>
      <x:c r="O75" s="7"/>
      <x:c r="P75" s="9" t="str">
        <x:f>IF($A75="","",MAX(0,$F75*$G75-$H75))</x:f>
      </x:c>
    </x:row>
    <x:row r="76">
      <x:c r="A76" s="13"/>
      <x:c r="B76" s="15"/>
      <x:c r="C76" s="13"/>
      <x:c r="D76" s="7"/>
      <x:c r="E76" s="7"/>
      <x:c r="F76" s="15"/>
      <x:c r="G76" s="16"/>
      <x:c r="H76" s="9"/>
      <x:c r="I76" s="9"/>
      <x:c r="J76" s="7"/>
      <x:c r="K76" s="7"/>
      <x:c r="L76" s="11"/>
      <x:c r="M76" s="11"/>
      <x:c r="N76" s="8"/>
      <x:c r="O76" s="7"/>
      <x:c r="P76" s="9" t="str">
        <x:f>IF($A76="","",MAX(0,$F76*$G76-$H76))</x:f>
      </x:c>
    </x:row>
    <x:row r="77">
      <x:c r="A77" s="13"/>
      <x:c r="B77" s="15"/>
      <x:c r="C77" s="13"/>
      <x:c r="D77" s="7"/>
      <x:c r="E77" s="7"/>
      <x:c r="F77" s="15"/>
      <x:c r="G77" s="16"/>
      <x:c r="H77" s="9"/>
      <x:c r="I77" s="9"/>
      <x:c r="J77" s="7"/>
      <x:c r="K77" s="7"/>
      <x:c r="L77" s="11"/>
      <x:c r="M77" s="11"/>
      <x:c r="N77" s="8"/>
      <x:c r="O77" s="7"/>
      <x:c r="P77" s="9" t="str">
        <x:f>IF($A77="","",MAX(0,$F77*$G77-$H77))</x:f>
      </x:c>
    </x:row>
    <x:row r="78">
      <x:c r="A78" s="13"/>
      <x:c r="B78" s="15"/>
      <x:c r="C78" s="13"/>
      <x:c r="D78" s="7"/>
      <x:c r="E78" s="7"/>
      <x:c r="F78" s="15"/>
      <x:c r="G78" s="16"/>
      <x:c r="H78" s="9"/>
      <x:c r="I78" s="9"/>
      <x:c r="J78" s="7"/>
      <x:c r="K78" s="7"/>
      <x:c r="L78" s="11"/>
      <x:c r="M78" s="11"/>
      <x:c r="N78" s="8"/>
      <x:c r="O78" s="7"/>
      <x:c r="P78" s="9" t="str">
        <x:f>IF($A78="","",MAX(0,$F78*$G78-$H78))</x:f>
      </x:c>
    </x:row>
    <x:row r="79">
      <x:c r="A79" s="13"/>
      <x:c r="B79" s="15"/>
      <x:c r="C79" s="13"/>
      <x:c r="D79" s="7"/>
      <x:c r="E79" s="7"/>
      <x:c r="F79" s="15"/>
      <x:c r="G79" s="16"/>
      <x:c r="H79" s="9"/>
      <x:c r="I79" s="9"/>
      <x:c r="J79" s="7"/>
      <x:c r="K79" s="7"/>
      <x:c r="L79" s="11"/>
      <x:c r="M79" s="11"/>
      <x:c r="N79" s="8"/>
      <x:c r="O79" s="7"/>
      <x:c r="P79" s="9" t="str">
        <x:f>IF($A79="","",MAX(0,$F79*$G79-$H79))</x:f>
      </x:c>
    </x:row>
    <x:row r="80">
      <x:c r="A80" s="13"/>
      <x:c r="B80" s="15"/>
      <x:c r="C80" s="13"/>
      <x:c r="D80" s="7"/>
      <x:c r="E80" s="7"/>
      <x:c r="F80" s="15"/>
      <x:c r="G80" s="16"/>
      <x:c r="H80" s="9"/>
      <x:c r="I80" s="9"/>
      <x:c r="J80" s="7"/>
      <x:c r="K80" s="7"/>
      <x:c r="L80" s="11"/>
      <x:c r="M80" s="11"/>
      <x:c r="N80" s="8"/>
      <x:c r="O80" s="7"/>
      <x:c r="P80" s="9" t="str">
        <x:f>IF($A80="","",MAX(0,$F80*$G80-$H80))</x:f>
      </x:c>
    </x:row>
    <x:row r="81">
      <x:c r="A81" s="13"/>
      <x:c r="B81" s="15"/>
      <x:c r="C81" s="13"/>
      <x:c r="D81" s="7"/>
      <x:c r="E81" s="7"/>
      <x:c r="F81" s="15"/>
      <x:c r="G81" s="16"/>
      <x:c r="H81" s="9"/>
      <x:c r="I81" s="9"/>
      <x:c r="J81" s="7"/>
      <x:c r="K81" s="7"/>
      <x:c r="L81" s="11"/>
      <x:c r="M81" s="11"/>
      <x:c r="N81" s="8"/>
      <x:c r="O81" s="7"/>
      <x:c r="P81" s="9" t="str">
        <x:f>IF($A81="","",MAX(0,$F81*$G81-$H81))</x:f>
      </x:c>
    </x:row>
    <x:row r="82">
      <x:c r="A82" s="13"/>
      <x:c r="B82" s="15"/>
      <x:c r="C82" s="13"/>
      <x:c r="D82" s="7"/>
      <x:c r="E82" s="7"/>
      <x:c r="F82" s="15"/>
      <x:c r="G82" s="16"/>
      <x:c r="H82" s="9"/>
      <x:c r="I82" s="9"/>
      <x:c r="J82" s="7"/>
      <x:c r="K82" s="7"/>
      <x:c r="L82" s="11"/>
      <x:c r="M82" s="11"/>
      <x:c r="N82" s="8"/>
      <x:c r="O82" s="7"/>
      <x:c r="P82" s="9" t="str">
        <x:f>IF($A82="","",MAX(0,$F82*$G82-$H82))</x:f>
      </x:c>
    </x:row>
    <x:row r="83">
      <x:c r="A83" s="13"/>
      <x:c r="B83" s="15"/>
      <x:c r="C83" s="13"/>
      <x:c r="D83" s="7"/>
      <x:c r="E83" s="7"/>
      <x:c r="F83" s="15"/>
      <x:c r="G83" s="16"/>
      <x:c r="H83" s="9"/>
      <x:c r="I83" s="9"/>
      <x:c r="J83" s="7"/>
      <x:c r="K83" s="7"/>
      <x:c r="L83" s="11"/>
      <x:c r="M83" s="11"/>
      <x:c r="N83" s="8"/>
      <x:c r="O83" s="7"/>
      <x:c r="P83" s="9" t="str">
        <x:f>IF($A83="","",MAX(0,$F83*$G83-$H83))</x:f>
      </x:c>
    </x:row>
    <x:row r="84">
      <x:c r="A84" s="13"/>
      <x:c r="B84" s="15"/>
      <x:c r="C84" s="13"/>
      <x:c r="D84" s="7"/>
      <x:c r="E84" s="7"/>
      <x:c r="F84" s="15"/>
      <x:c r="G84" s="16"/>
      <x:c r="H84" s="9"/>
      <x:c r="I84" s="9"/>
      <x:c r="J84" s="7"/>
      <x:c r="K84" s="7"/>
      <x:c r="L84" s="11"/>
      <x:c r="M84" s="11"/>
      <x:c r="N84" s="8"/>
      <x:c r="O84" s="7"/>
      <x:c r="P84" s="9" t="str">
        <x:f>IF($A84="","",MAX(0,$F84*$G84-$H84))</x:f>
      </x:c>
    </x:row>
    <x:row r="85">
      <x:c r="A85" s="13"/>
      <x:c r="B85" s="15"/>
      <x:c r="C85" s="13"/>
      <x:c r="D85" s="7"/>
      <x:c r="E85" s="7"/>
      <x:c r="F85" s="15"/>
      <x:c r="G85" s="16"/>
      <x:c r="H85" s="9"/>
      <x:c r="I85" s="9"/>
      <x:c r="J85" s="7"/>
      <x:c r="K85" s="7"/>
      <x:c r="L85" s="11"/>
      <x:c r="M85" s="11"/>
      <x:c r="N85" s="8"/>
      <x:c r="O85" s="7"/>
      <x:c r="P85" s="9" t="str">
        <x:f>IF($A85="","",MAX(0,$F85*$G85-$H85))</x:f>
      </x:c>
    </x:row>
    <x:row r="86">
      <x:c r="A86" s="13"/>
      <x:c r="B86" s="15"/>
      <x:c r="C86" s="13"/>
      <x:c r="D86" s="7"/>
      <x:c r="E86" s="7"/>
      <x:c r="F86" s="15"/>
      <x:c r="G86" s="16"/>
      <x:c r="H86" s="9"/>
      <x:c r="I86" s="9"/>
      <x:c r="J86" s="7"/>
      <x:c r="K86" s="7"/>
      <x:c r="L86" s="11"/>
      <x:c r="M86" s="11"/>
      <x:c r="N86" s="8"/>
      <x:c r="O86" s="7"/>
      <x:c r="P86" s="9" t="str">
        <x:f>IF($A86="","",MAX(0,$F86*$G86-$H86))</x:f>
      </x:c>
    </x:row>
    <x:row r="87">
      <x:c r="A87" s="13"/>
      <x:c r="B87" s="15"/>
      <x:c r="C87" s="13"/>
      <x:c r="D87" s="7"/>
      <x:c r="E87" s="7"/>
      <x:c r="F87" s="15"/>
      <x:c r="G87" s="16"/>
      <x:c r="H87" s="9"/>
      <x:c r="I87" s="9"/>
      <x:c r="J87" s="7"/>
      <x:c r="K87" s="7"/>
      <x:c r="L87" s="11"/>
      <x:c r="M87" s="11"/>
      <x:c r="N87" s="8"/>
      <x:c r="O87" s="7"/>
      <x:c r="P87" s="9" t="str">
        <x:f>IF($A87="","",MAX(0,$F87*$G87-$H87))</x:f>
      </x:c>
    </x:row>
    <x:row r="88">
      <x:c r="A88" s="13"/>
      <x:c r="B88" s="15"/>
      <x:c r="C88" s="13"/>
      <x:c r="D88" s="7"/>
      <x:c r="E88" s="7"/>
      <x:c r="F88" s="15"/>
      <x:c r="G88" s="16"/>
      <x:c r="H88" s="9"/>
      <x:c r="I88" s="9"/>
      <x:c r="J88" s="7"/>
      <x:c r="K88" s="7"/>
      <x:c r="L88" s="11"/>
      <x:c r="M88" s="11"/>
      <x:c r="N88" s="8"/>
      <x:c r="O88" s="7"/>
      <x:c r="P88" s="9" t="str">
        <x:f>IF($A88="","",MAX(0,$F88*$G88-$H88))</x:f>
      </x:c>
    </x:row>
    <x:row r="89">
      <x:c r="A89" s="13"/>
      <x:c r="B89" s="15"/>
      <x:c r="C89" s="13"/>
      <x:c r="D89" s="7"/>
      <x:c r="E89" s="7"/>
      <x:c r="F89" s="15"/>
      <x:c r="G89" s="16"/>
      <x:c r="H89" s="9"/>
      <x:c r="I89" s="9"/>
      <x:c r="J89" s="7"/>
      <x:c r="K89" s="7"/>
      <x:c r="L89" s="11"/>
      <x:c r="M89" s="11"/>
      <x:c r="N89" s="8"/>
      <x:c r="O89" s="7"/>
      <x:c r="P89" s="9" t="str">
        <x:f>IF($A89="","",MAX(0,$F89*$G89-$H89))</x:f>
      </x:c>
    </x:row>
    <x:row r="90">
      <x:c r="A90" s="13"/>
      <x:c r="B90" s="15"/>
      <x:c r="C90" s="13"/>
      <x:c r="D90" s="7"/>
      <x:c r="E90" s="7"/>
      <x:c r="F90" s="15"/>
      <x:c r="G90" s="16"/>
      <x:c r="H90" s="9"/>
      <x:c r="I90" s="9"/>
      <x:c r="J90" s="7"/>
      <x:c r="K90" s="7"/>
      <x:c r="L90" s="11"/>
      <x:c r="M90" s="11"/>
      <x:c r="N90" s="8"/>
      <x:c r="O90" s="7"/>
      <x:c r="P90" s="9" t="str">
        <x:f>IF($A90="","",MAX(0,$F90*$G90-$H90))</x:f>
      </x:c>
    </x:row>
    <x:row r="91">
      <x:c r="A91" s="13"/>
      <x:c r="B91" s="15"/>
      <x:c r="C91" s="13"/>
      <x:c r="D91" s="7"/>
      <x:c r="E91" s="7"/>
      <x:c r="F91" s="15"/>
      <x:c r="G91" s="16"/>
      <x:c r="H91" s="9"/>
      <x:c r="I91" s="9"/>
      <x:c r="J91" s="7"/>
      <x:c r="K91" s="7"/>
      <x:c r="L91" s="11"/>
      <x:c r="M91" s="11"/>
      <x:c r="N91" s="8"/>
      <x:c r="O91" s="7"/>
      <x:c r="P91" s="9" t="str">
        <x:f>IF($A91="","",MAX(0,$F91*$G91-$H91))</x:f>
      </x:c>
    </x:row>
    <x:row r="92">
      <x:c r="A92" s="13"/>
      <x:c r="B92" s="15"/>
      <x:c r="C92" s="13"/>
      <x:c r="D92" s="7"/>
      <x:c r="E92" s="7"/>
      <x:c r="F92" s="15"/>
      <x:c r="G92" s="16"/>
      <x:c r="H92" s="9"/>
      <x:c r="I92" s="9"/>
      <x:c r="J92" s="7"/>
      <x:c r="K92" s="7"/>
      <x:c r="L92" s="11"/>
      <x:c r="M92" s="11"/>
      <x:c r="N92" s="8"/>
      <x:c r="O92" s="7"/>
      <x:c r="P92" s="9" t="str">
        <x:f>IF($A92="","",MAX(0,$F92*$G92-$H92))</x:f>
      </x:c>
    </x:row>
    <x:row r="93">
      <x:c r="A93" s="13"/>
      <x:c r="B93" s="15"/>
      <x:c r="C93" s="13"/>
      <x:c r="D93" s="7"/>
      <x:c r="E93" s="7"/>
      <x:c r="F93" s="15"/>
      <x:c r="G93" s="16"/>
      <x:c r="H93" s="9"/>
      <x:c r="I93" s="9"/>
      <x:c r="J93" s="7"/>
      <x:c r="K93" s="7"/>
      <x:c r="L93" s="11"/>
      <x:c r="M93" s="11"/>
      <x:c r="N93" s="8"/>
      <x:c r="O93" s="7"/>
      <x:c r="P93" s="9" t="str">
        <x:f>IF($A93="","",MAX(0,$F93*$G93-$H93))</x:f>
      </x:c>
    </x:row>
    <x:row r="94">
      <x:c r="A94" s="13"/>
      <x:c r="B94" s="15"/>
      <x:c r="C94" s="13"/>
      <x:c r="D94" s="7"/>
      <x:c r="E94" s="7"/>
      <x:c r="F94" s="15"/>
      <x:c r="G94" s="16"/>
      <x:c r="H94" s="9"/>
      <x:c r="I94" s="9"/>
      <x:c r="J94" s="7"/>
      <x:c r="K94" s="7"/>
      <x:c r="L94" s="11"/>
      <x:c r="M94" s="11"/>
      <x:c r="N94" s="8"/>
      <x:c r="O94" s="7"/>
      <x:c r="P94" s="9" t="str">
        <x:f>IF($A94="","",MAX(0,$F94*$G94-$H94))</x:f>
      </x:c>
    </x:row>
    <x:row r="95">
      <x:c r="A95" s="13"/>
      <x:c r="B95" s="15"/>
      <x:c r="C95" s="13"/>
      <x:c r="D95" s="7"/>
      <x:c r="E95" s="7"/>
      <x:c r="F95" s="15"/>
      <x:c r="G95" s="16"/>
      <x:c r="H95" s="9"/>
      <x:c r="I95" s="9"/>
      <x:c r="J95" s="7"/>
      <x:c r="K95" s="7"/>
      <x:c r="L95" s="11"/>
      <x:c r="M95" s="11"/>
      <x:c r="N95" s="8"/>
      <x:c r="O95" s="7"/>
      <x:c r="P95" s="9" t="str">
        <x:f>IF($A95="","",MAX(0,$F95*$G95-$H95))</x:f>
      </x:c>
    </x:row>
    <x:row r="96">
      <x:c r="A96" s="13"/>
      <x:c r="B96" s="15"/>
      <x:c r="C96" s="13"/>
      <x:c r="D96" s="7"/>
      <x:c r="E96" s="7"/>
      <x:c r="F96" s="15"/>
      <x:c r="G96" s="16"/>
      <x:c r="H96" s="9"/>
      <x:c r="I96" s="9"/>
      <x:c r="J96" s="7"/>
      <x:c r="K96" s="7"/>
      <x:c r="L96" s="11"/>
      <x:c r="M96" s="11"/>
      <x:c r="N96" s="8"/>
      <x:c r="O96" s="7"/>
      <x:c r="P96" s="9" t="str">
        <x:f>IF($A96="","",MAX(0,$F96*$G96-$H96))</x:f>
      </x:c>
    </x:row>
    <x:row r="97">
      <x:c r="A97" s="13"/>
      <x:c r="B97" s="15"/>
      <x:c r="C97" s="13"/>
      <x:c r="D97" s="7"/>
      <x:c r="E97" s="7"/>
      <x:c r="F97" s="15"/>
      <x:c r="G97" s="16"/>
      <x:c r="H97" s="9"/>
      <x:c r="I97" s="9"/>
      <x:c r="J97" s="7"/>
      <x:c r="K97" s="7"/>
      <x:c r="L97" s="11"/>
      <x:c r="M97" s="11"/>
      <x:c r="N97" s="8"/>
      <x:c r="O97" s="7"/>
      <x:c r="P97" s="9" t="str">
        <x:f>IF($A97="","",MAX(0,$F97*$G97-$H97))</x:f>
      </x:c>
    </x:row>
    <x:row r="98">
      <x:c r="A98" s="13"/>
      <x:c r="B98" s="15"/>
      <x:c r="C98" s="13"/>
      <x:c r="D98" s="7"/>
      <x:c r="E98" s="7"/>
      <x:c r="F98" s="15"/>
      <x:c r="G98" s="16"/>
      <x:c r="H98" s="9"/>
      <x:c r="I98" s="9"/>
      <x:c r="J98" s="7"/>
      <x:c r="K98" s="7"/>
      <x:c r="L98" s="11"/>
      <x:c r="M98" s="11"/>
      <x:c r="N98" s="8"/>
      <x:c r="O98" s="7"/>
      <x:c r="P98" s="9" t="str">
        <x:f>IF($A98="","",MAX(0,$F98*$G98-$H98))</x:f>
      </x:c>
    </x:row>
    <x:row r="99">
      <x:c r="A99" s="13"/>
      <x:c r="B99" s="15"/>
      <x:c r="C99" s="13"/>
      <x:c r="D99" s="7"/>
      <x:c r="E99" s="7"/>
      <x:c r="F99" s="15"/>
      <x:c r="G99" s="16"/>
      <x:c r="H99" s="9"/>
      <x:c r="I99" s="9"/>
      <x:c r="J99" s="7"/>
      <x:c r="K99" s="7"/>
      <x:c r="L99" s="11"/>
      <x:c r="M99" s="11"/>
      <x:c r="N99" s="8"/>
      <x:c r="O99" s="7"/>
      <x:c r="P99" s="9" t="str">
        <x:f>IF($A99="","",MAX(0,$F99*$G99-$H99))</x:f>
      </x:c>
    </x:row>
    <x:row r="100">
      <x:c r="A100" s="13"/>
      <x:c r="B100" s="15"/>
      <x:c r="C100" s="13"/>
      <x:c r="D100" s="7"/>
      <x:c r="E100" s="7"/>
      <x:c r="F100" s="15"/>
      <x:c r="G100" s="16"/>
      <x:c r="H100" s="9"/>
      <x:c r="I100" s="9"/>
      <x:c r="J100" s="7"/>
      <x:c r="K100" s="7"/>
      <x:c r="L100" s="11"/>
      <x:c r="M100" s="11"/>
      <x:c r="N100" s="8"/>
      <x:c r="O100" s="7"/>
      <x:c r="P100" s="9" t="str">
        <x:f>IF($A100="","",MAX(0,$F100*$G100-$H100))</x:f>
      </x:c>
    </x:row>
    <x:row r="101">
      <x:c r="A101" s="13"/>
      <x:c r="B101" s="15"/>
      <x:c r="C101" s="13"/>
      <x:c r="D101" s="7"/>
      <x:c r="E101" s="7"/>
      <x:c r="F101" s="15"/>
      <x:c r="G101" s="16"/>
      <x:c r="H101" s="9"/>
      <x:c r="I101" s="9"/>
      <x:c r="J101" s="7"/>
      <x:c r="K101" s="7"/>
      <x:c r="L101" s="11"/>
      <x:c r="M101" s="11"/>
      <x:c r="N101" s="8"/>
      <x:c r="O101" s="7"/>
      <x:c r="P101" s="9" t="str">
        <x:f>IF($A101="","",MAX(0,$F101*$G101-$H101))</x:f>
      </x:c>
    </x:row>
    <x:row r="102">
      <x:c r="A102" s="13"/>
      <x:c r="B102" s="15"/>
      <x:c r="C102" s="13"/>
      <x:c r="D102" s="7"/>
      <x:c r="E102" s="7"/>
      <x:c r="F102" s="15"/>
      <x:c r="G102" s="16"/>
      <x:c r="H102" s="9"/>
      <x:c r="I102" s="9"/>
      <x:c r="J102" s="7"/>
      <x:c r="K102" s="7"/>
      <x:c r="L102" s="11"/>
      <x:c r="M102" s="11"/>
      <x:c r="N102" s="8"/>
      <x:c r="O102" s="7"/>
      <x:c r="P102" s="9" t="str">
        <x:f>IF($A102="","",MAX(0,$F102*$G102-$H102))</x:f>
      </x:c>
    </x:row>
    <x:row r="103">
      <x:c r="A103" s="13"/>
      <x:c r="B103" s="15"/>
      <x:c r="C103" s="13"/>
      <x:c r="D103" s="7"/>
      <x:c r="E103" s="7"/>
      <x:c r="F103" s="15"/>
      <x:c r="G103" s="16"/>
      <x:c r="H103" s="9"/>
      <x:c r="I103" s="9"/>
      <x:c r="J103" s="7"/>
      <x:c r="K103" s="7"/>
      <x:c r="L103" s="11"/>
      <x:c r="M103" s="11"/>
      <x:c r="N103" s="8"/>
      <x:c r="O103" s="7"/>
      <x:c r="P103" s="9" t="str">
        <x:f>IF($A103="","",MAX(0,$F103*$G103-$H103))</x:f>
      </x:c>
    </x:row>
    <x:row r="104">
      <x:c r="A104" s="13"/>
      <x:c r="B104" s="15"/>
      <x:c r="C104" s="13"/>
      <x:c r="D104" s="7"/>
      <x:c r="E104" s="7"/>
      <x:c r="F104" s="15"/>
      <x:c r="G104" s="16"/>
      <x:c r="H104" s="9"/>
      <x:c r="I104" s="9"/>
      <x:c r="J104" s="7"/>
      <x:c r="K104" s="7"/>
      <x:c r="L104" s="11"/>
      <x:c r="M104" s="11"/>
      <x:c r="N104" s="8"/>
      <x:c r="O104" s="7"/>
      <x:c r="P104" s="9" t="str">
        <x:f>IF($A104="","",MAX(0,$F104*$G104-$H104))</x:f>
      </x:c>
    </x:row>
    <x:row r="105">
      <x:c r="A105" s="13"/>
      <x:c r="B105" s="15"/>
      <x:c r="C105" s="13"/>
      <x:c r="D105" s="7"/>
      <x:c r="E105" s="7"/>
      <x:c r="F105" s="15"/>
      <x:c r="G105" s="16"/>
      <x:c r="H105" s="9"/>
      <x:c r="I105" s="9"/>
      <x:c r="J105" s="7"/>
      <x:c r="K105" s="7"/>
      <x:c r="L105" s="11"/>
      <x:c r="M105" s="11"/>
      <x:c r="N105" s="8"/>
      <x:c r="O105" s="7"/>
      <x:c r="P105" s="9" t="str">
        <x:f>IF($A105="","",MAX(0,$F105*$G105-$H105))</x:f>
      </x:c>
    </x:row>
    <x:row r="106">
      <x:c r="A106" s="13"/>
      <x:c r="B106" s="15"/>
      <x:c r="C106" s="13"/>
      <x:c r="D106" s="7"/>
      <x:c r="E106" s="7"/>
      <x:c r="F106" s="15"/>
      <x:c r="G106" s="16"/>
      <x:c r="H106" s="9"/>
      <x:c r="I106" s="9"/>
      <x:c r="J106" s="7"/>
      <x:c r="K106" s="7"/>
      <x:c r="L106" s="11"/>
      <x:c r="M106" s="11"/>
      <x:c r="N106" s="8"/>
      <x:c r="O106" s="7"/>
      <x:c r="P106" s="9" t="str">
        <x:f>IF($A106="","",MAX(0,$F106*$G106-$H106))</x:f>
      </x:c>
    </x:row>
    <x:row r="107">
      <x:c r="A107" s="13"/>
      <x:c r="B107" s="15"/>
      <x:c r="C107" s="13"/>
      <x:c r="D107" s="7"/>
      <x:c r="E107" s="7"/>
      <x:c r="F107" s="15"/>
      <x:c r="G107" s="16"/>
      <x:c r="H107" s="9"/>
      <x:c r="I107" s="9"/>
      <x:c r="J107" s="7"/>
      <x:c r="K107" s="7"/>
      <x:c r="L107" s="11"/>
      <x:c r="M107" s="11"/>
      <x:c r="N107" s="8"/>
      <x:c r="O107" s="7"/>
      <x:c r="P107" s="9" t="str">
        <x:f>IF($A107="","",MAX(0,$F107*$G107-$H107))</x:f>
      </x:c>
    </x:row>
    <x:row r="108">
      <x:c r="A108" s="13"/>
      <x:c r="B108" s="15"/>
      <x:c r="C108" s="13"/>
      <x:c r="D108" s="7"/>
      <x:c r="E108" s="7"/>
      <x:c r="F108" s="15"/>
      <x:c r="G108" s="16"/>
      <x:c r="H108" s="9"/>
      <x:c r="I108" s="9"/>
      <x:c r="J108" s="7"/>
      <x:c r="K108" s="7"/>
      <x:c r="L108" s="11"/>
      <x:c r="M108" s="11"/>
      <x:c r="N108" s="8"/>
      <x:c r="O108" s="7"/>
      <x:c r="P108" s="9" t="str">
        <x:f>IF($A108="","",MAX(0,$F108*$G108-$H108))</x:f>
      </x:c>
    </x:row>
    <x:row r="109">
      <x:c r="A109" s="13"/>
      <x:c r="B109" s="15"/>
      <x:c r="C109" s="13"/>
      <x:c r="D109" s="7"/>
      <x:c r="E109" s="7"/>
      <x:c r="F109" s="15"/>
      <x:c r="G109" s="16"/>
      <x:c r="H109" s="9"/>
      <x:c r="I109" s="9"/>
      <x:c r="J109" s="7"/>
      <x:c r="K109" s="7"/>
      <x:c r="L109" s="11"/>
      <x:c r="M109" s="11"/>
      <x:c r="N109" s="8"/>
      <x:c r="O109" s="7"/>
      <x:c r="P109" s="9" t="str">
        <x:f>IF($A109="","",MAX(0,$F109*$G109-$H109))</x:f>
      </x:c>
    </x:row>
    <x:row r="110">
      <x:c r="A110" s="13"/>
      <x:c r="B110" s="15"/>
      <x:c r="C110" s="13"/>
      <x:c r="D110" s="7"/>
      <x:c r="E110" s="7"/>
      <x:c r="F110" s="15"/>
      <x:c r="G110" s="16"/>
      <x:c r="H110" s="9"/>
      <x:c r="I110" s="9"/>
      <x:c r="J110" s="7"/>
      <x:c r="K110" s="7"/>
      <x:c r="L110" s="11"/>
      <x:c r="M110" s="11"/>
      <x:c r="N110" s="8"/>
      <x:c r="O110" s="7"/>
      <x:c r="P110" s="9" t="str">
        <x:f>IF($A110="","",MAX(0,$F110*$G110-$H110))</x:f>
      </x:c>
    </x:row>
    <x:row r="111">
      <x:c r="A111" s="13"/>
      <x:c r="B111" s="15"/>
      <x:c r="C111" s="13"/>
      <x:c r="D111" s="7"/>
      <x:c r="E111" s="7"/>
      <x:c r="F111" s="15"/>
      <x:c r="G111" s="16"/>
      <x:c r="H111" s="9"/>
      <x:c r="I111" s="9"/>
      <x:c r="J111" s="7"/>
      <x:c r="K111" s="7"/>
      <x:c r="L111" s="11"/>
      <x:c r="M111" s="11"/>
      <x:c r="N111" s="8"/>
      <x:c r="O111" s="7"/>
      <x:c r="P111" s="9" t="str">
        <x:f>IF($A111="","",MAX(0,$F111*$G111-$H111))</x:f>
      </x:c>
    </x:row>
    <x:row r="112">
      <x:c r="A112" s="13"/>
      <x:c r="B112" s="15"/>
      <x:c r="C112" s="13"/>
      <x:c r="D112" s="7"/>
      <x:c r="E112" s="7"/>
      <x:c r="F112" s="15"/>
      <x:c r="G112" s="16"/>
      <x:c r="H112" s="9"/>
      <x:c r="I112" s="9"/>
      <x:c r="J112" s="7"/>
      <x:c r="K112" s="7"/>
      <x:c r="L112" s="11"/>
      <x:c r="M112" s="11"/>
      <x:c r="N112" s="8"/>
      <x:c r="O112" s="7"/>
      <x:c r="P112" s="9" t="str">
        <x:f>IF($A112="","",MAX(0,$F112*$G112-$H112))</x:f>
      </x:c>
    </x:row>
    <x:row r="113">
      <x:c r="A113" s="13"/>
      <x:c r="B113" s="15"/>
      <x:c r="C113" s="13"/>
      <x:c r="D113" s="7"/>
      <x:c r="E113" s="7"/>
      <x:c r="F113" s="15"/>
      <x:c r="G113" s="16"/>
      <x:c r="H113" s="9"/>
      <x:c r="I113" s="9"/>
      <x:c r="J113" s="7"/>
      <x:c r="K113" s="7"/>
      <x:c r="L113" s="11"/>
      <x:c r="M113" s="11"/>
      <x:c r="N113" s="8"/>
      <x:c r="O113" s="7"/>
      <x:c r="P113" s="9" t="str">
        <x:f>IF($A113="","",MAX(0,$F113*$G113-$H113))</x:f>
      </x:c>
    </x:row>
    <x:row r="114">
      <x:c r="A114" s="13"/>
      <x:c r="B114" s="15"/>
      <x:c r="C114" s="13"/>
      <x:c r="D114" s="7"/>
      <x:c r="E114" s="7"/>
      <x:c r="F114" s="15"/>
      <x:c r="G114" s="16"/>
      <x:c r="H114" s="9"/>
      <x:c r="I114" s="9"/>
      <x:c r="J114" s="7"/>
      <x:c r="K114" s="7"/>
      <x:c r="L114" s="11"/>
      <x:c r="M114" s="11"/>
      <x:c r="N114" s="8"/>
      <x:c r="O114" s="7"/>
      <x:c r="P114" s="9" t="str">
        <x:f>IF($A114="","",MAX(0,$F114*$G114-$H114))</x:f>
      </x:c>
    </x:row>
    <x:row r="115">
      <x:c r="A115" s="13"/>
      <x:c r="B115" s="15"/>
      <x:c r="C115" s="13"/>
      <x:c r="D115" s="7"/>
      <x:c r="E115" s="7"/>
      <x:c r="F115" s="15"/>
      <x:c r="G115" s="16"/>
      <x:c r="H115" s="9"/>
      <x:c r="I115" s="9"/>
      <x:c r="J115" s="7"/>
      <x:c r="K115" s="7"/>
      <x:c r="L115" s="11"/>
      <x:c r="M115" s="11"/>
      <x:c r="N115" s="8"/>
      <x:c r="O115" s="7"/>
      <x:c r="P115" s="9" t="str">
        <x:f>IF($A115="","",MAX(0,$F115*$G115-$H115))</x:f>
      </x:c>
    </x:row>
    <x:row r="116">
      <x:c r="A116" s="13"/>
      <x:c r="B116" s="15"/>
      <x:c r="C116" s="13"/>
      <x:c r="D116" s="7"/>
      <x:c r="E116" s="7"/>
      <x:c r="F116" s="15"/>
      <x:c r="G116" s="16"/>
      <x:c r="H116" s="9"/>
      <x:c r="I116" s="9"/>
      <x:c r="J116" s="7"/>
      <x:c r="K116" s="7"/>
      <x:c r="L116" s="11"/>
      <x:c r="M116" s="11"/>
      <x:c r="N116" s="8"/>
      <x:c r="O116" s="7"/>
      <x:c r="P116" s="9" t="str">
        <x:f>IF($A116="","",MAX(0,$F116*$G116-$H116))</x:f>
      </x:c>
    </x:row>
    <x:row r="117">
      <x:c r="A117" s="13"/>
      <x:c r="B117" s="15"/>
      <x:c r="C117" s="13"/>
      <x:c r="D117" s="7"/>
      <x:c r="E117" s="7"/>
      <x:c r="F117" s="15"/>
      <x:c r="G117" s="16"/>
      <x:c r="H117" s="9"/>
      <x:c r="I117" s="9"/>
      <x:c r="J117" s="7"/>
      <x:c r="K117" s="7"/>
      <x:c r="L117" s="11"/>
      <x:c r="M117" s="11"/>
      <x:c r="N117" s="8"/>
      <x:c r="O117" s="7"/>
      <x:c r="P117" s="9" t="str">
        <x:f>IF($A117="","",MAX(0,$F117*$G117-$H117))</x:f>
      </x:c>
    </x:row>
    <x:row r="118">
      <x:c r="A118" s="13"/>
      <x:c r="B118" s="15"/>
      <x:c r="C118" s="13"/>
      <x:c r="D118" s="7"/>
      <x:c r="E118" s="7"/>
      <x:c r="F118" s="15"/>
      <x:c r="G118" s="16"/>
      <x:c r="H118" s="9"/>
      <x:c r="I118" s="9"/>
      <x:c r="J118" s="7"/>
      <x:c r="K118" s="7"/>
      <x:c r="L118" s="11"/>
      <x:c r="M118" s="11"/>
      <x:c r="N118" s="8"/>
      <x:c r="O118" s="7"/>
      <x:c r="P118" s="9" t="str">
        <x:f>IF($A118="","",MAX(0,$F118*$G118-$H118))</x:f>
      </x:c>
    </x:row>
    <x:row r="119">
      <x:c r="A119" s="13"/>
      <x:c r="B119" s="15"/>
      <x:c r="C119" s="13"/>
      <x:c r="D119" s="7"/>
      <x:c r="E119" s="7"/>
      <x:c r="F119" s="15"/>
      <x:c r="G119" s="16"/>
      <x:c r="H119" s="9"/>
      <x:c r="I119" s="9"/>
      <x:c r="J119" s="7"/>
      <x:c r="K119" s="7"/>
      <x:c r="L119" s="11"/>
      <x:c r="M119" s="11"/>
      <x:c r="N119" s="8"/>
      <x:c r="O119" s="7"/>
      <x:c r="P119" s="9" t="str">
        <x:f>IF($A119="","",MAX(0,$F119*$G119-$H119))</x:f>
      </x:c>
    </x:row>
    <x:row r="120">
      <x:c r="A120" s="13"/>
      <x:c r="B120" s="15"/>
      <x:c r="C120" s="13"/>
      <x:c r="D120" s="7"/>
      <x:c r="E120" s="7"/>
      <x:c r="F120" s="15"/>
      <x:c r="G120" s="16"/>
      <x:c r="H120" s="9"/>
      <x:c r="I120" s="9"/>
      <x:c r="J120" s="7"/>
      <x:c r="K120" s="7"/>
      <x:c r="L120" s="11"/>
      <x:c r="M120" s="11"/>
      <x:c r="N120" s="8"/>
      <x:c r="O120" s="7"/>
      <x:c r="P120" s="9" t="str">
        <x:f>IF($A120="","",MAX(0,$F120*$G120-$H120))</x:f>
      </x:c>
    </x:row>
    <x:row r="121">
      <x:c r="A121" s="13"/>
      <x:c r="B121" s="15"/>
      <x:c r="C121" s="13"/>
      <x:c r="D121" s="7"/>
      <x:c r="E121" s="7"/>
      <x:c r="F121" s="15"/>
      <x:c r="G121" s="16"/>
      <x:c r="H121" s="9"/>
      <x:c r="I121" s="9"/>
      <x:c r="J121" s="7"/>
      <x:c r="K121" s="7"/>
      <x:c r="L121" s="11"/>
      <x:c r="M121" s="11"/>
      <x:c r="N121" s="8"/>
      <x:c r="O121" s="7"/>
      <x:c r="P121" s="9" t="str">
        <x:f>IF($A121="","",MAX(0,$F121*$G121-$H121))</x:f>
      </x:c>
    </x:row>
    <x:row r="122">
      <x:c r="A122" s="13"/>
      <x:c r="B122" s="15"/>
      <x:c r="C122" s="13"/>
      <x:c r="D122" s="7"/>
      <x:c r="E122" s="7"/>
      <x:c r="F122" s="15"/>
      <x:c r="G122" s="16"/>
      <x:c r="H122" s="9"/>
      <x:c r="I122" s="9"/>
      <x:c r="J122" s="7"/>
      <x:c r="K122" s="7"/>
      <x:c r="L122" s="11"/>
      <x:c r="M122" s="11"/>
      <x:c r="N122" s="8"/>
      <x:c r="O122" s="7"/>
      <x:c r="P122" s="9" t="str">
        <x:f>IF($A122="","",MAX(0,$F122*$G122-$H122))</x:f>
      </x:c>
    </x:row>
    <x:row r="123">
      <x:c r="A123" s="13"/>
      <x:c r="B123" s="15"/>
      <x:c r="C123" s="13"/>
      <x:c r="D123" s="7"/>
      <x:c r="E123" s="7"/>
      <x:c r="F123" s="15"/>
      <x:c r="G123" s="16"/>
      <x:c r="H123" s="9"/>
      <x:c r="I123" s="9"/>
      <x:c r="J123" s="7"/>
      <x:c r="K123" s="7"/>
      <x:c r="L123" s="11"/>
      <x:c r="M123" s="11"/>
      <x:c r="N123" s="8"/>
      <x:c r="O123" s="7"/>
      <x:c r="P123" s="9" t="str">
        <x:f>IF($A123="","",MAX(0,$F123*$G123-$H123))</x:f>
      </x:c>
    </x:row>
    <x:row r="124">
      <x:c r="A124" s="13"/>
      <x:c r="B124" s="15"/>
      <x:c r="C124" s="13"/>
      <x:c r="D124" s="7"/>
      <x:c r="E124" s="7"/>
      <x:c r="F124" s="15"/>
      <x:c r="G124" s="16"/>
      <x:c r="H124" s="9"/>
      <x:c r="I124" s="9"/>
      <x:c r="J124" s="7"/>
      <x:c r="K124" s="7"/>
      <x:c r="L124" s="11"/>
      <x:c r="M124" s="11"/>
      <x:c r="N124" s="8"/>
      <x:c r="O124" s="7"/>
      <x:c r="P124" s="9" t="str">
        <x:f>IF($A124="","",MAX(0,$F124*$G124-$H124))</x:f>
      </x:c>
    </x:row>
    <x:row r="125">
      <x:c r="A125" s="13"/>
      <x:c r="B125" s="15"/>
      <x:c r="C125" s="13"/>
      <x:c r="D125" s="7"/>
      <x:c r="E125" s="7"/>
      <x:c r="F125" s="15"/>
      <x:c r="G125" s="16"/>
      <x:c r="H125" s="9"/>
      <x:c r="I125" s="9"/>
      <x:c r="J125" s="7"/>
      <x:c r="K125" s="7"/>
      <x:c r="L125" s="11"/>
      <x:c r="M125" s="11"/>
      <x:c r="N125" s="8"/>
      <x:c r="O125" s="7"/>
      <x:c r="P125" s="9" t="str">
        <x:f>IF($A125="","",MAX(0,$F125*$G125-$H125))</x:f>
      </x:c>
    </x:row>
    <x:row r="126">
      <x:c r="A126" s="13"/>
      <x:c r="B126" s="15"/>
      <x:c r="C126" s="13"/>
      <x:c r="D126" s="7"/>
      <x:c r="E126" s="7"/>
      <x:c r="F126" s="15"/>
      <x:c r="G126" s="16"/>
      <x:c r="H126" s="9"/>
      <x:c r="I126" s="9"/>
      <x:c r="J126" s="7"/>
      <x:c r="K126" s="7"/>
      <x:c r="L126" s="11"/>
      <x:c r="M126" s="11"/>
      <x:c r="N126" s="8"/>
      <x:c r="O126" s="7"/>
      <x:c r="P126" s="9" t="str">
        <x:f>IF($A126="","",MAX(0,$F126*$G126-$H126))</x:f>
      </x:c>
    </x:row>
    <x:row r="127">
      <x:c r="A127" s="13"/>
      <x:c r="B127" s="15"/>
      <x:c r="C127" s="13"/>
      <x:c r="D127" s="7"/>
      <x:c r="E127" s="7"/>
      <x:c r="F127" s="15"/>
      <x:c r="G127" s="16"/>
      <x:c r="H127" s="9"/>
      <x:c r="I127" s="9"/>
      <x:c r="J127" s="7"/>
      <x:c r="K127" s="7"/>
      <x:c r="L127" s="11"/>
      <x:c r="M127" s="11"/>
      <x:c r="N127" s="8"/>
      <x:c r="O127" s="7"/>
      <x:c r="P127" s="9" t="str">
        <x:f>IF($A127="","",MAX(0,$F127*$G127-$H127))</x:f>
      </x:c>
    </x:row>
    <x:row r="128">
      <x:c r="A128" s="13"/>
      <x:c r="B128" s="15"/>
      <x:c r="C128" s="13"/>
      <x:c r="D128" s="7"/>
      <x:c r="E128" s="7"/>
      <x:c r="F128" s="15"/>
      <x:c r="G128" s="16"/>
      <x:c r="H128" s="9"/>
      <x:c r="I128" s="9"/>
      <x:c r="J128" s="7"/>
      <x:c r="K128" s="7"/>
      <x:c r="L128" s="11"/>
      <x:c r="M128" s="11"/>
      <x:c r="N128" s="8"/>
      <x:c r="O128" s="7"/>
      <x:c r="P128" s="9" t="str">
        <x:f>IF($A128="","",MAX(0,$F128*$G128-$H128))</x:f>
      </x:c>
    </x:row>
    <x:row r="129">
      <x:c r="A129" s="13"/>
      <x:c r="B129" s="15"/>
      <x:c r="C129" s="13"/>
      <x:c r="D129" s="7"/>
      <x:c r="E129" s="7"/>
      <x:c r="F129" s="15"/>
      <x:c r="G129" s="16"/>
      <x:c r="H129" s="9"/>
      <x:c r="I129" s="9"/>
      <x:c r="J129" s="7"/>
      <x:c r="K129" s="7"/>
      <x:c r="L129" s="11"/>
      <x:c r="M129" s="11"/>
      <x:c r="N129" s="8"/>
      <x:c r="O129" s="7"/>
      <x:c r="P129" s="9" t="str">
        <x:f>IF($A129="","",MAX(0,$F129*$G129-$H129))</x:f>
      </x:c>
    </x:row>
    <x:row r="130">
      <x:c r="A130" s="13"/>
      <x:c r="B130" s="15"/>
      <x:c r="C130" s="13"/>
      <x:c r="D130" s="7"/>
      <x:c r="E130" s="7"/>
      <x:c r="F130" s="15"/>
      <x:c r="G130" s="16"/>
      <x:c r="H130" s="9"/>
      <x:c r="I130" s="9"/>
      <x:c r="J130" s="7"/>
      <x:c r="K130" s="7"/>
      <x:c r="L130" s="11"/>
      <x:c r="M130" s="11"/>
      <x:c r="N130" s="8"/>
      <x:c r="O130" s="7"/>
      <x:c r="P130" s="9" t="str">
        <x:f>IF($A130="","",MAX(0,$F130*$G130-$H130))</x:f>
      </x:c>
    </x:row>
    <x:row r="131">
      <x:c r="A131" s="13"/>
      <x:c r="B131" s="15"/>
      <x:c r="C131" s="13"/>
      <x:c r="D131" s="7"/>
      <x:c r="E131" s="7"/>
      <x:c r="F131" s="15"/>
      <x:c r="G131" s="16"/>
      <x:c r="H131" s="9"/>
      <x:c r="I131" s="9"/>
      <x:c r="J131" s="7"/>
      <x:c r="K131" s="7"/>
      <x:c r="L131" s="11"/>
      <x:c r="M131" s="11"/>
      <x:c r="N131" s="8"/>
      <x:c r="O131" s="7"/>
      <x:c r="P131" s="9" t="str">
        <x:f>IF($A131="","",MAX(0,$F131*$G131-$H131))</x:f>
      </x:c>
    </x:row>
    <x:row r="132">
      <x:c r="A132" s="13"/>
      <x:c r="B132" s="15"/>
      <x:c r="C132" s="13"/>
      <x:c r="D132" s="7"/>
      <x:c r="E132" s="7"/>
      <x:c r="F132" s="15"/>
      <x:c r="G132" s="16"/>
      <x:c r="H132" s="9"/>
      <x:c r="I132" s="9"/>
      <x:c r="J132" s="7"/>
      <x:c r="K132" s="7"/>
      <x:c r="L132" s="11"/>
      <x:c r="M132" s="11"/>
      <x:c r="N132" s="8"/>
      <x:c r="O132" s="7"/>
      <x:c r="P132" s="9" t="str">
        <x:f>IF($A132="","",MAX(0,$F132*$G132-$H132))</x:f>
      </x:c>
    </x:row>
    <x:row r="133">
      <x:c r="A133" s="13"/>
      <x:c r="B133" s="15"/>
      <x:c r="C133" s="13"/>
      <x:c r="D133" s="7"/>
      <x:c r="E133" s="7"/>
      <x:c r="F133" s="15"/>
      <x:c r="G133" s="16"/>
      <x:c r="H133" s="9"/>
      <x:c r="I133" s="9"/>
      <x:c r="J133" s="7"/>
      <x:c r="K133" s="7"/>
      <x:c r="L133" s="11"/>
      <x:c r="M133" s="11"/>
      <x:c r="N133" s="8"/>
      <x:c r="O133" s="7"/>
      <x:c r="P133" s="9" t="str">
        <x:f>IF($A133="","",MAX(0,$F133*$G133-$H133))</x:f>
      </x:c>
    </x:row>
    <x:row r="134">
      <x:c r="A134" s="13"/>
      <x:c r="B134" s="15"/>
      <x:c r="C134" s="13"/>
      <x:c r="D134" s="7"/>
      <x:c r="E134" s="7"/>
      <x:c r="F134" s="15"/>
      <x:c r="G134" s="16"/>
      <x:c r="H134" s="9"/>
      <x:c r="I134" s="9"/>
      <x:c r="J134" s="7"/>
      <x:c r="K134" s="7"/>
      <x:c r="L134" s="11"/>
      <x:c r="M134" s="11"/>
      <x:c r="N134" s="8"/>
      <x:c r="O134" s="7"/>
      <x:c r="P134" s="9" t="str">
        <x:f>IF($A134="","",MAX(0,$F134*$G134-$H134))</x:f>
      </x:c>
    </x:row>
    <x:row r="135">
      <x:c r="A135" s="13"/>
      <x:c r="B135" s="15"/>
      <x:c r="C135" s="13"/>
      <x:c r="D135" s="7"/>
      <x:c r="E135" s="7"/>
      <x:c r="F135" s="15"/>
      <x:c r="G135" s="16"/>
      <x:c r="H135" s="9"/>
      <x:c r="I135" s="9"/>
      <x:c r="J135" s="7"/>
      <x:c r="K135" s="7"/>
      <x:c r="L135" s="11"/>
      <x:c r="M135" s="11"/>
      <x:c r="N135" s="8"/>
      <x:c r="O135" s="7"/>
      <x:c r="P135" s="9" t="str">
        <x:f>IF($A135="","",MAX(0,$F135*$G135-$H135))</x:f>
      </x:c>
    </x:row>
    <x:row r="136">
      <x:c r="A136" s="13"/>
      <x:c r="B136" s="15"/>
      <x:c r="C136" s="13"/>
      <x:c r="D136" s="7"/>
      <x:c r="E136" s="7"/>
      <x:c r="F136" s="15"/>
      <x:c r="G136" s="16"/>
      <x:c r="H136" s="9"/>
      <x:c r="I136" s="9"/>
      <x:c r="J136" s="7"/>
      <x:c r="K136" s="7"/>
      <x:c r="L136" s="11"/>
      <x:c r="M136" s="11"/>
      <x:c r="N136" s="8"/>
      <x:c r="O136" s="7"/>
      <x:c r="P136" s="9" t="str">
        <x:f>IF($A136="","",MAX(0,$F136*$G136-$H136))</x:f>
      </x:c>
    </x:row>
    <x:row r="137">
      <x:c r="A137" s="13"/>
      <x:c r="B137" s="15"/>
      <x:c r="C137" s="13"/>
      <x:c r="D137" s="7"/>
      <x:c r="E137" s="7"/>
      <x:c r="F137" s="15"/>
      <x:c r="G137" s="16"/>
      <x:c r="H137" s="9"/>
      <x:c r="I137" s="9"/>
      <x:c r="J137" s="7"/>
      <x:c r="K137" s="7"/>
      <x:c r="L137" s="11"/>
      <x:c r="M137" s="11"/>
      <x:c r="N137" s="8"/>
      <x:c r="O137" s="7"/>
      <x:c r="P137" s="9" t="str">
        <x:f>IF($A137="","",MAX(0,$F137*$G137-$H137))</x:f>
      </x:c>
    </x:row>
    <x:row r="138">
      <x:c r="A138" s="13"/>
      <x:c r="B138" s="15"/>
      <x:c r="C138" s="13"/>
      <x:c r="D138" s="7"/>
      <x:c r="E138" s="7"/>
      <x:c r="F138" s="15"/>
      <x:c r="G138" s="16"/>
      <x:c r="H138" s="9"/>
      <x:c r="I138" s="9"/>
      <x:c r="J138" s="7"/>
      <x:c r="K138" s="7"/>
      <x:c r="L138" s="11"/>
      <x:c r="M138" s="11"/>
      <x:c r="N138" s="8"/>
      <x:c r="O138" s="7"/>
      <x:c r="P138" s="9" t="str">
        <x:f>IF($A138="","",MAX(0,$F138*$G138-$H138))</x:f>
      </x:c>
    </x:row>
    <x:row r="139">
      <x:c r="A139" s="13"/>
      <x:c r="B139" s="15"/>
      <x:c r="C139" s="13"/>
      <x:c r="D139" s="7"/>
      <x:c r="E139" s="7"/>
      <x:c r="F139" s="15"/>
      <x:c r="G139" s="16"/>
      <x:c r="H139" s="9"/>
      <x:c r="I139" s="9"/>
      <x:c r="J139" s="7"/>
      <x:c r="K139" s="7"/>
      <x:c r="L139" s="11"/>
      <x:c r="M139" s="11"/>
      <x:c r="N139" s="8"/>
      <x:c r="O139" s="7"/>
      <x:c r="P139" s="9" t="str">
        <x:f>IF($A139="","",MAX(0,$F139*$G139-$H139))</x:f>
      </x:c>
    </x:row>
    <x:row r="140">
      <x:c r="A140" s="13"/>
      <x:c r="B140" s="15"/>
      <x:c r="C140" s="13"/>
      <x:c r="D140" s="7"/>
      <x:c r="E140" s="7"/>
      <x:c r="F140" s="15"/>
      <x:c r="G140" s="16"/>
      <x:c r="H140" s="9"/>
      <x:c r="I140" s="9"/>
      <x:c r="J140" s="7"/>
      <x:c r="K140" s="7"/>
      <x:c r="L140" s="11"/>
      <x:c r="M140" s="11"/>
      <x:c r="N140" s="8"/>
      <x:c r="O140" s="7"/>
      <x:c r="P140" s="9" t="str">
        <x:f>IF($A140="","",MAX(0,$F140*$G140-$H140))</x:f>
      </x:c>
    </x:row>
    <x:row r="141">
      <x:c r="A141" s="13"/>
      <x:c r="B141" s="15"/>
      <x:c r="C141" s="13"/>
      <x:c r="D141" s="7"/>
      <x:c r="E141" s="7"/>
      <x:c r="F141" s="15"/>
      <x:c r="G141" s="16"/>
      <x:c r="H141" s="9"/>
      <x:c r="I141" s="9"/>
      <x:c r="J141" s="7"/>
      <x:c r="K141" s="7"/>
      <x:c r="L141" s="11"/>
      <x:c r="M141" s="11"/>
      <x:c r="N141" s="8"/>
      <x:c r="O141" s="7"/>
      <x:c r="P141" s="9" t="str">
        <x:f>IF($A141="","",MAX(0,$F141*$G141-$H141))</x:f>
      </x:c>
    </x:row>
    <x:row r="142">
      <x:c r="A142" s="13"/>
      <x:c r="B142" s="15"/>
      <x:c r="C142" s="13"/>
      <x:c r="D142" s="7"/>
      <x:c r="E142" s="7"/>
      <x:c r="F142" s="15"/>
      <x:c r="G142" s="16"/>
      <x:c r="H142" s="9"/>
      <x:c r="I142" s="9"/>
      <x:c r="J142" s="7"/>
      <x:c r="K142" s="7"/>
      <x:c r="L142" s="11"/>
      <x:c r="M142" s="11"/>
      <x:c r="N142" s="8"/>
      <x:c r="O142" s="7"/>
      <x:c r="P142" s="9" t="str">
        <x:f>IF($A142="","",MAX(0,$F142*$G142-$H142))</x:f>
      </x:c>
    </x:row>
    <x:row r="143">
      <x:c r="A143" s="13"/>
      <x:c r="B143" s="15"/>
      <x:c r="C143" s="13"/>
      <x:c r="D143" s="7"/>
      <x:c r="E143" s="7"/>
      <x:c r="F143" s="15"/>
      <x:c r="G143" s="16"/>
      <x:c r="H143" s="9"/>
      <x:c r="I143" s="9"/>
      <x:c r="J143" s="7"/>
      <x:c r="K143" s="7"/>
      <x:c r="L143" s="11"/>
      <x:c r="M143" s="11"/>
      <x:c r="N143" s="8"/>
      <x:c r="O143" s="7"/>
      <x:c r="P143" s="9" t="str">
        <x:f>IF($A143="","",MAX(0,$F143*$G143-$H143))</x:f>
      </x:c>
    </x:row>
    <x:row r="144">
      <x:c r="A144" s="13"/>
      <x:c r="B144" s="15"/>
      <x:c r="C144" s="13"/>
      <x:c r="D144" s="7"/>
      <x:c r="E144" s="7"/>
      <x:c r="F144" s="15"/>
      <x:c r="G144" s="16"/>
      <x:c r="H144" s="9"/>
      <x:c r="I144" s="9"/>
      <x:c r="J144" s="7"/>
      <x:c r="K144" s="7"/>
      <x:c r="L144" s="11"/>
      <x:c r="M144" s="11"/>
      <x:c r="N144" s="8"/>
      <x:c r="O144" s="7"/>
      <x:c r="P144" s="9" t="str">
        <x:f>IF($A144="","",MAX(0,$F144*$G144-$H144))</x:f>
      </x:c>
    </x:row>
    <x:row r="145">
      <x:c r="A145" s="13"/>
      <x:c r="B145" s="15"/>
      <x:c r="C145" s="13"/>
      <x:c r="D145" s="7"/>
      <x:c r="E145" s="7"/>
      <x:c r="F145" s="15"/>
      <x:c r="G145" s="16"/>
      <x:c r="H145" s="9"/>
      <x:c r="I145" s="9"/>
      <x:c r="J145" s="7"/>
      <x:c r="K145" s="7"/>
      <x:c r="L145" s="11"/>
      <x:c r="M145" s="11"/>
      <x:c r="N145" s="8"/>
      <x:c r="O145" s="7"/>
      <x:c r="P145" s="9" t="str">
        <x:f>IF($A145="","",MAX(0,$F145*$G145-$H145))</x:f>
      </x:c>
    </x:row>
    <x:row r="146">
      <x:c r="A146" s="13"/>
      <x:c r="B146" s="15"/>
      <x:c r="C146" s="13"/>
      <x:c r="D146" s="7"/>
      <x:c r="E146" s="7"/>
      <x:c r="F146" s="15"/>
      <x:c r="G146" s="16"/>
      <x:c r="H146" s="9"/>
      <x:c r="I146" s="9"/>
      <x:c r="J146" s="7"/>
      <x:c r="K146" s="7"/>
      <x:c r="L146" s="11"/>
      <x:c r="M146" s="11"/>
      <x:c r="N146" s="8"/>
      <x:c r="O146" s="7"/>
      <x:c r="P146" s="9" t="str">
        <x:f>IF($A146="","",MAX(0,$F146*$G146-$H146))</x:f>
      </x:c>
    </x:row>
    <x:row r="147">
      <x:c r="A147" s="13"/>
      <x:c r="B147" s="15"/>
      <x:c r="C147" s="13"/>
      <x:c r="D147" s="7"/>
      <x:c r="E147" s="7"/>
      <x:c r="F147" s="15"/>
      <x:c r="G147" s="16"/>
      <x:c r="H147" s="9"/>
      <x:c r="I147" s="9"/>
      <x:c r="J147" s="7"/>
      <x:c r="K147" s="7"/>
      <x:c r="L147" s="11"/>
      <x:c r="M147" s="11"/>
      <x:c r="N147" s="8"/>
      <x:c r="O147" s="7"/>
      <x:c r="P147" s="9" t="str">
        <x:f>IF($A147="","",MAX(0,$F147*$G147-$H147))</x:f>
      </x:c>
    </x:row>
    <x:row r="148">
      <x:c r="A148" s="13"/>
      <x:c r="B148" s="15"/>
      <x:c r="C148" s="13"/>
      <x:c r="D148" s="7"/>
      <x:c r="E148" s="7"/>
      <x:c r="F148" s="15"/>
      <x:c r="G148" s="16"/>
      <x:c r="H148" s="9"/>
      <x:c r="I148" s="9"/>
      <x:c r="J148" s="7"/>
      <x:c r="K148" s="7"/>
      <x:c r="L148" s="11"/>
      <x:c r="M148" s="11"/>
      <x:c r="N148" s="8"/>
      <x:c r="O148" s="7"/>
      <x:c r="P148" s="9" t="str">
        <x:f>IF($A148="","",MAX(0,$F148*$G148-$H148))</x:f>
      </x:c>
    </x:row>
    <x:row r="149">
      <x:c r="A149" s="13"/>
      <x:c r="B149" s="15"/>
      <x:c r="C149" s="13"/>
      <x:c r="D149" s="7"/>
      <x:c r="E149" s="7"/>
      <x:c r="F149" s="15"/>
      <x:c r="G149" s="16"/>
      <x:c r="H149" s="9"/>
      <x:c r="I149" s="9"/>
      <x:c r="J149" s="7"/>
      <x:c r="K149" s="7"/>
      <x:c r="L149" s="11"/>
      <x:c r="M149" s="11"/>
      <x:c r="N149" s="8"/>
      <x:c r="O149" s="7"/>
      <x:c r="P149" s="9" t="str">
        <x:f>IF($A149="","",MAX(0,$F149*$G149-$H149))</x:f>
      </x:c>
    </x:row>
    <x:row r="150">
      <x:c r="A150" s="13"/>
      <x:c r="B150" s="15"/>
      <x:c r="C150" s="13"/>
      <x:c r="D150" s="7"/>
      <x:c r="E150" s="7"/>
      <x:c r="F150" s="15"/>
      <x:c r="G150" s="16"/>
      <x:c r="H150" s="9"/>
      <x:c r="I150" s="9"/>
      <x:c r="J150" s="7"/>
      <x:c r="K150" s="7"/>
      <x:c r="L150" s="11"/>
      <x:c r="M150" s="11"/>
      <x:c r="N150" s="8"/>
      <x:c r="O150" s="7"/>
      <x:c r="P150" s="9" t="str">
        <x:f>IF($A150="","",MAX(0,$F150*$G150-$H150))</x:f>
      </x:c>
    </x:row>
    <x:row r="151">
      <x:c r="A151" s="13"/>
      <x:c r="B151" s="15"/>
      <x:c r="C151" s="13"/>
      <x:c r="D151" s="7"/>
      <x:c r="E151" s="7"/>
      <x:c r="F151" s="15"/>
      <x:c r="G151" s="16"/>
      <x:c r="H151" s="9"/>
      <x:c r="I151" s="9"/>
      <x:c r="J151" s="7"/>
      <x:c r="K151" s="7"/>
      <x:c r="L151" s="11"/>
      <x:c r="M151" s="11"/>
      <x:c r="N151" s="8"/>
      <x:c r="O151" s="7"/>
      <x:c r="P151" s="9" t="str">
        <x:f>IF($A151="","",MAX(0,$F151*$G151-$H151))</x:f>
      </x:c>
    </x:row>
    <x:row r="152">
      <x:c r="A152" s="13"/>
      <x:c r="B152" s="15"/>
      <x:c r="C152" s="13"/>
      <x:c r="D152" s="7"/>
      <x:c r="E152" s="7"/>
      <x:c r="F152" s="15"/>
      <x:c r="G152" s="16"/>
      <x:c r="H152" s="9"/>
      <x:c r="I152" s="9"/>
      <x:c r="J152" s="7"/>
      <x:c r="K152" s="7"/>
      <x:c r="L152" s="11"/>
      <x:c r="M152" s="11"/>
      <x:c r="N152" s="8"/>
      <x:c r="O152" s="7"/>
      <x:c r="P152" s="9" t="str">
        <x:f>IF($A152="","",MAX(0,$F152*$G152-$H152))</x:f>
      </x:c>
    </x:row>
    <x:row r="153">
      <x:c r="A153" s="13"/>
      <x:c r="B153" s="15"/>
      <x:c r="C153" s="13"/>
      <x:c r="D153" s="7"/>
      <x:c r="E153" s="7"/>
      <x:c r="F153" s="15"/>
      <x:c r="G153" s="16"/>
      <x:c r="H153" s="9"/>
      <x:c r="I153" s="9"/>
      <x:c r="J153" s="7"/>
      <x:c r="K153" s="7"/>
      <x:c r="L153" s="11"/>
      <x:c r="M153" s="11"/>
      <x:c r="N153" s="8"/>
      <x:c r="O153" s="7"/>
      <x:c r="P153" s="9" t="str">
        <x:f>IF($A153="","",MAX(0,$F153*$G153-$H153))</x:f>
      </x:c>
    </x:row>
    <x:row r="154">
      <x:c r="A154" s="13"/>
      <x:c r="B154" s="15"/>
      <x:c r="C154" s="13"/>
      <x:c r="D154" s="7"/>
      <x:c r="E154" s="7"/>
      <x:c r="F154" s="15"/>
      <x:c r="G154" s="16"/>
      <x:c r="H154" s="9"/>
      <x:c r="I154" s="9"/>
      <x:c r="J154" s="7"/>
      <x:c r="K154" s="7"/>
      <x:c r="L154" s="11"/>
      <x:c r="M154" s="11"/>
      <x:c r="N154" s="8"/>
      <x:c r="O154" s="7"/>
      <x:c r="P154" s="9" t="str">
        <x:f>IF($A154="","",MAX(0,$F154*$G154-$H154))</x:f>
      </x:c>
    </x:row>
    <x:row r="155">
      <x:c r="A155" s="13"/>
      <x:c r="B155" s="15"/>
      <x:c r="C155" s="13"/>
      <x:c r="D155" s="7"/>
      <x:c r="E155" s="7"/>
      <x:c r="F155" s="15"/>
      <x:c r="G155" s="16"/>
      <x:c r="H155" s="9"/>
      <x:c r="I155" s="9"/>
      <x:c r="J155" s="7"/>
      <x:c r="K155" s="7"/>
      <x:c r="L155" s="11"/>
      <x:c r="M155" s="11"/>
      <x:c r="N155" s="8"/>
      <x:c r="O155" s="7"/>
      <x:c r="P155" s="9" t="str">
        <x:f>IF($A155="","",MAX(0,$F155*$G155-$H155))</x:f>
      </x:c>
    </x:row>
    <x:row r="156">
      <x:c r="A156" s="13"/>
      <x:c r="B156" s="15"/>
      <x:c r="C156" s="13"/>
      <x:c r="D156" s="7"/>
      <x:c r="E156" s="7"/>
      <x:c r="F156" s="15"/>
      <x:c r="G156" s="16"/>
      <x:c r="H156" s="9"/>
      <x:c r="I156" s="9"/>
      <x:c r="J156" s="7"/>
      <x:c r="K156" s="7"/>
      <x:c r="L156" s="11"/>
      <x:c r="M156" s="11"/>
      <x:c r="N156" s="8"/>
      <x:c r="O156" s="7"/>
      <x:c r="P156" s="9" t="str">
        <x:f>IF($A156="","",MAX(0,$F156*$G156-$H156))</x:f>
      </x:c>
    </x:row>
    <x:row r="157">
      <x:c r="A157" s="13"/>
      <x:c r="B157" s="15"/>
      <x:c r="C157" s="13"/>
      <x:c r="D157" s="7"/>
      <x:c r="E157" s="7"/>
      <x:c r="F157" s="15"/>
      <x:c r="G157" s="16"/>
      <x:c r="H157" s="9"/>
      <x:c r="I157" s="9"/>
      <x:c r="J157" s="7"/>
      <x:c r="K157" s="7"/>
      <x:c r="L157" s="11"/>
      <x:c r="M157" s="11"/>
      <x:c r="N157" s="8"/>
      <x:c r="O157" s="7"/>
      <x:c r="P157" s="9" t="str">
        <x:f>IF($A157="","",MAX(0,$F157*$G157-$H157))</x:f>
      </x:c>
    </x:row>
    <x:row r="158">
      <x:c r="A158" s="13"/>
      <x:c r="B158" s="15"/>
      <x:c r="C158" s="13"/>
      <x:c r="D158" s="7"/>
      <x:c r="E158" s="7"/>
      <x:c r="F158" s="15"/>
      <x:c r="G158" s="16"/>
      <x:c r="H158" s="9"/>
      <x:c r="I158" s="9"/>
      <x:c r="J158" s="7"/>
      <x:c r="K158" s="7"/>
      <x:c r="L158" s="11"/>
      <x:c r="M158" s="11"/>
      <x:c r="N158" s="8"/>
      <x:c r="O158" s="7"/>
      <x:c r="P158" s="9" t="str">
        <x:f>IF($A158="","",MAX(0,$F158*$G158-$H158))</x:f>
      </x:c>
    </x:row>
    <x:row r="159">
      <x:c r="A159" s="13"/>
      <x:c r="B159" s="15"/>
      <x:c r="C159" s="13"/>
      <x:c r="D159" s="7"/>
      <x:c r="E159" s="7"/>
      <x:c r="F159" s="15"/>
      <x:c r="G159" s="16"/>
      <x:c r="H159" s="9"/>
      <x:c r="I159" s="9"/>
      <x:c r="J159" s="7"/>
      <x:c r="K159" s="7"/>
      <x:c r="L159" s="11"/>
      <x:c r="M159" s="11"/>
      <x:c r="N159" s="8"/>
      <x:c r="O159" s="7"/>
      <x:c r="P159" s="9" t="str">
        <x:f>IF($A159="","",MAX(0,$F159*$G159-$H159))</x:f>
      </x:c>
    </x:row>
    <x:row r="160">
      <x:c r="A160" s="13"/>
      <x:c r="B160" s="15"/>
      <x:c r="C160" s="13"/>
      <x:c r="D160" s="7"/>
      <x:c r="E160" s="7"/>
      <x:c r="F160" s="15"/>
      <x:c r="G160" s="16"/>
      <x:c r="H160" s="9"/>
      <x:c r="I160" s="9"/>
      <x:c r="J160" s="7"/>
      <x:c r="K160" s="7"/>
      <x:c r="L160" s="11"/>
      <x:c r="M160" s="11"/>
      <x:c r="N160" s="8"/>
      <x:c r="O160" s="7"/>
      <x:c r="P160" s="9" t="str">
        <x:f>IF($A160="","",MAX(0,$F160*$G160-$H160))</x:f>
      </x:c>
    </x:row>
    <x:row r="161">
      <x:c r="A161" s="13"/>
      <x:c r="B161" s="15"/>
      <x:c r="C161" s="13"/>
      <x:c r="D161" s="7"/>
      <x:c r="E161" s="7"/>
      <x:c r="F161" s="15"/>
      <x:c r="G161" s="16"/>
      <x:c r="H161" s="9"/>
      <x:c r="I161" s="9"/>
      <x:c r="J161" s="7"/>
      <x:c r="K161" s="7"/>
      <x:c r="L161" s="11"/>
      <x:c r="M161" s="11"/>
      <x:c r="N161" s="8"/>
      <x:c r="O161" s="7"/>
      <x:c r="P161" s="9" t="str">
        <x:f>IF($A161="","",MAX(0,$F161*$G161-$H161))</x:f>
      </x:c>
    </x:row>
    <x:row r="162">
      <x:c r="A162" s="13"/>
      <x:c r="B162" s="15"/>
      <x:c r="C162" s="13"/>
      <x:c r="D162" s="7"/>
      <x:c r="E162" s="7"/>
      <x:c r="F162" s="15"/>
      <x:c r="G162" s="16"/>
      <x:c r="H162" s="9"/>
      <x:c r="I162" s="9"/>
      <x:c r="J162" s="7"/>
      <x:c r="K162" s="7"/>
      <x:c r="L162" s="11"/>
      <x:c r="M162" s="11"/>
      <x:c r="N162" s="8"/>
      <x:c r="O162" s="7"/>
      <x:c r="P162" s="9" t="str">
        <x:f>IF($A162="","",MAX(0,$F162*$G162-$H162))</x:f>
      </x:c>
    </x:row>
    <x:row r="163">
      <x:c r="A163" s="13"/>
      <x:c r="B163" s="15"/>
      <x:c r="C163" s="13"/>
      <x:c r="D163" s="7"/>
      <x:c r="E163" s="7"/>
      <x:c r="F163" s="15"/>
      <x:c r="G163" s="16"/>
      <x:c r="H163" s="9"/>
      <x:c r="I163" s="9"/>
      <x:c r="J163" s="7"/>
      <x:c r="K163" s="7"/>
      <x:c r="L163" s="11"/>
      <x:c r="M163" s="11"/>
      <x:c r="N163" s="8"/>
      <x:c r="O163" s="7"/>
      <x:c r="P163" s="9" t="str">
        <x:f>IF($A163="","",MAX(0,$F163*$G163-$H163))</x:f>
      </x:c>
    </x:row>
    <x:row r="164">
      <x:c r="A164" s="13"/>
      <x:c r="B164" s="15"/>
      <x:c r="C164" s="13"/>
      <x:c r="D164" s="7"/>
      <x:c r="E164" s="7"/>
      <x:c r="F164" s="15"/>
      <x:c r="G164" s="16"/>
      <x:c r="H164" s="9"/>
      <x:c r="I164" s="9"/>
      <x:c r="J164" s="7"/>
      <x:c r="K164" s="7"/>
      <x:c r="L164" s="11"/>
      <x:c r="M164" s="11"/>
      <x:c r="N164" s="8"/>
      <x:c r="O164" s="7"/>
      <x:c r="P164" s="9" t="str">
        <x:f>IF($A164="","",MAX(0,$F164*$G164-$H164))</x:f>
      </x:c>
    </x:row>
    <x:row r="165">
      <x:c r="A165" s="13"/>
      <x:c r="B165" s="15"/>
      <x:c r="C165" s="13"/>
      <x:c r="D165" s="7"/>
      <x:c r="E165" s="7"/>
      <x:c r="F165" s="15"/>
      <x:c r="G165" s="16"/>
      <x:c r="H165" s="9"/>
      <x:c r="I165" s="9"/>
      <x:c r="J165" s="7"/>
      <x:c r="K165" s="7"/>
      <x:c r="L165" s="11"/>
      <x:c r="M165" s="11"/>
      <x:c r="N165" s="8"/>
      <x:c r="O165" s="7"/>
      <x:c r="P165" s="9" t="str">
        <x:f>IF($A165="","",MAX(0,$F165*$G165-$H165))</x:f>
      </x:c>
    </x:row>
    <x:row r="166">
      <x:c r="A166" s="13"/>
      <x:c r="B166" s="15"/>
      <x:c r="C166" s="13"/>
      <x:c r="D166" s="7"/>
      <x:c r="E166" s="7"/>
      <x:c r="F166" s="15"/>
      <x:c r="G166" s="16"/>
      <x:c r="H166" s="9"/>
      <x:c r="I166" s="9"/>
      <x:c r="J166" s="7"/>
      <x:c r="K166" s="7"/>
      <x:c r="L166" s="11"/>
      <x:c r="M166" s="11"/>
      <x:c r="N166" s="8"/>
      <x:c r="O166" s="7"/>
      <x:c r="P166" s="9" t="str">
        <x:f>IF($A166="","",MAX(0,$F166*$G166-$H166))</x:f>
      </x:c>
    </x:row>
    <x:row r="167">
      <x:c r="A167" s="13"/>
      <x:c r="B167" s="15"/>
      <x:c r="C167" s="13"/>
      <x:c r="D167" s="7"/>
      <x:c r="E167" s="7"/>
      <x:c r="F167" s="15"/>
      <x:c r="G167" s="16"/>
      <x:c r="H167" s="9"/>
      <x:c r="I167" s="9"/>
      <x:c r="J167" s="7"/>
      <x:c r="K167" s="7"/>
      <x:c r="L167" s="11"/>
      <x:c r="M167" s="11"/>
      <x:c r="N167" s="8"/>
      <x:c r="O167" s="7"/>
      <x:c r="P167" s="9" t="str">
        <x:f>IF($A167="","",MAX(0,$F167*$G167-$H167))</x:f>
      </x:c>
    </x:row>
    <x:row r="168">
      <x:c r="A168" s="13"/>
      <x:c r="B168" s="15"/>
      <x:c r="C168" s="13"/>
      <x:c r="D168" s="7"/>
      <x:c r="E168" s="7"/>
      <x:c r="F168" s="15"/>
      <x:c r="G168" s="16"/>
      <x:c r="H168" s="9"/>
      <x:c r="I168" s="9"/>
      <x:c r="J168" s="7"/>
      <x:c r="K168" s="7"/>
      <x:c r="L168" s="11"/>
      <x:c r="M168" s="11"/>
      <x:c r="N168" s="8"/>
      <x:c r="O168" s="7"/>
      <x:c r="P168" s="9" t="str">
        <x:f>IF($A168="","",MAX(0,$F168*$G168-$H168))</x:f>
      </x:c>
    </x:row>
    <x:row r="169">
      <x:c r="A169" s="13"/>
      <x:c r="B169" s="15"/>
      <x:c r="C169" s="13"/>
      <x:c r="D169" s="7"/>
      <x:c r="E169" s="7"/>
      <x:c r="F169" s="15"/>
      <x:c r="G169" s="16"/>
      <x:c r="H169" s="9"/>
      <x:c r="I169" s="9"/>
      <x:c r="J169" s="7"/>
      <x:c r="K169" s="7"/>
      <x:c r="L169" s="11"/>
      <x:c r="M169" s="11"/>
      <x:c r="N169" s="8"/>
      <x:c r="O169" s="7"/>
      <x:c r="P169" s="9" t="str">
        <x:f>IF($A169="","",MAX(0,$F169*$G169-$H169))</x:f>
      </x:c>
    </x:row>
    <x:row r="170">
      <x:c r="A170" s="13"/>
      <x:c r="B170" s="15"/>
      <x:c r="C170" s="13"/>
      <x:c r="D170" s="7"/>
      <x:c r="E170" s="7"/>
      <x:c r="F170" s="15"/>
      <x:c r="G170" s="16"/>
      <x:c r="H170" s="9"/>
      <x:c r="I170" s="9"/>
      <x:c r="J170" s="7"/>
      <x:c r="K170" s="7"/>
      <x:c r="L170" s="11"/>
      <x:c r="M170" s="11"/>
      <x:c r="N170" s="8"/>
      <x:c r="O170" s="7"/>
      <x:c r="P170" s="9" t="str">
        <x:f>IF($A170="","",MAX(0,$F170*$G170-$H170))</x:f>
      </x:c>
    </x:row>
    <x:row r="171">
      <x:c r="A171" s="13"/>
      <x:c r="B171" s="15"/>
      <x:c r="C171" s="13"/>
      <x:c r="D171" s="7"/>
      <x:c r="E171" s="7"/>
      <x:c r="F171" s="15"/>
      <x:c r="G171" s="16"/>
      <x:c r="H171" s="9"/>
      <x:c r="I171" s="9"/>
      <x:c r="J171" s="7"/>
      <x:c r="K171" s="7"/>
      <x:c r="L171" s="11"/>
      <x:c r="M171" s="11"/>
      <x:c r="N171" s="8"/>
      <x:c r="O171" s="7"/>
      <x:c r="P171" s="9" t="str">
        <x:f>IF($A171="","",MAX(0,$F171*$G171-$H171))</x:f>
      </x:c>
    </x:row>
    <x:row r="172">
      <x:c r="A172" s="13"/>
      <x:c r="B172" s="15"/>
      <x:c r="C172" s="13"/>
      <x:c r="D172" s="7"/>
      <x:c r="E172" s="7"/>
      <x:c r="F172" s="15"/>
      <x:c r="G172" s="16"/>
      <x:c r="H172" s="9"/>
      <x:c r="I172" s="9"/>
      <x:c r="J172" s="7"/>
      <x:c r="K172" s="7"/>
      <x:c r="L172" s="11"/>
      <x:c r="M172" s="11"/>
      <x:c r="N172" s="8"/>
      <x:c r="O172" s="7"/>
      <x:c r="P172" s="9" t="str">
        <x:f>IF($A172="","",MAX(0,$F172*$G172-$H172))</x:f>
      </x:c>
    </x:row>
    <x:row r="173">
      <x:c r="A173" s="13"/>
      <x:c r="B173" s="15"/>
      <x:c r="C173" s="13"/>
      <x:c r="D173" s="7"/>
      <x:c r="E173" s="7"/>
      <x:c r="F173" s="15"/>
      <x:c r="G173" s="16"/>
      <x:c r="H173" s="9"/>
      <x:c r="I173" s="9"/>
      <x:c r="J173" s="7"/>
      <x:c r="K173" s="7"/>
      <x:c r="L173" s="11"/>
      <x:c r="M173" s="11"/>
      <x:c r="N173" s="8"/>
      <x:c r="O173" s="7"/>
      <x:c r="P173" s="9" t="str">
        <x:f>IF($A173="","",MAX(0,$F173*$G173-$H173))</x:f>
      </x:c>
    </x:row>
    <x:row r="174">
      <x:c r="A174" s="13"/>
      <x:c r="B174" s="15"/>
      <x:c r="C174" s="13"/>
      <x:c r="D174" s="7"/>
      <x:c r="E174" s="7"/>
      <x:c r="F174" s="15"/>
      <x:c r="G174" s="16"/>
      <x:c r="H174" s="9"/>
      <x:c r="I174" s="9"/>
      <x:c r="J174" s="7"/>
      <x:c r="K174" s="7"/>
      <x:c r="L174" s="11"/>
      <x:c r="M174" s="11"/>
      <x:c r="N174" s="8"/>
      <x:c r="O174" s="7"/>
      <x:c r="P174" s="9" t="str">
        <x:f>IF($A174="","",MAX(0,$F174*$G174-$H174))</x:f>
      </x:c>
    </x:row>
    <x:row r="175">
      <x:c r="A175" s="13"/>
      <x:c r="B175" s="15"/>
      <x:c r="C175" s="13"/>
      <x:c r="D175" s="7"/>
      <x:c r="E175" s="7"/>
      <x:c r="F175" s="15"/>
      <x:c r="G175" s="16"/>
      <x:c r="H175" s="9"/>
      <x:c r="I175" s="9"/>
      <x:c r="J175" s="7"/>
      <x:c r="K175" s="7"/>
      <x:c r="L175" s="11"/>
      <x:c r="M175" s="11"/>
      <x:c r="N175" s="8"/>
      <x:c r="O175" s="7"/>
      <x:c r="P175" s="9" t="str">
        <x:f>IF($A175="","",MAX(0,$F175*$G175-$H175))</x:f>
      </x:c>
    </x:row>
    <x:row r="176">
      <x:c r="A176" s="13"/>
      <x:c r="B176" s="15"/>
      <x:c r="C176" s="13"/>
      <x:c r="D176" s="7"/>
      <x:c r="E176" s="7"/>
      <x:c r="F176" s="15"/>
      <x:c r="G176" s="16"/>
      <x:c r="H176" s="9"/>
      <x:c r="I176" s="9"/>
      <x:c r="J176" s="7"/>
      <x:c r="K176" s="7"/>
      <x:c r="L176" s="11"/>
      <x:c r="M176" s="11"/>
      <x:c r="N176" s="8"/>
      <x:c r="O176" s="7"/>
      <x:c r="P176" s="9" t="str">
        <x:f>IF($A176="","",MAX(0,$F176*$G176-$H176))</x:f>
      </x:c>
    </x:row>
    <x:row r="177">
      <x:c r="A177" s="13"/>
      <x:c r="B177" s="15"/>
      <x:c r="C177" s="13"/>
      <x:c r="D177" s="7"/>
      <x:c r="E177" s="7"/>
      <x:c r="F177" s="15"/>
      <x:c r="G177" s="16"/>
      <x:c r="H177" s="9"/>
      <x:c r="I177" s="9"/>
      <x:c r="J177" s="7"/>
      <x:c r="K177" s="7"/>
      <x:c r="L177" s="11"/>
      <x:c r="M177" s="11"/>
      <x:c r="N177" s="8"/>
      <x:c r="O177" s="7"/>
      <x:c r="P177" s="9" t="str">
        <x:f>IF($A177="","",MAX(0,$F177*$G177-$H177))</x:f>
      </x:c>
    </x:row>
    <x:row r="178">
      <x:c r="A178" s="13"/>
      <x:c r="B178" s="15"/>
      <x:c r="C178" s="13"/>
      <x:c r="D178" s="7"/>
      <x:c r="E178" s="7"/>
      <x:c r="F178" s="15"/>
      <x:c r="G178" s="16"/>
      <x:c r="H178" s="9"/>
      <x:c r="I178" s="9"/>
      <x:c r="J178" s="7"/>
      <x:c r="K178" s="7"/>
      <x:c r="L178" s="11"/>
      <x:c r="M178" s="11"/>
      <x:c r="N178" s="8"/>
      <x:c r="O178" s="7"/>
      <x:c r="P178" s="9" t="str">
        <x:f>IF($A178="","",MAX(0,$F178*$G178-$H178))</x:f>
      </x:c>
    </x:row>
    <x:row r="179">
      <x:c r="A179" s="13"/>
      <x:c r="B179" s="15"/>
      <x:c r="C179" s="13"/>
      <x:c r="D179" s="7"/>
      <x:c r="E179" s="7"/>
      <x:c r="F179" s="15"/>
      <x:c r="G179" s="16"/>
      <x:c r="H179" s="9"/>
      <x:c r="I179" s="9"/>
      <x:c r="J179" s="7"/>
      <x:c r="K179" s="7"/>
      <x:c r="L179" s="11"/>
      <x:c r="M179" s="11"/>
      <x:c r="N179" s="8"/>
      <x:c r="O179" s="7"/>
      <x:c r="P179" s="9" t="str">
        <x:f>IF($A179="","",MAX(0,$F179*$G179-$H179))</x:f>
      </x:c>
    </x:row>
    <x:row r="180">
      <x:c r="A180" s="13"/>
      <x:c r="B180" s="15"/>
      <x:c r="C180" s="13"/>
      <x:c r="D180" s="7"/>
      <x:c r="E180" s="7"/>
      <x:c r="F180" s="15"/>
      <x:c r="G180" s="16"/>
      <x:c r="H180" s="9"/>
      <x:c r="I180" s="9"/>
      <x:c r="J180" s="7"/>
      <x:c r="K180" s="7"/>
      <x:c r="L180" s="11"/>
      <x:c r="M180" s="11"/>
      <x:c r="N180" s="8"/>
      <x:c r="O180" s="7"/>
      <x:c r="P180" s="9" t="str">
        <x:f>IF($A180="","",MAX(0,$F180*$G180-$H180))</x:f>
      </x:c>
    </x:row>
    <x:row r="181">
      <x:c r="A181" s="13"/>
      <x:c r="B181" s="15"/>
      <x:c r="C181" s="13"/>
      <x:c r="D181" s="7"/>
      <x:c r="E181" s="7"/>
      <x:c r="F181" s="15"/>
      <x:c r="G181" s="16"/>
      <x:c r="H181" s="9"/>
      <x:c r="I181" s="9"/>
      <x:c r="J181" s="7"/>
      <x:c r="K181" s="7"/>
      <x:c r="L181" s="11"/>
      <x:c r="M181" s="11"/>
      <x:c r="N181" s="8"/>
      <x:c r="O181" s="7"/>
      <x:c r="P181" s="9" t="str">
        <x:f>IF($A181="","",MAX(0,$F181*$G181-$H181))</x:f>
      </x:c>
    </x:row>
    <x:row r="182">
      <x:c r="A182" s="13"/>
      <x:c r="B182" s="15"/>
      <x:c r="C182" s="13"/>
      <x:c r="D182" s="7"/>
      <x:c r="E182" s="7"/>
      <x:c r="F182" s="15"/>
      <x:c r="G182" s="16"/>
      <x:c r="H182" s="9"/>
      <x:c r="I182" s="9"/>
      <x:c r="J182" s="7"/>
      <x:c r="K182" s="7"/>
      <x:c r="L182" s="11"/>
      <x:c r="M182" s="11"/>
      <x:c r="N182" s="8"/>
      <x:c r="O182" s="7"/>
      <x:c r="P182" s="9" t="str">
        <x:f>IF($A182="","",MAX(0,$F182*$G182-$H182))</x:f>
      </x:c>
    </x:row>
    <x:row r="183">
      <x:c r="A183" s="13"/>
      <x:c r="B183" s="15"/>
      <x:c r="C183" s="13"/>
      <x:c r="D183" s="7"/>
      <x:c r="E183" s="7"/>
      <x:c r="F183" s="15"/>
      <x:c r="G183" s="16"/>
      <x:c r="H183" s="9"/>
      <x:c r="I183" s="9"/>
      <x:c r="J183" s="7"/>
      <x:c r="K183" s="7"/>
      <x:c r="L183" s="11"/>
      <x:c r="M183" s="11"/>
      <x:c r="N183" s="8"/>
      <x:c r="O183" s="7"/>
      <x:c r="P183" s="9" t="str">
        <x:f>IF($A183="","",MAX(0,$F183*$G183-$H183))</x:f>
      </x:c>
    </x:row>
    <x:row r="184">
      <x:c r="A184" s="13"/>
      <x:c r="B184" s="15"/>
      <x:c r="C184" s="13"/>
      <x:c r="D184" s="7"/>
      <x:c r="E184" s="7"/>
      <x:c r="F184" s="15"/>
      <x:c r="G184" s="16"/>
      <x:c r="H184" s="9"/>
      <x:c r="I184" s="9"/>
      <x:c r="J184" s="7"/>
      <x:c r="K184" s="7"/>
      <x:c r="L184" s="11"/>
      <x:c r="M184" s="11"/>
      <x:c r="N184" s="8"/>
      <x:c r="O184" s="7"/>
      <x:c r="P184" s="9" t="str">
        <x:f>IF($A184="","",MAX(0,$F184*$G184-$H184))</x:f>
      </x:c>
    </x:row>
    <x:row r="185">
      <x:c r="A185" s="13"/>
      <x:c r="B185" s="15"/>
      <x:c r="C185" s="13"/>
      <x:c r="D185" s="7"/>
      <x:c r="E185" s="7"/>
      <x:c r="F185" s="15"/>
      <x:c r="G185" s="16"/>
      <x:c r="H185" s="9"/>
      <x:c r="I185" s="9"/>
      <x:c r="J185" s="7"/>
      <x:c r="K185" s="7"/>
      <x:c r="L185" s="11"/>
      <x:c r="M185" s="11"/>
      <x:c r="N185" s="8"/>
      <x:c r="O185" s="7"/>
      <x:c r="P185" s="9" t="str">
        <x:f>IF($A185="","",MAX(0,$F185*$G185-$H185))</x:f>
      </x:c>
    </x:row>
    <x:row r="186">
      <x:c r="A186" s="13"/>
      <x:c r="B186" s="15"/>
      <x:c r="C186" s="13"/>
      <x:c r="D186" s="7"/>
      <x:c r="E186" s="7"/>
      <x:c r="F186" s="15"/>
      <x:c r="G186" s="16"/>
      <x:c r="H186" s="9"/>
      <x:c r="I186" s="9"/>
      <x:c r="J186" s="7"/>
      <x:c r="K186" s="7"/>
      <x:c r="L186" s="11"/>
      <x:c r="M186" s="11"/>
      <x:c r="N186" s="8"/>
      <x:c r="O186" s="7"/>
      <x:c r="P186" s="9" t="str">
        <x:f>IF($A186="","",MAX(0,$F186*$G186-$H186))</x:f>
      </x:c>
    </x:row>
    <x:row r="187">
      <x:c r="A187" s="13"/>
      <x:c r="B187" s="15"/>
      <x:c r="C187" s="13"/>
      <x:c r="D187" s="7"/>
      <x:c r="E187" s="7"/>
      <x:c r="F187" s="15"/>
      <x:c r="G187" s="16"/>
      <x:c r="H187" s="9"/>
      <x:c r="I187" s="9"/>
      <x:c r="J187" s="7"/>
      <x:c r="K187" s="7"/>
      <x:c r="L187" s="11"/>
      <x:c r="M187" s="11"/>
      <x:c r="N187" s="8"/>
      <x:c r="O187" s="7"/>
      <x:c r="P187" s="9" t="str">
        <x:f>IF($A187="","",MAX(0,$F187*$G187-$H187))</x:f>
      </x:c>
    </x:row>
    <x:row r="188">
      <x:c r="A188" s="13"/>
      <x:c r="B188" s="15"/>
      <x:c r="C188" s="13"/>
      <x:c r="D188" s="7"/>
      <x:c r="E188" s="7"/>
      <x:c r="F188" s="15"/>
      <x:c r="G188" s="16"/>
      <x:c r="H188" s="9"/>
      <x:c r="I188" s="9"/>
      <x:c r="J188" s="7"/>
      <x:c r="K188" s="7"/>
      <x:c r="L188" s="11"/>
      <x:c r="M188" s="11"/>
      <x:c r="N188" s="8"/>
      <x:c r="O188" s="7"/>
      <x:c r="P188" s="9" t="str">
        <x:f>IF($A188="","",MAX(0,$F188*$G188-$H188))</x:f>
      </x:c>
    </x:row>
    <x:row r="189">
      <x:c r="A189" s="13"/>
      <x:c r="B189" s="15"/>
      <x:c r="C189" s="13"/>
      <x:c r="D189" s="7"/>
      <x:c r="E189" s="7"/>
      <x:c r="F189" s="15"/>
      <x:c r="G189" s="16"/>
      <x:c r="H189" s="9"/>
      <x:c r="I189" s="9"/>
      <x:c r="J189" s="7"/>
      <x:c r="K189" s="7"/>
      <x:c r="L189" s="11"/>
      <x:c r="M189" s="11"/>
      <x:c r="N189" s="8"/>
      <x:c r="O189" s="7"/>
      <x:c r="P189" s="9" t="str">
        <x:f>IF($A189="","",MAX(0,$F189*$G189-$H189))</x:f>
      </x:c>
    </x:row>
    <x:row r="190">
      <x:c r="A190" s="13"/>
      <x:c r="B190" s="15"/>
      <x:c r="C190" s="13"/>
      <x:c r="D190" s="7"/>
      <x:c r="E190" s="7"/>
      <x:c r="F190" s="15"/>
      <x:c r="G190" s="16"/>
      <x:c r="H190" s="9"/>
      <x:c r="I190" s="9"/>
      <x:c r="J190" s="7"/>
      <x:c r="K190" s="7"/>
      <x:c r="L190" s="11"/>
      <x:c r="M190" s="11"/>
      <x:c r="N190" s="8"/>
      <x:c r="O190" s="7"/>
      <x:c r="P190" s="9" t="str">
        <x:f>IF($A190="","",MAX(0,$F190*$G190-$H190))</x:f>
      </x:c>
    </x:row>
    <x:row r="191">
      <x:c r="A191" s="13"/>
      <x:c r="B191" s="15"/>
      <x:c r="C191" s="13"/>
      <x:c r="D191" s="7"/>
      <x:c r="E191" s="7"/>
      <x:c r="F191" s="15"/>
      <x:c r="G191" s="16"/>
      <x:c r="H191" s="9"/>
      <x:c r="I191" s="9"/>
      <x:c r="J191" s="7"/>
      <x:c r="K191" s="7"/>
      <x:c r="L191" s="11"/>
      <x:c r="M191" s="11"/>
      <x:c r="N191" s="8"/>
      <x:c r="O191" s="7"/>
      <x:c r="P191" s="9" t="str">
        <x:f>IF($A191="","",MAX(0,$F191*$G191-$H191))</x:f>
      </x:c>
    </x:row>
    <x:row r="192">
      <x:c r="A192" s="13"/>
      <x:c r="B192" s="15"/>
      <x:c r="C192" s="13"/>
      <x:c r="D192" s="7"/>
      <x:c r="E192" s="7"/>
      <x:c r="F192" s="15"/>
      <x:c r="G192" s="16"/>
      <x:c r="H192" s="9"/>
      <x:c r="I192" s="9"/>
      <x:c r="J192" s="7"/>
      <x:c r="K192" s="7"/>
      <x:c r="L192" s="11"/>
      <x:c r="M192" s="11"/>
      <x:c r="N192" s="8"/>
      <x:c r="O192" s="7"/>
      <x:c r="P192" s="9" t="str">
        <x:f>IF($A192="","",MAX(0,$F192*$G192-$H192))</x:f>
      </x:c>
    </x:row>
    <x:row r="193">
      <x:c r="A193" s="13"/>
      <x:c r="B193" s="15"/>
      <x:c r="C193" s="13"/>
      <x:c r="D193" s="7"/>
      <x:c r="E193" s="7"/>
      <x:c r="F193" s="15"/>
      <x:c r="G193" s="16"/>
      <x:c r="H193" s="9"/>
      <x:c r="I193" s="9"/>
      <x:c r="J193" s="7"/>
      <x:c r="K193" s="7"/>
      <x:c r="L193" s="11"/>
      <x:c r="M193" s="11"/>
      <x:c r="N193" s="8"/>
      <x:c r="O193" s="7"/>
      <x:c r="P193" s="9" t="str">
        <x:f>IF($A193="","",MAX(0,$F193*$G193-$H193))</x:f>
      </x:c>
    </x:row>
    <x:row r="194">
      <x:c r="A194" s="13"/>
      <x:c r="B194" s="15"/>
      <x:c r="C194" s="13"/>
      <x:c r="D194" s="7"/>
      <x:c r="E194" s="7"/>
      <x:c r="F194" s="15"/>
      <x:c r="G194" s="16"/>
      <x:c r="H194" s="9"/>
      <x:c r="I194" s="9"/>
      <x:c r="J194" s="7"/>
      <x:c r="K194" s="7"/>
      <x:c r="L194" s="11"/>
      <x:c r="M194" s="11"/>
      <x:c r="N194" s="8"/>
      <x:c r="O194" s="7"/>
      <x:c r="P194" s="9" t="str">
        <x:f>IF($A194="","",MAX(0,$F194*$G194-$H194))</x:f>
      </x:c>
    </x:row>
    <x:row r="195">
      <x:c r="A195" s="13"/>
      <x:c r="B195" s="15"/>
      <x:c r="C195" s="13"/>
      <x:c r="D195" s="7"/>
      <x:c r="E195" s="7"/>
      <x:c r="F195" s="15"/>
      <x:c r="G195" s="16"/>
      <x:c r="H195" s="9"/>
      <x:c r="I195" s="9"/>
      <x:c r="J195" s="7"/>
      <x:c r="K195" s="7"/>
      <x:c r="L195" s="11"/>
      <x:c r="M195" s="11"/>
      <x:c r="N195" s="8"/>
      <x:c r="O195" s="7"/>
      <x:c r="P195" s="9" t="str">
        <x:f>IF($A195="","",MAX(0,$F195*$G195-$H195))</x:f>
      </x:c>
    </x:row>
    <x:row r="196">
      <x:c r="A196" s="13"/>
      <x:c r="B196" s="15"/>
      <x:c r="C196" s="13"/>
      <x:c r="D196" s="7"/>
      <x:c r="E196" s="7"/>
      <x:c r="F196" s="15"/>
      <x:c r="G196" s="16"/>
      <x:c r="H196" s="9"/>
      <x:c r="I196" s="9"/>
      <x:c r="J196" s="7"/>
      <x:c r="K196" s="7"/>
      <x:c r="L196" s="11"/>
      <x:c r="M196" s="11"/>
      <x:c r="N196" s="8"/>
      <x:c r="O196" s="7"/>
      <x:c r="P196" s="9" t="str">
        <x:f>IF($A196="","",MAX(0,$F196*$G196-$H196))</x:f>
      </x:c>
    </x:row>
    <x:row r="197">
      <x:c r="A197" s="13"/>
      <x:c r="B197" s="15"/>
      <x:c r="C197" s="13"/>
      <x:c r="D197" s="7"/>
      <x:c r="E197" s="7"/>
      <x:c r="F197" s="15"/>
      <x:c r="G197" s="16"/>
      <x:c r="H197" s="9"/>
      <x:c r="I197" s="9"/>
      <x:c r="J197" s="7"/>
      <x:c r="K197" s="7"/>
      <x:c r="L197" s="11"/>
      <x:c r="M197" s="11"/>
      <x:c r="N197" s="8"/>
      <x:c r="O197" s="7"/>
      <x:c r="P197" s="9" t="str">
        <x:f>IF($A197="","",MAX(0,$F197*$G197-$H197))</x:f>
      </x:c>
    </x:row>
    <x:row r="198">
      <x:c r="A198" s="13"/>
      <x:c r="B198" s="15"/>
      <x:c r="C198" s="13"/>
      <x:c r="D198" s="7"/>
      <x:c r="E198" s="7"/>
      <x:c r="F198" s="15"/>
      <x:c r="G198" s="16"/>
      <x:c r="H198" s="9"/>
      <x:c r="I198" s="9"/>
      <x:c r="J198" s="7"/>
      <x:c r="K198" s="7"/>
      <x:c r="L198" s="11"/>
      <x:c r="M198" s="11"/>
      <x:c r="N198" s="8"/>
      <x:c r="O198" s="7"/>
      <x:c r="P198" s="9" t="str">
        <x:f>IF($A198="","",MAX(0,$F198*$G198-$H198))</x:f>
      </x:c>
    </x:row>
    <x:row r="199">
      <x:c r="A199" s="13"/>
      <x:c r="B199" s="15"/>
      <x:c r="C199" s="13"/>
      <x:c r="D199" s="7"/>
      <x:c r="E199" s="7"/>
      <x:c r="F199" s="15"/>
      <x:c r="G199" s="16"/>
      <x:c r="H199" s="9"/>
      <x:c r="I199" s="9"/>
      <x:c r="J199" s="7"/>
      <x:c r="K199" s="7"/>
      <x:c r="L199" s="11"/>
      <x:c r="M199" s="11"/>
      <x:c r="N199" s="8"/>
      <x:c r="O199" s="7"/>
      <x:c r="P199" s="9" t="str">
        <x:f>IF($A199="","",MAX(0,$F199*$G199-$H199))</x:f>
      </x:c>
    </x:row>
    <x:row r="200">
      <x:c r="A200" s="13"/>
      <x:c r="B200" s="15"/>
      <x:c r="C200" s="13"/>
      <x:c r="D200" s="7"/>
      <x:c r="E200" s="7"/>
      <x:c r="F200" s="15"/>
      <x:c r="G200" s="16"/>
      <x:c r="H200" s="9"/>
      <x:c r="I200" s="9"/>
      <x:c r="J200" s="7"/>
      <x:c r="K200" s="7"/>
      <x:c r="L200" s="11"/>
      <x:c r="M200" s="11"/>
      <x:c r="N200" s="8"/>
      <x:c r="O200" s="7"/>
      <x:c r="P200" s="9" t="str">
        <x:f>IF($A200="","",MAX(0,$F200*$G200-$H200))</x:f>
      </x:c>
    </x:row>
    <x:row r="201">
      <x:c r="A201" s="13"/>
      <x:c r="B201" s="15"/>
      <x:c r="C201" s="13"/>
      <x:c r="D201" s="7"/>
      <x:c r="E201" s="7"/>
      <x:c r="F201" s="15"/>
      <x:c r="G201" s="16"/>
      <x:c r="H201" s="9"/>
      <x:c r="I201" s="9"/>
      <x:c r="J201" s="7"/>
      <x:c r="K201" s="7"/>
      <x:c r="L201" s="11"/>
      <x:c r="M201" s="11"/>
      <x:c r="N201" s="8"/>
      <x:c r="O201" s="7"/>
      <x:c r="P201" s="9" t="str">
        <x:f>IF($A201="","",MAX(0,$F201*$G201-$H201))</x:f>
      </x:c>
    </x:row>
    <x:row r="202">
      <x:c r="A202" s="13"/>
      <x:c r="B202" s="15"/>
      <x:c r="C202" s="13"/>
      <x:c r="D202" s="7"/>
      <x:c r="E202" s="7"/>
      <x:c r="F202" s="15"/>
      <x:c r="G202" s="16"/>
      <x:c r="H202" s="9"/>
      <x:c r="I202" s="9"/>
      <x:c r="J202" s="7"/>
      <x:c r="K202" s="7"/>
      <x:c r="L202" s="11"/>
      <x:c r="M202" s="11"/>
      <x:c r="N202" s="8"/>
      <x:c r="O202" s="7"/>
      <x:c r="P202" s="9" t="str">
        <x:f>IF($A202="","",MAX(0,$F202*$G202-$H202))</x:f>
      </x:c>
    </x:row>
    <x:row r="203">
      <x:c r="A203" s="13"/>
      <x:c r="B203" s="15"/>
      <x:c r="C203" s="13"/>
      <x:c r="D203" s="7"/>
      <x:c r="E203" s="7"/>
      <x:c r="F203" s="15"/>
      <x:c r="G203" s="16"/>
      <x:c r="H203" s="9"/>
      <x:c r="I203" s="9"/>
      <x:c r="J203" s="7"/>
      <x:c r="K203" s="7"/>
      <x:c r="L203" s="11"/>
      <x:c r="M203" s="11"/>
      <x:c r="N203" s="8"/>
      <x:c r="O203" s="7"/>
      <x:c r="P203" s="9" t="str">
        <x:f>IF($A203="","",MAX(0,$F203*$G203-$H203))</x:f>
      </x:c>
    </x:row>
    <x:row r="204">
      <x:c r="A204" s="13"/>
      <x:c r="B204" s="15"/>
      <x:c r="C204" s="13"/>
      <x:c r="D204" s="7"/>
      <x:c r="E204" s="7"/>
      <x:c r="F204" s="15"/>
      <x:c r="G204" s="16"/>
      <x:c r="H204" s="9"/>
      <x:c r="I204" s="9"/>
      <x:c r="J204" s="7"/>
      <x:c r="K204" s="7"/>
      <x:c r="L204" s="11"/>
      <x:c r="M204" s="11"/>
      <x:c r="N204" s="8"/>
      <x:c r="O204" s="7"/>
      <x:c r="P204" s="9" t="str">
        <x:f>IF($A204="","",MAX(0,$F204*$G204-$H204))</x:f>
      </x:c>
    </x:row>
    <x:row r="205">
      <x:c r="A205" s="13"/>
      <x:c r="B205" s="15"/>
      <x:c r="C205" s="13"/>
      <x:c r="D205" s="7"/>
      <x:c r="E205" s="7"/>
      <x:c r="F205" s="15"/>
      <x:c r="G205" s="16"/>
      <x:c r="H205" s="9"/>
      <x:c r="I205" s="9"/>
      <x:c r="J205" s="7"/>
      <x:c r="K205" s="7"/>
      <x:c r="L205" s="11"/>
      <x:c r="M205" s="11"/>
      <x:c r="N205" s="8"/>
      <x:c r="O205" s="7"/>
      <x:c r="P205" s="9" t="str">
        <x:f>IF($A205="","",MAX(0,$F205*$G205-$H205))</x:f>
      </x:c>
    </x:row>
    <x:row r="206">
      <x:c r="A206" s="13"/>
      <x:c r="B206" s="15"/>
      <x:c r="C206" s="13"/>
      <x:c r="D206" s="7"/>
      <x:c r="E206" s="7"/>
      <x:c r="F206" s="15"/>
      <x:c r="G206" s="16"/>
      <x:c r="H206" s="9"/>
      <x:c r="I206" s="9"/>
      <x:c r="J206" s="7"/>
      <x:c r="K206" s="7"/>
      <x:c r="L206" s="11"/>
      <x:c r="M206" s="11"/>
      <x:c r="N206" s="8"/>
      <x:c r="O206" s="7"/>
      <x:c r="P206" s="9" t="str">
        <x:f>IF($A206="","",MAX(0,$F206*$G206-$H206))</x:f>
      </x:c>
    </x:row>
    <x:row r="207">
      <x:c r="A207" s="13"/>
      <x:c r="B207" s="15"/>
      <x:c r="C207" s="13"/>
      <x:c r="D207" s="7"/>
      <x:c r="E207" s="7"/>
      <x:c r="F207" s="15"/>
      <x:c r="G207" s="16"/>
      <x:c r="H207" s="9"/>
      <x:c r="I207" s="9"/>
      <x:c r="J207" s="7"/>
      <x:c r="K207" s="7"/>
      <x:c r="L207" s="11"/>
      <x:c r="M207" s="11"/>
      <x:c r="N207" s="8"/>
      <x:c r="O207" s="7"/>
      <x:c r="P207" s="9" t="str">
        <x:f>IF($A207="","",MAX(0,$F207*$G207-$H207))</x:f>
      </x:c>
    </x:row>
    <x:row r="208">
      <x:c r="A208" s="13"/>
      <x:c r="B208" s="15"/>
      <x:c r="C208" s="13"/>
      <x:c r="D208" s="7"/>
      <x:c r="E208" s="7"/>
      <x:c r="F208" s="15"/>
      <x:c r="G208" s="16"/>
      <x:c r="H208" s="9"/>
      <x:c r="I208" s="9"/>
      <x:c r="J208" s="7"/>
      <x:c r="K208" s="7"/>
      <x:c r="L208" s="11"/>
      <x:c r="M208" s="11"/>
      <x:c r="N208" s="8"/>
      <x:c r="O208" s="7"/>
      <x:c r="P208" s="9" t="str">
        <x:f>IF($A208="","",MAX(0,$F208*$G208-$H208))</x:f>
      </x:c>
    </x:row>
    <x:row r="209">
      <x:c r="A209" s="13"/>
      <x:c r="B209" s="15"/>
      <x:c r="C209" s="13"/>
      <x:c r="D209" s="7"/>
      <x:c r="E209" s="7"/>
      <x:c r="F209" s="15"/>
      <x:c r="G209" s="16"/>
      <x:c r="H209" s="9"/>
      <x:c r="I209" s="9"/>
      <x:c r="J209" s="7"/>
      <x:c r="K209" s="7"/>
      <x:c r="L209" s="11"/>
      <x:c r="M209" s="11"/>
      <x:c r="N209" s="8"/>
      <x:c r="O209" s="7"/>
      <x:c r="P209" s="9" t="str">
        <x:f>IF($A209="","",MAX(0,$F209*$G209-$H209))</x:f>
      </x:c>
    </x:row>
    <x:row r="210">
      <x:c r="A210" s="13"/>
      <x:c r="B210" s="15"/>
      <x:c r="C210" s="13"/>
      <x:c r="D210" s="7"/>
      <x:c r="E210" s="7"/>
      <x:c r="F210" s="15"/>
      <x:c r="G210" s="16"/>
      <x:c r="H210" s="9"/>
      <x:c r="I210" s="9"/>
      <x:c r="J210" s="7"/>
      <x:c r="K210" s="7"/>
      <x:c r="L210" s="11"/>
      <x:c r="M210" s="11"/>
      <x:c r="N210" s="8"/>
      <x:c r="O210" s="7"/>
      <x:c r="P210" s="9" t="str">
        <x:f>IF($A210="","",MAX(0,$F210*$G210-$H210))</x:f>
      </x:c>
    </x:row>
    <x:row r="211">
      <x:c r="A211" s="13"/>
      <x:c r="B211" s="15"/>
      <x:c r="C211" s="13"/>
      <x:c r="D211" s="7"/>
      <x:c r="E211" s="7"/>
      <x:c r="F211" s="15"/>
      <x:c r="G211" s="16"/>
      <x:c r="H211" s="9"/>
      <x:c r="I211" s="9"/>
      <x:c r="J211" s="7"/>
      <x:c r="K211" s="7"/>
      <x:c r="L211" s="11"/>
      <x:c r="M211" s="11"/>
      <x:c r="N211" s="8"/>
      <x:c r="O211" s="7"/>
      <x:c r="P211" s="9" t="str">
        <x:f>IF($A211="","",MAX(0,$F211*$G211-$H211))</x:f>
      </x:c>
    </x:row>
    <x:row r="212">
      <x:c r="A212" s="13"/>
      <x:c r="B212" s="15"/>
      <x:c r="C212" s="13"/>
      <x:c r="D212" s="7"/>
      <x:c r="E212" s="7"/>
      <x:c r="F212" s="15"/>
      <x:c r="G212" s="16"/>
      <x:c r="H212" s="9"/>
      <x:c r="I212" s="9"/>
      <x:c r="J212" s="7"/>
      <x:c r="K212" s="7"/>
      <x:c r="L212" s="11"/>
      <x:c r="M212" s="11"/>
      <x:c r="N212" s="8"/>
      <x:c r="O212" s="7"/>
      <x:c r="P212" s="9" t="str">
        <x:f>IF($A212="","",MAX(0,$F212*$G212-$H212))</x:f>
      </x:c>
    </x:row>
    <x:row r="213">
      <x:c r="A213" s="13"/>
      <x:c r="B213" s="15"/>
      <x:c r="C213" s="13"/>
      <x:c r="D213" s="7"/>
      <x:c r="E213" s="7"/>
      <x:c r="F213" s="15"/>
      <x:c r="G213" s="16"/>
      <x:c r="H213" s="9"/>
      <x:c r="I213" s="9"/>
      <x:c r="J213" s="7"/>
      <x:c r="K213" s="7"/>
      <x:c r="L213" s="11"/>
      <x:c r="M213" s="11"/>
      <x:c r="N213" s="8"/>
      <x:c r="O213" s="7"/>
      <x:c r="P213" s="9" t="str">
        <x:f>IF($A213="","",MAX(0,$F213*$G213-$H213))</x:f>
      </x:c>
    </x:row>
    <x:row r="214">
      <x:c r="A214" s="13"/>
      <x:c r="B214" s="15"/>
      <x:c r="C214" s="13"/>
      <x:c r="D214" s="7"/>
      <x:c r="E214" s="7"/>
      <x:c r="F214" s="15"/>
      <x:c r="G214" s="16"/>
      <x:c r="H214" s="9"/>
      <x:c r="I214" s="9"/>
      <x:c r="J214" s="7"/>
      <x:c r="K214" s="7"/>
      <x:c r="L214" s="11"/>
      <x:c r="M214" s="11"/>
      <x:c r="N214" s="8"/>
      <x:c r="O214" s="7"/>
      <x:c r="P214" s="9" t="str">
        <x:f>IF($A214="","",MAX(0,$F214*$G214-$H214))</x:f>
      </x:c>
    </x:row>
    <x:row r="215">
      <x:c r="A215" s="13"/>
      <x:c r="B215" s="15"/>
      <x:c r="C215" s="13"/>
      <x:c r="D215" s="7"/>
      <x:c r="E215" s="7"/>
      <x:c r="F215" s="15"/>
      <x:c r="G215" s="16"/>
      <x:c r="H215" s="9"/>
      <x:c r="I215" s="9"/>
      <x:c r="J215" s="7"/>
      <x:c r="K215" s="7"/>
      <x:c r="L215" s="11"/>
      <x:c r="M215" s="11"/>
      <x:c r="N215" s="8"/>
      <x:c r="O215" s="7"/>
      <x:c r="P215" s="9" t="str">
        <x:f>IF($A215="","",MAX(0,$F215*$G215-$H215))</x:f>
      </x:c>
    </x:row>
    <x:row r="216">
      <x:c r="A216" s="13"/>
      <x:c r="B216" s="15"/>
      <x:c r="C216" s="13"/>
      <x:c r="D216" s="7"/>
      <x:c r="E216" s="7"/>
      <x:c r="F216" s="15"/>
      <x:c r="G216" s="16"/>
      <x:c r="H216" s="9"/>
      <x:c r="I216" s="9"/>
      <x:c r="J216" s="7"/>
      <x:c r="K216" s="7"/>
      <x:c r="L216" s="11"/>
      <x:c r="M216" s="11"/>
      <x:c r="N216" s="8"/>
      <x:c r="O216" s="7"/>
      <x:c r="P216" s="9" t="str">
        <x:f>IF($A216="","",MAX(0,$F216*$G216-$H216))</x:f>
      </x:c>
    </x:row>
    <x:row r="217">
      <x:c r="A217" s="13"/>
      <x:c r="B217" s="15"/>
      <x:c r="C217" s="13"/>
      <x:c r="D217" s="7"/>
      <x:c r="E217" s="7"/>
      <x:c r="F217" s="15"/>
      <x:c r="G217" s="16"/>
      <x:c r="H217" s="9"/>
      <x:c r="I217" s="9"/>
      <x:c r="J217" s="7"/>
      <x:c r="K217" s="7"/>
      <x:c r="L217" s="11"/>
      <x:c r="M217" s="11"/>
      <x:c r="N217" s="8"/>
      <x:c r="O217" s="7"/>
      <x:c r="P217" s="9" t="str">
        <x:f>IF($A217="","",MAX(0,$F217*$G217-$H217))</x:f>
      </x:c>
    </x:row>
    <x:row r="218">
      <x:c r="A218" s="13"/>
      <x:c r="B218" s="15"/>
      <x:c r="C218" s="13"/>
      <x:c r="D218" s="7"/>
      <x:c r="E218" s="7"/>
      <x:c r="F218" s="15"/>
      <x:c r="G218" s="16"/>
      <x:c r="H218" s="9"/>
      <x:c r="I218" s="9"/>
      <x:c r="J218" s="7"/>
      <x:c r="K218" s="7"/>
      <x:c r="L218" s="11"/>
      <x:c r="M218" s="11"/>
      <x:c r="N218" s="8"/>
      <x:c r="O218" s="7"/>
      <x:c r="P218" s="9" t="str">
        <x:f>IF($A218="","",MAX(0,$F218*$G218-$H218))</x:f>
      </x:c>
    </x:row>
    <x:row r="219">
      <x:c r="A219" s="13"/>
      <x:c r="B219" s="15"/>
      <x:c r="C219" s="13"/>
      <x:c r="D219" s="7"/>
      <x:c r="E219" s="7"/>
      <x:c r="F219" s="15"/>
      <x:c r="G219" s="16"/>
      <x:c r="H219" s="9"/>
      <x:c r="I219" s="9"/>
      <x:c r="J219" s="7"/>
      <x:c r="K219" s="7"/>
      <x:c r="L219" s="11"/>
      <x:c r="M219" s="11"/>
      <x:c r="N219" s="8"/>
      <x:c r="O219" s="7"/>
      <x:c r="P219" s="9" t="str">
        <x:f>IF($A219="","",MAX(0,$F219*$G219-$H219))</x:f>
      </x:c>
    </x:row>
    <x:row r="220">
      <x:c r="A220" s="13"/>
      <x:c r="B220" s="15"/>
      <x:c r="C220" s="13"/>
      <x:c r="D220" s="7"/>
      <x:c r="E220" s="7"/>
      <x:c r="F220" s="15"/>
      <x:c r="G220" s="16"/>
      <x:c r="H220" s="9"/>
      <x:c r="I220" s="9"/>
      <x:c r="J220" s="7"/>
      <x:c r="K220" s="7"/>
      <x:c r="L220" s="11"/>
      <x:c r="M220" s="11"/>
      <x:c r="N220" s="8"/>
      <x:c r="O220" s="7"/>
      <x:c r="P220" s="9" t="str">
        <x:f>IF($A220="","",MAX(0,$F220*$G220-$H220))</x:f>
      </x:c>
    </x:row>
    <x:row r="221">
      <x:c r="A221" s="13"/>
      <x:c r="B221" s="15"/>
      <x:c r="C221" s="13"/>
      <x:c r="D221" s="7"/>
      <x:c r="E221" s="7"/>
      <x:c r="F221" s="15"/>
      <x:c r="G221" s="16"/>
      <x:c r="H221" s="9"/>
      <x:c r="I221" s="9"/>
      <x:c r="J221" s="7"/>
      <x:c r="K221" s="7"/>
      <x:c r="L221" s="11"/>
      <x:c r="M221" s="11"/>
      <x:c r="N221" s="8"/>
      <x:c r="O221" s="7"/>
      <x:c r="P221" s="9" t="str">
        <x:f>IF($A221="","",MAX(0,$F221*$G221-$H221))</x:f>
      </x:c>
    </x:row>
    <x:row r="222">
      <x:c r="A222" s="13"/>
      <x:c r="B222" s="15"/>
      <x:c r="C222" s="13"/>
      <x:c r="D222" s="7"/>
      <x:c r="E222" s="7"/>
      <x:c r="F222" s="15"/>
      <x:c r="G222" s="16"/>
      <x:c r="H222" s="9"/>
      <x:c r="I222" s="9"/>
      <x:c r="J222" s="7"/>
      <x:c r="K222" s="7"/>
      <x:c r="L222" s="11"/>
      <x:c r="M222" s="11"/>
      <x:c r="N222" s="8"/>
      <x:c r="O222" s="7"/>
      <x:c r="P222" s="9" t="str">
        <x:f>IF($A222="","",MAX(0,$F222*$G222-$H222))</x:f>
      </x:c>
    </x:row>
    <x:row r="223">
      <x:c r="A223" s="13"/>
      <x:c r="B223" s="15"/>
      <x:c r="C223" s="13"/>
      <x:c r="D223" s="7"/>
      <x:c r="E223" s="7"/>
      <x:c r="F223" s="15"/>
      <x:c r="G223" s="16"/>
      <x:c r="H223" s="9"/>
      <x:c r="I223" s="9"/>
      <x:c r="J223" s="7"/>
      <x:c r="K223" s="7"/>
      <x:c r="L223" s="11"/>
      <x:c r="M223" s="11"/>
      <x:c r="N223" s="8"/>
      <x:c r="O223" s="7"/>
      <x:c r="P223" s="9" t="str">
        <x:f>IF($A223="","",MAX(0,$F223*$G223-$H223))</x:f>
      </x:c>
    </x:row>
    <x:row r="224">
      <x:c r="A224" s="13"/>
      <x:c r="B224" s="15"/>
      <x:c r="C224" s="13"/>
      <x:c r="D224" s="7"/>
      <x:c r="E224" s="7"/>
      <x:c r="F224" s="15"/>
      <x:c r="G224" s="16"/>
      <x:c r="H224" s="9"/>
      <x:c r="I224" s="9"/>
      <x:c r="J224" s="7"/>
      <x:c r="K224" s="7"/>
      <x:c r="L224" s="11"/>
      <x:c r="M224" s="11"/>
      <x:c r="N224" s="8"/>
      <x:c r="O224" s="7"/>
      <x:c r="P224" s="9" t="str">
        <x:f>IF($A224="","",MAX(0,$F224*$G224-$H224))</x:f>
      </x:c>
    </x:row>
    <x:row r="225">
      <x:c r="A225" s="13"/>
      <x:c r="B225" s="15"/>
      <x:c r="C225" s="13"/>
      <x:c r="D225" s="7"/>
      <x:c r="E225" s="7"/>
      <x:c r="F225" s="15"/>
      <x:c r="G225" s="16"/>
      <x:c r="H225" s="9"/>
      <x:c r="I225" s="9"/>
      <x:c r="J225" s="7"/>
      <x:c r="K225" s="7"/>
      <x:c r="L225" s="11"/>
      <x:c r="M225" s="11"/>
      <x:c r="N225" s="8"/>
      <x:c r="O225" s="7"/>
      <x:c r="P225" s="9" t="str">
        <x:f>IF($A225="","",MAX(0,$F225*$G225-$H225))</x:f>
      </x:c>
    </x:row>
    <x:row r="226">
      <x:c r="A226" s="13"/>
      <x:c r="B226" s="15"/>
      <x:c r="C226" s="13"/>
      <x:c r="D226" s="7"/>
      <x:c r="E226" s="7"/>
      <x:c r="F226" s="15"/>
      <x:c r="G226" s="16"/>
      <x:c r="H226" s="9"/>
      <x:c r="I226" s="9"/>
      <x:c r="J226" s="7"/>
      <x:c r="K226" s="7"/>
      <x:c r="L226" s="11"/>
      <x:c r="M226" s="11"/>
      <x:c r="N226" s="8"/>
      <x:c r="O226" s="7"/>
      <x:c r="P226" s="9" t="str">
        <x:f>IF($A226="","",MAX(0,$F226*$G226-$H226))</x:f>
      </x:c>
    </x:row>
    <x:row r="227">
      <x:c r="A227" s="13"/>
      <x:c r="B227" s="15"/>
      <x:c r="C227" s="13"/>
      <x:c r="D227" s="7"/>
      <x:c r="E227" s="7"/>
      <x:c r="F227" s="15"/>
      <x:c r="G227" s="16"/>
      <x:c r="H227" s="9"/>
      <x:c r="I227" s="9"/>
      <x:c r="J227" s="7"/>
      <x:c r="K227" s="7"/>
      <x:c r="L227" s="11"/>
      <x:c r="M227" s="11"/>
      <x:c r="N227" s="8"/>
      <x:c r="O227" s="7"/>
      <x:c r="P227" s="9" t="str">
        <x:f>IF($A227="","",MAX(0,$F227*$G227-$H227))</x:f>
      </x:c>
    </x:row>
    <x:row r="228">
      <x:c r="A228" s="13"/>
      <x:c r="B228" s="15"/>
      <x:c r="C228" s="13"/>
      <x:c r="D228" s="7"/>
      <x:c r="E228" s="7"/>
      <x:c r="F228" s="15"/>
      <x:c r="G228" s="16"/>
      <x:c r="H228" s="9"/>
      <x:c r="I228" s="9"/>
      <x:c r="J228" s="7"/>
      <x:c r="K228" s="7"/>
      <x:c r="L228" s="11"/>
      <x:c r="M228" s="11"/>
      <x:c r="N228" s="8"/>
      <x:c r="O228" s="7"/>
      <x:c r="P228" s="9" t="str">
        <x:f>IF($A228="","",MAX(0,$F228*$G228-$H228))</x:f>
      </x:c>
    </x:row>
    <x:row r="229">
      <x:c r="A229" s="13"/>
      <x:c r="B229" s="15"/>
      <x:c r="C229" s="13"/>
      <x:c r="D229" s="7"/>
      <x:c r="E229" s="7"/>
      <x:c r="F229" s="15"/>
      <x:c r="G229" s="16"/>
      <x:c r="H229" s="9"/>
      <x:c r="I229" s="9"/>
      <x:c r="J229" s="7"/>
      <x:c r="K229" s="7"/>
      <x:c r="L229" s="11"/>
      <x:c r="M229" s="11"/>
      <x:c r="N229" s="8"/>
      <x:c r="O229" s="7"/>
      <x:c r="P229" s="9" t="str">
        <x:f>IF($A229="","",MAX(0,$F229*$G229-$H229))</x:f>
      </x:c>
    </x:row>
    <x:row r="230">
      <x:c r="A230" s="13"/>
      <x:c r="B230" s="15"/>
      <x:c r="C230" s="13"/>
      <x:c r="D230" s="7"/>
      <x:c r="E230" s="7"/>
      <x:c r="F230" s="15"/>
      <x:c r="G230" s="16"/>
      <x:c r="H230" s="9"/>
      <x:c r="I230" s="9"/>
      <x:c r="J230" s="7"/>
      <x:c r="K230" s="7"/>
      <x:c r="L230" s="11"/>
      <x:c r="M230" s="11"/>
      <x:c r="N230" s="8"/>
      <x:c r="O230" s="7"/>
      <x:c r="P230" s="9" t="str">
        <x:f>IF($A230="","",MAX(0,$F230*$G230-$H230))</x:f>
      </x:c>
    </x:row>
    <x:row r="231">
      <x:c r="A231" s="13"/>
      <x:c r="B231" s="15"/>
      <x:c r="C231" s="13"/>
      <x:c r="D231" s="7"/>
      <x:c r="E231" s="7"/>
      <x:c r="F231" s="15"/>
      <x:c r="G231" s="16"/>
      <x:c r="H231" s="9"/>
      <x:c r="I231" s="9"/>
      <x:c r="J231" s="7"/>
      <x:c r="K231" s="7"/>
      <x:c r="L231" s="11"/>
      <x:c r="M231" s="11"/>
      <x:c r="N231" s="8"/>
      <x:c r="O231" s="7"/>
      <x:c r="P231" s="9" t="str">
        <x:f>IF($A231="","",MAX(0,$F231*$G231-$H231))</x:f>
      </x:c>
    </x:row>
    <x:row r="232">
      <x:c r="A232" s="13"/>
      <x:c r="B232" s="15"/>
      <x:c r="C232" s="13"/>
      <x:c r="D232" s="7"/>
      <x:c r="E232" s="7"/>
      <x:c r="F232" s="15"/>
      <x:c r="G232" s="16"/>
      <x:c r="H232" s="9"/>
      <x:c r="I232" s="9"/>
      <x:c r="J232" s="7"/>
      <x:c r="K232" s="7"/>
      <x:c r="L232" s="11"/>
      <x:c r="M232" s="11"/>
      <x:c r="N232" s="8"/>
      <x:c r="O232" s="7"/>
      <x:c r="P232" s="9" t="str">
        <x:f>IF($A232="","",MAX(0,$F232*$G232-$H232))</x:f>
      </x:c>
    </x:row>
    <x:row r="233">
      <x:c r="A233" s="13"/>
      <x:c r="B233" s="15"/>
      <x:c r="C233" s="13"/>
      <x:c r="D233" s="7"/>
      <x:c r="E233" s="7"/>
      <x:c r="F233" s="15"/>
      <x:c r="G233" s="16"/>
      <x:c r="H233" s="9"/>
      <x:c r="I233" s="9"/>
      <x:c r="J233" s="7"/>
      <x:c r="K233" s="7"/>
      <x:c r="L233" s="11"/>
      <x:c r="M233" s="11"/>
      <x:c r="N233" s="8"/>
      <x:c r="O233" s="7"/>
      <x:c r="P233" s="9" t="str">
        <x:f>IF($A233="","",MAX(0,$F233*$G233-$H233))</x:f>
      </x:c>
    </x:row>
    <x:row r="234">
      <x:c r="A234" s="13"/>
      <x:c r="B234" s="15"/>
      <x:c r="C234" s="13"/>
      <x:c r="D234" s="7"/>
      <x:c r="E234" s="7"/>
      <x:c r="F234" s="15"/>
      <x:c r="G234" s="16"/>
      <x:c r="H234" s="9"/>
      <x:c r="I234" s="9"/>
      <x:c r="J234" s="7"/>
      <x:c r="K234" s="7"/>
      <x:c r="L234" s="11"/>
      <x:c r="M234" s="11"/>
      <x:c r="N234" s="8"/>
      <x:c r="O234" s="7"/>
      <x:c r="P234" s="9" t="str">
        <x:f>IF($A234="","",MAX(0,$F234*$G234-$H234))</x:f>
      </x:c>
    </x:row>
    <x:row r="235">
      <x:c r="A235" s="13"/>
      <x:c r="B235" s="15"/>
      <x:c r="C235" s="13"/>
      <x:c r="D235" s="7"/>
      <x:c r="E235" s="7"/>
      <x:c r="F235" s="15"/>
      <x:c r="G235" s="16"/>
      <x:c r="H235" s="9"/>
      <x:c r="I235" s="9"/>
      <x:c r="J235" s="7"/>
      <x:c r="K235" s="7"/>
      <x:c r="L235" s="11"/>
      <x:c r="M235" s="11"/>
      <x:c r="N235" s="8"/>
      <x:c r="O235" s="7"/>
      <x:c r="P235" s="9" t="str">
        <x:f>IF($A235="","",MAX(0,$F235*$G235-$H235))</x:f>
      </x:c>
    </x:row>
    <x:row r="236">
      <x:c r="A236" s="13"/>
      <x:c r="B236" s="15"/>
      <x:c r="C236" s="13"/>
      <x:c r="D236" s="7"/>
      <x:c r="E236" s="7"/>
      <x:c r="F236" s="15"/>
      <x:c r="G236" s="16"/>
      <x:c r="H236" s="9"/>
      <x:c r="I236" s="9"/>
      <x:c r="J236" s="7"/>
      <x:c r="K236" s="7"/>
      <x:c r="L236" s="11"/>
      <x:c r="M236" s="11"/>
      <x:c r="N236" s="8"/>
      <x:c r="O236" s="7"/>
      <x:c r="P236" s="9" t="str">
        <x:f>IF($A236="","",MAX(0,$F236*$G236-$H236))</x:f>
      </x:c>
    </x:row>
    <x:row r="237">
      <x:c r="A237" s="13"/>
      <x:c r="B237" s="15"/>
      <x:c r="C237" s="13"/>
      <x:c r="D237" s="7"/>
      <x:c r="E237" s="7"/>
      <x:c r="F237" s="15"/>
      <x:c r="G237" s="16"/>
      <x:c r="H237" s="9"/>
      <x:c r="I237" s="9"/>
      <x:c r="J237" s="7"/>
      <x:c r="K237" s="7"/>
      <x:c r="L237" s="11"/>
      <x:c r="M237" s="11"/>
      <x:c r="N237" s="8"/>
      <x:c r="O237" s="7"/>
      <x:c r="P237" s="9" t="str">
        <x:f>IF($A237="","",MAX(0,$F237*$G237-$H237))</x:f>
      </x:c>
    </x:row>
    <x:row r="238">
      <x:c r="A238" s="13"/>
      <x:c r="B238" s="15"/>
      <x:c r="C238" s="13"/>
      <x:c r="D238" s="7"/>
      <x:c r="E238" s="7"/>
      <x:c r="F238" s="15"/>
      <x:c r="G238" s="16"/>
      <x:c r="H238" s="9"/>
      <x:c r="I238" s="9"/>
      <x:c r="J238" s="7"/>
      <x:c r="K238" s="7"/>
      <x:c r="L238" s="11"/>
      <x:c r="M238" s="11"/>
      <x:c r="N238" s="8"/>
      <x:c r="O238" s="7"/>
      <x:c r="P238" s="9" t="str">
        <x:f>IF($A238="","",MAX(0,$F238*$G238-$H238))</x:f>
      </x:c>
    </x:row>
    <x:row r="239">
      <x:c r="A239" s="13"/>
      <x:c r="B239" s="15"/>
      <x:c r="C239" s="13"/>
      <x:c r="D239" s="7"/>
      <x:c r="E239" s="7"/>
      <x:c r="F239" s="15"/>
      <x:c r="G239" s="16"/>
      <x:c r="H239" s="9"/>
      <x:c r="I239" s="9"/>
      <x:c r="J239" s="7"/>
      <x:c r="K239" s="7"/>
      <x:c r="L239" s="11"/>
      <x:c r="M239" s="11"/>
      <x:c r="N239" s="8"/>
      <x:c r="O239" s="7"/>
      <x:c r="P239" s="9" t="str">
        <x:f>IF($A239="","",MAX(0,$F239*$G239-$H239))</x:f>
      </x:c>
    </x:row>
    <x:row r="240">
      <x:c r="A240" s="13"/>
      <x:c r="B240" s="15"/>
      <x:c r="C240" s="13"/>
      <x:c r="D240" s="7"/>
      <x:c r="E240" s="7"/>
      <x:c r="F240" s="15"/>
      <x:c r="G240" s="16"/>
      <x:c r="H240" s="9"/>
      <x:c r="I240" s="9"/>
      <x:c r="J240" s="7"/>
      <x:c r="K240" s="7"/>
      <x:c r="L240" s="11"/>
      <x:c r="M240" s="11"/>
      <x:c r="N240" s="8"/>
      <x:c r="O240" s="7"/>
      <x:c r="P240" s="9" t="str">
        <x:f>IF($A240="","",MAX(0,$F240*$G240-$H240))</x:f>
      </x:c>
    </x:row>
    <x:row r="241">
      <x:c r="A241" s="13"/>
      <x:c r="B241" s="15"/>
      <x:c r="C241" s="13"/>
      <x:c r="D241" s="7"/>
      <x:c r="E241" s="7"/>
      <x:c r="F241" s="15"/>
      <x:c r="G241" s="16"/>
      <x:c r="H241" s="9"/>
      <x:c r="I241" s="9"/>
      <x:c r="J241" s="7"/>
      <x:c r="K241" s="7"/>
      <x:c r="L241" s="11"/>
      <x:c r="M241" s="11"/>
      <x:c r="N241" s="8"/>
      <x:c r="O241" s="7"/>
      <x:c r="P241" s="9" t="str">
        <x:f>IF($A241="","",MAX(0,$F241*$G241-$H241))</x:f>
      </x:c>
    </x:row>
    <x:row r="242">
      <x:c r="A242" s="13"/>
      <x:c r="B242" s="15"/>
      <x:c r="C242" s="13"/>
      <x:c r="D242" s="7"/>
      <x:c r="E242" s="7"/>
      <x:c r="F242" s="15"/>
      <x:c r="G242" s="16"/>
      <x:c r="H242" s="9"/>
      <x:c r="I242" s="9"/>
      <x:c r="J242" s="7"/>
      <x:c r="K242" s="7"/>
      <x:c r="L242" s="11"/>
      <x:c r="M242" s="11"/>
      <x:c r="N242" s="8"/>
      <x:c r="O242" s="7"/>
      <x:c r="P242" s="9" t="str">
        <x:f>IF($A242="","",MAX(0,$F242*$G242-$H242))</x:f>
      </x:c>
    </x:row>
    <x:row r="243">
      <x:c r="A243" s="13"/>
      <x:c r="B243" s="15"/>
      <x:c r="C243" s="13"/>
      <x:c r="D243" s="7"/>
      <x:c r="E243" s="7"/>
      <x:c r="F243" s="15"/>
      <x:c r="G243" s="16"/>
      <x:c r="H243" s="9"/>
      <x:c r="I243" s="9"/>
      <x:c r="J243" s="7"/>
      <x:c r="K243" s="7"/>
      <x:c r="L243" s="11"/>
      <x:c r="M243" s="11"/>
      <x:c r="N243" s="8"/>
      <x:c r="O243" s="7"/>
      <x:c r="P243" s="9" t="str">
        <x:f>IF($A243="","",MAX(0,$F243*$G243-$H243))</x:f>
      </x:c>
    </x:row>
    <x:row r="244">
      <x:c r="A244" s="13"/>
      <x:c r="B244" s="15"/>
      <x:c r="C244" s="13"/>
      <x:c r="D244" s="7"/>
      <x:c r="E244" s="7"/>
      <x:c r="F244" s="15"/>
      <x:c r="G244" s="16"/>
      <x:c r="H244" s="9"/>
      <x:c r="I244" s="9"/>
      <x:c r="J244" s="7"/>
      <x:c r="K244" s="7"/>
      <x:c r="L244" s="11"/>
      <x:c r="M244" s="11"/>
      <x:c r="N244" s="8"/>
      <x:c r="O244" s="7"/>
      <x:c r="P244" s="9" t="str">
        <x:f>IF($A244="","",MAX(0,$F244*$G244-$H244))</x:f>
      </x:c>
    </x:row>
    <x:row r="245">
      <x:c r="A245" s="13"/>
      <x:c r="B245" s="15"/>
      <x:c r="C245" s="13"/>
      <x:c r="D245" s="7"/>
      <x:c r="E245" s="7"/>
      <x:c r="F245" s="15"/>
      <x:c r="G245" s="16"/>
      <x:c r="H245" s="9"/>
      <x:c r="I245" s="9"/>
      <x:c r="J245" s="7"/>
      <x:c r="K245" s="7"/>
      <x:c r="L245" s="11"/>
      <x:c r="M245" s="11"/>
      <x:c r="N245" s="8"/>
      <x:c r="O245" s="7"/>
      <x:c r="P245" s="9" t="str">
        <x:f>IF($A245="","",MAX(0,$F245*$G245-$H245))</x:f>
      </x:c>
    </x:row>
    <x:row r="246">
      <x:c r="A246" s="13"/>
      <x:c r="B246" s="15"/>
      <x:c r="C246" s="13"/>
      <x:c r="D246" s="7"/>
      <x:c r="E246" s="7"/>
      <x:c r="F246" s="15"/>
      <x:c r="G246" s="16"/>
      <x:c r="H246" s="9"/>
      <x:c r="I246" s="9"/>
      <x:c r="J246" s="7"/>
      <x:c r="K246" s="7"/>
      <x:c r="L246" s="11"/>
      <x:c r="M246" s="11"/>
      <x:c r="N246" s="8"/>
      <x:c r="O246" s="7"/>
      <x:c r="P246" s="9" t="str">
        <x:f>IF($A246="","",MAX(0,$F246*$G246-$H246))</x:f>
      </x:c>
    </x:row>
    <x:row r="247">
      <x:c r="A247" s="13"/>
      <x:c r="B247" s="15"/>
      <x:c r="C247" s="13"/>
      <x:c r="D247" s="7"/>
      <x:c r="E247" s="7"/>
      <x:c r="F247" s="15"/>
      <x:c r="G247" s="16"/>
      <x:c r="H247" s="9"/>
      <x:c r="I247" s="9"/>
      <x:c r="J247" s="7"/>
      <x:c r="K247" s="7"/>
      <x:c r="L247" s="11"/>
      <x:c r="M247" s="11"/>
      <x:c r="N247" s="8"/>
      <x:c r="O247" s="7"/>
      <x:c r="P247" s="9" t="str">
        <x:f>IF($A247="","",MAX(0,$F247*$G247-$H247))</x:f>
      </x:c>
    </x:row>
    <x:row r="248">
      <x:c r="A248" s="13"/>
      <x:c r="B248" s="15"/>
      <x:c r="C248" s="13"/>
      <x:c r="D248" s="7"/>
      <x:c r="E248" s="7"/>
      <x:c r="F248" s="15"/>
      <x:c r="G248" s="16"/>
      <x:c r="H248" s="9"/>
      <x:c r="I248" s="9"/>
      <x:c r="J248" s="7"/>
      <x:c r="K248" s="7"/>
      <x:c r="L248" s="11"/>
      <x:c r="M248" s="11"/>
      <x:c r="N248" s="8"/>
      <x:c r="O248" s="7"/>
      <x:c r="P248" s="9" t="str">
        <x:f>IF($A248="","",MAX(0,$F248*$G248-$H248))</x:f>
      </x:c>
    </x:row>
    <x:row r="249">
      <x:c r="A249" s="13"/>
      <x:c r="B249" s="15"/>
      <x:c r="C249" s="13"/>
      <x:c r="D249" s="7"/>
      <x:c r="E249" s="7"/>
      <x:c r="F249" s="15"/>
      <x:c r="G249" s="16"/>
      <x:c r="H249" s="9"/>
      <x:c r="I249" s="9"/>
      <x:c r="J249" s="7"/>
      <x:c r="K249" s="7"/>
      <x:c r="L249" s="11"/>
      <x:c r="M249" s="11"/>
      <x:c r="N249" s="8"/>
      <x:c r="O249" s="7"/>
      <x:c r="P249" s="9" t="str">
        <x:f>IF($A249="","",MAX(0,$F249*$G249-$H249))</x:f>
      </x:c>
    </x:row>
    <x:row r="250">
      <x:c r="A250" s="13"/>
      <x:c r="B250" s="15"/>
      <x:c r="C250" s="13"/>
      <x:c r="D250" s="7"/>
      <x:c r="E250" s="7"/>
      <x:c r="F250" s="15"/>
      <x:c r="G250" s="16"/>
      <x:c r="H250" s="9"/>
      <x:c r="I250" s="9"/>
      <x:c r="J250" s="7"/>
      <x:c r="K250" s="7"/>
      <x:c r="L250" s="11"/>
      <x:c r="M250" s="11"/>
      <x:c r="N250" s="8"/>
      <x:c r="O250" s="7"/>
      <x:c r="P250" s="9" t="str">
        <x:f>IF($A250="","",MAX(0,$F250*$G250-$H250))</x:f>
      </x:c>
    </x:row>
    <x:row r="251">
      <x:c r="A251" s="13"/>
      <x:c r="B251" s="15"/>
      <x:c r="C251" s="13"/>
      <x:c r="D251" s="7"/>
      <x:c r="E251" s="7"/>
      <x:c r="F251" s="15"/>
      <x:c r="G251" s="16"/>
      <x:c r="H251" s="9"/>
      <x:c r="I251" s="9"/>
      <x:c r="J251" s="7"/>
      <x:c r="K251" s="7"/>
      <x:c r="L251" s="11"/>
      <x:c r="M251" s="11"/>
      <x:c r="N251" s="8"/>
      <x:c r="O251" s="7"/>
      <x:c r="P251" s="9" t="str">
        <x:f>IF($A251="","",MAX(0,$F251*$G251-$H251))</x:f>
      </x:c>
    </x:row>
    <x:row r="252">
      <x:c r="A252" s="13"/>
      <x:c r="B252" s="15"/>
      <x:c r="C252" s="13"/>
      <x:c r="D252" s="7"/>
      <x:c r="E252" s="7"/>
      <x:c r="F252" s="15"/>
      <x:c r="G252" s="16"/>
      <x:c r="H252" s="9"/>
      <x:c r="I252" s="9"/>
      <x:c r="J252" s="7"/>
      <x:c r="K252" s="7"/>
      <x:c r="L252" s="11"/>
      <x:c r="M252" s="11"/>
      <x:c r="N252" s="8"/>
      <x:c r="O252" s="7"/>
      <x:c r="P252" s="9" t="str">
        <x:f>IF($A252="","",MAX(0,$F252*$G252-$H252))</x:f>
      </x:c>
    </x:row>
    <x:row r="253">
      <x:c r="A253" s="13"/>
      <x:c r="B253" s="15"/>
      <x:c r="C253" s="13"/>
      <x:c r="D253" s="7"/>
      <x:c r="E253" s="7"/>
      <x:c r="F253" s="15"/>
      <x:c r="G253" s="16"/>
      <x:c r="H253" s="9"/>
      <x:c r="I253" s="9"/>
      <x:c r="J253" s="7"/>
      <x:c r="K253" s="7"/>
      <x:c r="L253" s="11"/>
      <x:c r="M253" s="11"/>
      <x:c r="N253" s="8"/>
      <x:c r="O253" s="7"/>
      <x:c r="P253" s="9" t="str">
        <x:f>IF($A253="","",MAX(0,$F253*$G253-$H253))</x:f>
      </x:c>
    </x:row>
    <x:row r="254">
      <x:c r="A254" s="13"/>
      <x:c r="B254" s="15"/>
      <x:c r="C254" s="13"/>
      <x:c r="D254" s="7"/>
      <x:c r="E254" s="7"/>
      <x:c r="F254" s="15"/>
      <x:c r="G254" s="16"/>
      <x:c r="H254" s="9"/>
      <x:c r="I254" s="9"/>
      <x:c r="J254" s="7"/>
      <x:c r="K254" s="7"/>
      <x:c r="L254" s="11"/>
      <x:c r="M254" s="11"/>
      <x:c r="N254" s="8"/>
      <x:c r="O254" s="7"/>
      <x:c r="P254" s="9" t="str">
        <x:f>IF($A254="","",MAX(0,$F254*$G254-$H254))</x:f>
      </x:c>
    </x:row>
    <x:row r="255">
      <x:c r="A255" s="13"/>
      <x:c r="B255" s="15"/>
      <x:c r="C255" s="13"/>
      <x:c r="D255" s="7"/>
      <x:c r="E255" s="7"/>
      <x:c r="F255" s="15"/>
      <x:c r="G255" s="16"/>
      <x:c r="H255" s="9"/>
      <x:c r="I255" s="9"/>
      <x:c r="J255" s="7"/>
      <x:c r="K255" s="7"/>
      <x:c r="L255" s="11"/>
      <x:c r="M255" s="11"/>
      <x:c r="N255" s="8"/>
      <x:c r="O255" s="7"/>
      <x:c r="P255" s="9" t="str">
        <x:f>IF($A255="","",MAX(0,$F255*$G255-$H255))</x:f>
      </x:c>
    </x:row>
    <x:row r="256">
      <x:c r="A256" s="13"/>
      <x:c r="B256" s="15"/>
      <x:c r="C256" s="13"/>
      <x:c r="D256" s="7"/>
      <x:c r="E256" s="7"/>
      <x:c r="F256" s="15"/>
      <x:c r="G256" s="16"/>
      <x:c r="H256" s="9"/>
      <x:c r="I256" s="9"/>
      <x:c r="J256" s="7"/>
      <x:c r="K256" s="7"/>
      <x:c r="L256" s="11"/>
      <x:c r="M256" s="11"/>
      <x:c r="N256" s="8"/>
      <x:c r="O256" s="7"/>
      <x:c r="P256" s="9" t="str">
        <x:f>IF($A256="","",MAX(0,$F256*$G256-$H256))</x:f>
      </x:c>
    </x:row>
    <x:row r="257">
      <x:c r="A257" s="13"/>
      <x:c r="B257" s="15"/>
      <x:c r="C257" s="13"/>
      <x:c r="D257" s="7"/>
      <x:c r="E257" s="7"/>
      <x:c r="F257" s="15"/>
      <x:c r="G257" s="16"/>
      <x:c r="H257" s="9"/>
      <x:c r="I257" s="9"/>
      <x:c r="J257" s="7"/>
      <x:c r="K257" s="7"/>
      <x:c r="L257" s="11"/>
      <x:c r="M257" s="11"/>
      <x:c r="N257" s="8"/>
      <x:c r="O257" s="7"/>
      <x:c r="P257" s="9" t="str">
        <x:f>IF($A257="","",MAX(0,$F257*$G257-$H257))</x:f>
      </x:c>
    </x:row>
    <x:row r="258">
      <x:c r="A258" s="13"/>
      <x:c r="B258" s="15"/>
      <x:c r="C258" s="13"/>
      <x:c r="D258" s="7"/>
      <x:c r="E258" s="7"/>
      <x:c r="F258" s="15"/>
      <x:c r="G258" s="16"/>
      <x:c r="H258" s="9"/>
      <x:c r="I258" s="9"/>
      <x:c r="J258" s="7"/>
      <x:c r="K258" s="7"/>
      <x:c r="L258" s="11"/>
      <x:c r="M258" s="11"/>
      <x:c r="N258" s="8"/>
      <x:c r="O258" s="7"/>
      <x:c r="P258" s="9" t="str">
        <x:f>IF($A258="","",MAX(0,$F258*$G258-$H258))</x:f>
      </x:c>
    </x:row>
    <x:row r="259">
      <x:c r="A259" s="13"/>
      <x:c r="B259" s="15"/>
      <x:c r="C259" s="13"/>
      <x:c r="D259" s="7"/>
      <x:c r="E259" s="7"/>
      <x:c r="F259" s="15"/>
      <x:c r="G259" s="16"/>
      <x:c r="H259" s="9"/>
      <x:c r="I259" s="9"/>
      <x:c r="J259" s="7"/>
      <x:c r="K259" s="7"/>
      <x:c r="L259" s="11"/>
      <x:c r="M259" s="11"/>
      <x:c r="N259" s="8"/>
      <x:c r="O259" s="7"/>
      <x:c r="P259" s="9" t="str">
        <x:f>IF($A259="","",MAX(0,$F259*$G259-$H259))</x:f>
      </x:c>
    </x:row>
    <x:row r="260">
      <x:c r="A260" s="13"/>
      <x:c r="B260" s="15"/>
      <x:c r="C260" s="13"/>
      <x:c r="D260" s="7"/>
      <x:c r="E260" s="7"/>
      <x:c r="F260" s="15"/>
      <x:c r="G260" s="16"/>
      <x:c r="H260" s="9"/>
      <x:c r="I260" s="9"/>
      <x:c r="J260" s="7"/>
      <x:c r="K260" s="7"/>
      <x:c r="L260" s="11"/>
      <x:c r="M260" s="11"/>
      <x:c r="N260" s="8"/>
      <x:c r="O260" s="7"/>
      <x:c r="P260" s="9" t="str">
        <x:f>IF($A260="","",MAX(0,$F260*$G260-$H260))</x:f>
      </x:c>
    </x:row>
    <x:row r="261">
      <x:c r="A261" s="13"/>
      <x:c r="B261" s="15"/>
      <x:c r="C261" s="13"/>
      <x:c r="D261" s="7"/>
      <x:c r="E261" s="7"/>
      <x:c r="F261" s="15"/>
      <x:c r="G261" s="16"/>
      <x:c r="H261" s="9"/>
      <x:c r="I261" s="9"/>
      <x:c r="J261" s="7"/>
      <x:c r="K261" s="7"/>
      <x:c r="L261" s="11"/>
      <x:c r="M261" s="11"/>
      <x:c r="N261" s="8"/>
      <x:c r="O261" s="7"/>
      <x:c r="P261" s="9" t="str">
        <x:f>IF($A261="","",MAX(0,$F261*$G261-$H261))</x:f>
      </x:c>
    </x:row>
    <x:row r="262">
      <x:c r="A262" s="13"/>
      <x:c r="B262" s="15"/>
      <x:c r="C262" s="13"/>
      <x:c r="D262" s="7"/>
      <x:c r="E262" s="7"/>
      <x:c r="F262" s="15"/>
      <x:c r="G262" s="16"/>
      <x:c r="H262" s="9"/>
      <x:c r="I262" s="9"/>
      <x:c r="J262" s="7"/>
      <x:c r="K262" s="7"/>
      <x:c r="L262" s="11"/>
      <x:c r="M262" s="11"/>
      <x:c r="N262" s="8"/>
      <x:c r="O262" s="7"/>
      <x:c r="P262" s="9" t="str">
        <x:f>IF($A262="","",MAX(0,$F262*$G262-$H262))</x:f>
      </x:c>
    </x:row>
    <x:row r="263">
      <x:c r="A263" s="13"/>
      <x:c r="B263" s="15"/>
      <x:c r="C263" s="13"/>
      <x:c r="D263" s="7"/>
      <x:c r="E263" s="7"/>
      <x:c r="F263" s="15"/>
      <x:c r="G263" s="16"/>
      <x:c r="H263" s="9"/>
      <x:c r="I263" s="9"/>
      <x:c r="J263" s="7"/>
      <x:c r="K263" s="7"/>
      <x:c r="L263" s="11"/>
      <x:c r="M263" s="11"/>
      <x:c r="N263" s="8"/>
      <x:c r="O263" s="7"/>
      <x:c r="P263" s="9" t="str">
        <x:f>IF($A263="","",MAX(0,$F263*$G263-$H263))</x:f>
      </x:c>
    </x:row>
    <x:row r="264">
      <x:c r="A264" s="13"/>
      <x:c r="B264" s="15"/>
      <x:c r="C264" s="13"/>
      <x:c r="D264" s="7"/>
      <x:c r="E264" s="7"/>
      <x:c r="F264" s="15"/>
      <x:c r="G264" s="16"/>
      <x:c r="H264" s="9"/>
      <x:c r="I264" s="9"/>
      <x:c r="J264" s="7"/>
      <x:c r="K264" s="7"/>
      <x:c r="L264" s="11"/>
      <x:c r="M264" s="11"/>
      <x:c r="N264" s="8"/>
      <x:c r="O264" s="7"/>
      <x:c r="P264" s="9" t="str">
        <x:f>IF($A264="","",MAX(0,$F264*$G264-$H264))</x:f>
      </x:c>
    </x:row>
    <x:row r="265">
      <x:c r="A265" s="13"/>
      <x:c r="B265" s="15"/>
      <x:c r="C265" s="13"/>
      <x:c r="D265" s="7"/>
      <x:c r="E265" s="7"/>
      <x:c r="F265" s="15"/>
      <x:c r="G265" s="16"/>
      <x:c r="H265" s="9"/>
      <x:c r="I265" s="9"/>
      <x:c r="J265" s="7"/>
      <x:c r="K265" s="7"/>
      <x:c r="L265" s="11"/>
      <x:c r="M265" s="11"/>
      <x:c r="N265" s="8"/>
      <x:c r="O265" s="7"/>
      <x:c r="P265" s="9" t="str">
        <x:f>IF($A265="","",MAX(0,$F265*$G265-$H265))</x:f>
      </x:c>
    </x:row>
    <x:row r="266">
      <x:c r="A266" s="13"/>
      <x:c r="B266" s="15"/>
      <x:c r="C266" s="13"/>
      <x:c r="D266" s="7"/>
      <x:c r="E266" s="7"/>
      <x:c r="F266" s="15"/>
      <x:c r="G266" s="16"/>
      <x:c r="H266" s="9"/>
      <x:c r="I266" s="9"/>
      <x:c r="J266" s="7"/>
      <x:c r="K266" s="7"/>
      <x:c r="L266" s="11"/>
      <x:c r="M266" s="11"/>
      <x:c r="N266" s="8"/>
      <x:c r="O266" s="7"/>
      <x:c r="P266" s="9" t="str">
        <x:f>IF($A266="","",MAX(0,$F266*$G266-$H266))</x:f>
      </x:c>
    </x:row>
    <x:row r="267">
      <x:c r="A267" s="13"/>
      <x:c r="B267" s="15"/>
      <x:c r="C267" s="13"/>
      <x:c r="D267" s="7"/>
      <x:c r="E267" s="7"/>
      <x:c r="F267" s="15"/>
      <x:c r="G267" s="16"/>
      <x:c r="H267" s="9"/>
      <x:c r="I267" s="9"/>
      <x:c r="J267" s="7"/>
      <x:c r="K267" s="7"/>
      <x:c r="L267" s="11"/>
      <x:c r="M267" s="11"/>
      <x:c r="N267" s="8"/>
      <x:c r="O267" s="7"/>
      <x:c r="P267" s="9" t="str">
        <x:f>IF($A267="","",MAX(0,$F267*$G267-$H267))</x:f>
      </x:c>
    </x:row>
    <x:row r="268">
      <x:c r="A268" s="13"/>
      <x:c r="B268" s="15"/>
      <x:c r="C268" s="13"/>
      <x:c r="D268" s="7"/>
      <x:c r="E268" s="7"/>
      <x:c r="F268" s="15"/>
      <x:c r="G268" s="16"/>
      <x:c r="H268" s="9"/>
      <x:c r="I268" s="9"/>
      <x:c r="J268" s="7"/>
      <x:c r="K268" s="7"/>
      <x:c r="L268" s="11"/>
      <x:c r="M268" s="11"/>
      <x:c r="N268" s="8"/>
      <x:c r="O268" s="7"/>
      <x:c r="P268" s="9" t="str">
        <x:f>IF($A268="","",MAX(0,$F268*$G268-$H268))</x:f>
      </x:c>
    </x:row>
    <x:row r="269">
      <x:c r="A269" s="13"/>
      <x:c r="B269" s="15"/>
      <x:c r="C269" s="13"/>
      <x:c r="D269" s="7"/>
      <x:c r="E269" s="7"/>
      <x:c r="F269" s="15"/>
      <x:c r="G269" s="16"/>
      <x:c r="H269" s="9"/>
      <x:c r="I269" s="9"/>
      <x:c r="J269" s="7"/>
      <x:c r="K269" s="7"/>
      <x:c r="L269" s="11"/>
      <x:c r="M269" s="11"/>
      <x:c r="N269" s="8"/>
      <x:c r="O269" s="7"/>
      <x:c r="P269" s="9" t="str">
        <x:f>IF($A269="","",MAX(0,$F269*$G269-$H269))</x:f>
      </x:c>
    </x:row>
    <x:row r="270">
      <x:c r="A270" s="13"/>
      <x:c r="B270" s="15"/>
      <x:c r="C270" s="13"/>
      <x:c r="D270" s="7"/>
      <x:c r="E270" s="7"/>
      <x:c r="F270" s="15"/>
      <x:c r="G270" s="16"/>
      <x:c r="H270" s="9"/>
      <x:c r="I270" s="9"/>
      <x:c r="J270" s="7"/>
      <x:c r="K270" s="7"/>
      <x:c r="L270" s="11"/>
      <x:c r="M270" s="11"/>
      <x:c r="N270" s="8"/>
      <x:c r="O270" s="7"/>
      <x:c r="P270" s="9" t="str">
        <x:f>IF($A270="","",MAX(0,$F270*$G270-$H270))</x:f>
      </x:c>
    </x:row>
    <x:row r="271">
      <x:c r="A271" s="13"/>
      <x:c r="B271" s="15"/>
      <x:c r="C271" s="13"/>
      <x:c r="D271" s="7"/>
      <x:c r="E271" s="7"/>
      <x:c r="F271" s="15"/>
      <x:c r="G271" s="16"/>
      <x:c r="H271" s="9"/>
      <x:c r="I271" s="9"/>
      <x:c r="J271" s="7"/>
      <x:c r="K271" s="7"/>
      <x:c r="L271" s="11"/>
      <x:c r="M271" s="11"/>
      <x:c r="N271" s="8"/>
      <x:c r="O271" s="7"/>
      <x:c r="P271" s="9" t="str">
        <x:f>IF($A271="","",MAX(0,$F271*$G271-$H271))</x:f>
      </x:c>
    </x:row>
    <x:row r="272">
      <x:c r="A272" s="13"/>
      <x:c r="B272" s="15"/>
      <x:c r="C272" s="13"/>
      <x:c r="D272" s="7"/>
      <x:c r="E272" s="7"/>
      <x:c r="F272" s="15"/>
      <x:c r="G272" s="16"/>
      <x:c r="H272" s="9"/>
      <x:c r="I272" s="9"/>
      <x:c r="J272" s="7"/>
      <x:c r="K272" s="7"/>
      <x:c r="L272" s="11"/>
      <x:c r="M272" s="11"/>
      <x:c r="N272" s="8"/>
      <x:c r="O272" s="7"/>
      <x:c r="P272" s="9" t="str">
        <x:f>IF($A272="","",MAX(0,$F272*$G272-$H272))</x:f>
      </x:c>
    </x:row>
    <x:row r="273">
      <x:c r="A273" s="13"/>
      <x:c r="B273" s="15"/>
      <x:c r="C273" s="13"/>
      <x:c r="D273" s="7"/>
      <x:c r="E273" s="7"/>
      <x:c r="F273" s="15"/>
      <x:c r="G273" s="16"/>
      <x:c r="H273" s="9"/>
      <x:c r="I273" s="9"/>
      <x:c r="J273" s="7"/>
      <x:c r="K273" s="7"/>
      <x:c r="L273" s="11"/>
      <x:c r="M273" s="11"/>
      <x:c r="N273" s="8"/>
      <x:c r="O273" s="7"/>
      <x:c r="P273" s="9" t="str">
        <x:f>IF($A273="","",MAX(0,$F273*$G273-$H273))</x:f>
      </x:c>
    </x:row>
    <x:row r="274">
      <x:c r="A274" s="13"/>
      <x:c r="B274" s="15"/>
      <x:c r="C274" s="13"/>
      <x:c r="D274" s="7"/>
      <x:c r="E274" s="7"/>
      <x:c r="F274" s="15"/>
      <x:c r="G274" s="16"/>
      <x:c r="H274" s="9"/>
      <x:c r="I274" s="9"/>
      <x:c r="J274" s="7"/>
      <x:c r="K274" s="7"/>
      <x:c r="L274" s="11"/>
      <x:c r="M274" s="11"/>
      <x:c r="N274" s="8"/>
      <x:c r="O274" s="7"/>
      <x:c r="P274" s="9" t="str">
        <x:f>IF($A274="","",MAX(0,$F274*$G274-$H274))</x:f>
      </x:c>
    </x:row>
    <x:row r="275">
      <x:c r="A275" s="13"/>
      <x:c r="B275" s="15"/>
      <x:c r="C275" s="13"/>
      <x:c r="D275" s="7"/>
      <x:c r="E275" s="7"/>
      <x:c r="F275" s="15"/>
      <x:c r="G275" s="16"/>
      <x:c r="H275" s="9"/>
      <x:c r="I275" s="9"/>
      <x:c r="J275" s="7"/>
      <x:c r="K275" s="7"/>
      <x:c r="L275" s="11"/>
      <x:c r="M275" s="11"/>
      <x:c r="N275" s="8"/>
      <x:c r="O275" s="7"/>
      <x:c r="P275" s="9" t="str">
        <x:f>IF($A275="","",MAX(0,$F275*$G275-$H275))</x:f>
      </x:c>
    </x:row>
    <x:row r="276">
      <x:c r="A276" s="13"/>
      <x:c r="B276" s="15"/>
      <x:c r="C276" s="13"/>
      <x:c r="D276" s="7"/>
      <x:c r="E276" s="7"/>
      <x:c r="F276" s="15"/>
      <x:c r="G276" s="16"/>
      <x:c r="H276" s="9"/>
      <x:c r="I276" s="9"/>
      <x:c r="J276" s="7"/>
      <x:c r="K276" s="7"/>
      <x:c r="L276" s="11"/>
      <x:c r="M276" s="11"/>
      <x:c r="N276" s="8"/>
      <x:c r="O276" s="7"/>
      <x:c r="P276" s="9" t="str">
        <x:f>IF($A276="","",MAX(0,$F276*$G276-$H276))</x:f>
      </x:c>
    </x:row>
    <x:row r="277">
      <x:c r="A277" s="13"/>
      <x:c r="B277" s="15"/>
      <x:c r="C277" s="13"/>
      <x:c r="D277" s="7"/>
      <x:c r="E277" s="7"/>
      <x:c r="F277" s="15"/>
      <x:c r="G277" s="16"/>
      <x:c r="H277" s="9"/>
      <x:c r="I277" s="9"/>
      <x:c r="J277" s="7"/>
      <x:c r="K277" s="7"/>
      <x:c r="L277" s="11"/>
      <x:c r="M277" s="11"/>
      <x:c r="N277" s="8"/>
      <x:c r="O277" s="7"/>
      <x:c r="P277" s="9" t="str">
        <x:f>IF($A277="","",MAX(0,$F277*$G277-$H277))</x:f>
      </x:c>
    </x:row>
    <x:row r="278">
      <x:c r="A278" s="13"/>
      <x:c r="B278" s="15"/>
      <x:c r="C278" s="13"/>
      <x:c r="D278" s="7"/>
      <x:c r="E278" s="7"/>
      <x:c r="F278" s="15"/>
      <x:c r="G278" s="16"/>
      <x:c r="H278" s="9"/>
      <x:c r="I278" s="9"/>
      <x:c r="J278" s="7"/>
      <x:c r="K278" s="7"/>
      <x:c r="L278" s="11"/>
      <x:c r="M278" s="11"/>
      <x:c r="N278" s="8"/>
      <x:c r="O278" s="7"/>
      <x:c r="P278" s="9" t="str">
        <x:f>IF($A278="","",MAX(0,$F278*$G278-$H278))</x:f>
      </x:c>
    </x:row>
    <x:row r="279">
      <x:c r="A279" s="13"/>
      <x:c r="B279" s="15"/>
      <x:c r="C279" s="13"/>
      <x:c r="D279" s="7"/>
      <x:c r="E279" s="7"/>
      <x:c r="F279" s="15"/>
      <x:c r="G279" s="16"/>
      <x:c r="H279" s="9"/>
      <x:c r="I279" s="9"/>
      <x:c r="J279" s="7"/>
      <x:c r="K279" s="7"/>
      <x:c r="L279" s="11"/>
      <x:c r="M279" s="11"/>
      <x:c r="N279" s="8"/>
      <x:c r="O279" s="7"/>
      <x:c r="P279" s="9" t="str">
        <x:f>IF($A279="","",MAX(0,$F279*$G279-$H279))</x:f>
      </x:c>
    </x:row>
    <x:row r="280">
      <x:c r="A280" s="13"/>
      <x:c r="B280" s="15"/>
      <x:c r="C280" s="13"/>
      <x:c r="D280" s="7"/>
      <x:c r="E280" s="7"/>
      <x:c r="F280" s="15"/>
      <x:c r="G280" s="16"/>
      <x:c r="H280" s="9"/>
      <x:c r="I280" s="9"/>
      <x:c r="J280" s="7"/>
      <x:c r="K280" s="7"/>
      <x:c r="L280" s="11"/>
      <x:c r="M280" s="11"/>
      <x:c r="N280" s="8"/>
      <x:c r="O280" s="7"/>
      <x:c r="P280" s="9" t="str">
        <x:f>IF($A280="","",MAX(0,$F280*$G280-$H280))</x:f>
      </x:c>
    </x:row>
    <x:row r="281">
      <x:c r="A281" s="13"/>
      <x:c r="B281" s="15"/>
      <x:c r="C281" s="13"/>
      <x:c r="D281" s="7"/>
      <x:c r="E281" s="7"/>
      <x:c r="F281" s="15"/>
      <x:c r="G281" s="16"/>
      <x:c r="H281" s="9"/>
      <x:c r="I281" s="9"/>
      <x:c r="J281" s="7"/>
      <x:c r="K281" s="7"/>
      <x:c r="L281" s="11"/>
      <x:c r="M281" s="11"/>
      <x:c r="N281" s="8"/>
      <x:c r="O281" s="7"/>
      <x:c r="P281" s="9" t="str">
        <x:f>IF($A281="","",MAX(0,$F281*$G281-$H281))</x:f>
      </x:c>
    </x:row>
    <x:row r="282">
      <x:c r="A282" s="13"/>
      <x:c r="B282" s="15"/>
      <x:c r="C282" s="13"/>
      <x:c r="D282" s="7"/>
      <x:c r="E282" s="7"/>
      <x:c r="F282" s="15"/>
      <x:c r="G282" s="16"/>
      <x:c r="H282" s="9"/>
      <x:c r="I282" s="9"/>
      <x:c r="J282" s="7"/>
      <x:c r="K282" s="7"/>
      <x:c r="L282" s="11"/>
      <x:c r="M282" s="11"/>
      <x:c r="N282" s="8"/>
      <x:c r="O282" s="7"/>
      <x:c r="P282" s="9" t="str">
        <x:f>IF($A282="","",MAX(0,$F282*$G282-$H282))</x:f>
      </x:c>
    </x:row>
    <x:row r="283">
      <x:c r="A283" s="13"/>
      <x:c r="B283" s="15"/>
      <x:c r="C283" s="13"/>
      <x:c r="D283" s="7"/>
      <x:c r="E283" s="7"/>
      <x:c r="F283" s="15"/>
      <x:c r="G283" s="16"/>
      <x:c r="H283" s="9"/>
      <x:c r="I283" s="9"/>
      <x:c r="J283" s="7"/>
      <x:c r="K283" s="7"/>
      <x:c r="L283" s="11"/>
      <x:c r="M283" s="11"/>
      <x:c r="N283" s="8"/>
      <x:c r="O283" s="7"/>
      <x:c r="P283" s="9" t="str">
        <x:f>IF($A283="","",MAX(0,$F283*$G283-$H283))</x:f>
      </x:c>
    </x:row>
    <x:row r="284">
      <x:c r="A284" s="13"/>
      <x:c r="B284" s="15"/>
      <x:c r="C284" s="13"/>
      <x:c r="D284" s="7"/>
      <x:c r="E284" s="7"/>
      <x:c r="F284" s="15"/>
      <x:c r="G284" s="16"/>
      <x:c r="H284" s="9"/>
      <x:c r="I284" s="9"/>
      <x:c r="J284" s="7"/>
      <x:c r="K284" s="7"/>
      <x:c r="L284" s="11"/>
      <x:c r="M284" s="11"/>
      <x:c r="N284" s="8"/>
      <x:c r="O284" s="7"/>
      <x:c r="P284" s="9" t="str">
        <x:f>IF($A284="","",MAX(0,$F284*$G284-$H284))</x:f>
      </x:c>
    </x:row>
    <x:row r="285">
      <x:c r="A285" s="13"/>
      <x:c r="B285" s="15"/>
      <x:c r="C285" s="13"/>
      <x:c r="D285" s="7"/>
      <x:c r="E285" s="7"/>
      <x:c r="F285" s="15"/>
      <x:c r="G285" s="16"/>
      <x:c r="H285" s="9"/>
      <x:c r="I285" s="9"/>
      <x:c r="J285" s="7"/>
      <x:c r="K285" s="7"/>
      <x:c r="L285" s="11"/>
      <x:c r="M285" s="11"/>
      <x:c r="N285" s="8"/>
      <x:c r="O285" s="7"/>
      <x:c r="P285" s="9" t="str">
        <x:f>IF($A285="","",MAX(0,$F285*$G285-$H285))</x:f>
      </x:c>
    </x:row>
    <x:row r="286">
      <x:c r="A286" s="13"/>
      <x:c r="B286" s="15"/>
      <x:c r="C286" s="13"/>
      <x:c r="D286" s="7"/>
      <x:c r="E286" s="7"/>
      <x:c r="F286" s="15"/>
      <x:c r="G286" s="16"/>
      <x:c r="H286" s="9"/>
      <x:c r="I286" s="9"/>
      <x:c r="J286" s="7"/>
      <x:c r="K286" s="7"/>
      <x:c r="L286" s="11"/>
      <x:c r="M286" s="11"/>
      <x:c r="N286" s="8"/>
      <x:c r="O286" s="7"/>
      <x:c r="P286" s="9" t="str">
        <x:f>IF($A286="","",MAX(0,$F286*$G286-$H286))</x:f>
      </x:c>
    </x:row>
    <x:row r="287">
      <x:c r="A287" s="13"/>
      <x:c r="B287" s="15"/>
      <x:c r="C287" s="13"/>
      <x:c r="D287" s="7"/>
      <x:c r="E287" s="7"/>
      <x:c r="F287" s="15"/>
      <x:c r="G287" s="16"/>
      <x:c r="H287" s="9"/>
      <x:c r="I287" s="9"/>
      <x:c r="J287" s="7"/>
      <x:c r="K287" s="7"/>
      <x:c r="L287" s="11"/>
      <x:c r="M287" s="11"/>
      <x:c r="N287" s="8"/>
      <x:c r="O287" s="7"/>
      <x:c r="P287" s="9" t="str">
        <x:f>IF($A287="","",MAX(0,$F287*$G287-$H287))</x:f>
      </x:c>
    </x:row>
    <x:row r="288">
      <x:c r="A288" s="13"/>
      <x:c r="B288" s="15"/>
      <x:c r="C288" s="13"/>
      <x:c r="D288" s="7"/>
      <x:c r="E288" s="7"/>
      <x:c r="F288" s="15"/>
      <x:c r="G288" s="16"/>
      <x:c r="H288" s="9"/>
      <x:c r="I288" s="9"/>
      <x:c r="J288" s="7"/>
      <x:c r="K288" s="7"/>
      <x:c r="L288" s="11"/>
      <x:c r="M288" s="11"/>
      <x:c r="N288" s="8"/>
      <x:c r="O288" s="7"/>
      <x:c r="P288" s="9" t="str">
        <x:f>IF($A288="","",MAX(0,$F288*$G288-$H288))</x:f>
      </x:c>
    </x:row>
    <x:row r="289">
      <x:c r="A289" s="13"/>
      <x:c r="B289" s="15"/>
      <x:c r="C289" s="13"/>
      <x:c r="D289" s="7"/>
      <x:c r="E289" s="7"/>
      <x:c r="F289" s="15"/>
      <x:c r="G289" s="16"/>
      <x:c r="H289" s="9"/>
      <x:c r="I289" s="9"/>
      <x:c r="J289" s="7"/>
      <x:c r="K289" s="7"/>
      <x:c r="L289" s="11"/>
      <x:c r="M289" s="11"/>
      <x:c r="N289" s="8"/>
      <x:c r="O289" s="7"/>
      <x:c r="P289" s="9" t="str">
        <x:f>IF($A289="","",MAX(0,$F289*$G289-$H289))</x:f>
      </x:c>
    </x:row>
    <x:row r="290">
      <x:c r="A290" s="13"/>
      <x:c r="B290" s="15"/>
      <x:c r="C290" s="13"/>
      <x:c r="D290" s="7"/>
      <x:c r="E290" s="7"/>
      <x:c r="F290" s="15"/>
      <x:c r="G290" s="16"/>
      <x:c r="H290" s="9"/>
      <x:c r="I290" s="9"/>
      <x:c r="J290" s="7"/>
      <x:c r="K290" s="7"/>
      <x:c r="L290" s="11"/>
      <x:c r="M290" s="11"/>
      <x:c r="N290" s="8"/>
      <x:c r="O290" s="7"/>
      <x:c r="P290" s="9" t="str">
        <x:f>IF($A290="","",MAX(0,$F290*$G290-$H290))</x:f>
      </x:c>
    </x:row>
    <x:row r="291">
      <x:c r="A291" s="13"/>
      <x:c r="B291" s="15"/>
      <x:c r="C291" s="13"/>
      <x:c r="D291" s="7"/>
      <x:c r="E291" s="7"/>
      <x:c r="F291" s="15"/>
      <x:c r="G291" s="16"/>
      <x:c r="H291" s="9"/>
      <x:c r="I291" s="9"/>
      <x:c r="J291" s="7"/>
      <x:c r="K291" s="7"/>
      <x:c r="L291" s="11"/>
      <x:c r="M291" s="11"/>
      <x:c r="N291" s="8"/>
      <x:c r="O291" s="7"/>
      <x:c r="P291" s="9" t="str">
        <x:f>IF($A291="","",MAX(0,$F291*$G291-$H291))</x:f>
      </x:c>
    </x:row>
    <x:row r="292">
      <x:c r="A292" s="13"/>
      <x:c r="B292" s="15"/>
      <x:c r="C292" s="13"/>
      <x:c r="D292" s="7"/>
      <x:c r="E292" s="7"/>
      <x:c r="F292" s="15"/>
      <x:c r="G292" s="16"/>
      <x:c r="H292" s="9"/>
      <x:c r="I292" s="9"/>
      <x:c r="J292" s="7"/>
      <x:c r="K292" s="7"/>
      <x:c r="L292" s="11"/>
      <x:c r="M292" s="11"/>
      <x:c r="N292" s="8"/>
      <x:c r="O292" s="7"/>
      <x:c r="P292" s="9" t="str">
        <x:f>IF($A292="","",MAX(0,$F292*$G292-$H292))</x:f>
      </x:c>
    </x:row>
    <x:row r="293">
      <x:c r="A293" s="13"/>
      <x:c r="B293" s="15"/>
      <x:c r="C293" s="13"/>
      <x:c r="D293" s="7"/>
      <x:c r="E293" s="7"/>
      <x:c r="F293" s="15"/>
      <x:c r="G293" s="16"/>
      <x:c r="H293" s="9"/>
      <x:c r="I293" s="9"/>
      <x:c r="J293" s="7"/>
      <x:c r="K293" s="7"/>
      <x:c r="L293" s="11"/>
      <x:c r="M293" s="11"/>
      <x:c r="N293" s="8"/>
      <x:c r="O293" s="7"/>
      <x:c r="P293" s="9" t="str">
        <x:f>IF($A293="","",MAX(0,$F293*$G293-$H293))</x:f>
      </x:c>
    </x:row>
    <x:row r="294">
      <x:c r="A294" s="13"/>
      <x:c r="B294" s="15"/>
      <x:c r="C294" s="13"/>
      <x:c r="D294" s="7"/>
      <x:c r="E294" s="7"/>
      <x:c r="F294" s="15"/>
      <x:c r="G294" s="16"/>
      <x:c r="H294" s="9"/>
      <x:c r="I294" s="9"/>
      <x:c r="J294" s="7"/>
      <x:c r="K294" s="7"/>
      <x:c r="L294" s="11"/>
      <x:c r="M294" s="11"/>
      <x:c r="N294" s="8"/>
      <x:c r="O294" s="7"/>
      <x:c r="P294" s="9" t="str">
        <x:f>IF($A294="","",MAX(0,$F294*$G294-$H294))</x:f>
      </x:c>
    </x:row>
    <x:row r="295">
      <x:c r="A295" s="13"/>
      <x:c r="B295" s="15"/>
      <x:c r="C295" s="13"/>
      <x:c r="D295" s="7"/>
      <x:c r="E295" s="7"/>
      <x:c r="F295" s="15"/>
      <x:c r="G295" s="16"/>
      <x:c r="H295" s="9"/>
      <x:c r="I295" s="9"/>
      <x:c r="J295" s="7"/>
      <x:c r="K295" s="7"/>
      <x:c r="L295" s="11"/>
      <x:c r="M295" s="11"/>
      <x:c r="N295" s="8"/>
      <x:c r="O295" s="7"/>
      <x:c r="P295" s="9" t="str">
        <x:f>IF($A295="","",MAX(0,$F295*$G295-$H295))</x:f>
      </x:c>
    </x:row>
    <x:row r="296">
      <x:c r="A296" s="13"/>
      <x:c r="B296" s="15"/>
      <x:c r="C296" s="13"/>
      <x:c r="D296" s="7"/>
      <x:c r="E296" s="7"/>
      <x:c r="F296" s="15"/>
      <x:c r="G296" s="16"/>
      <x:c r="H296" s="9"/>
      <x:c r="I296" s="9"/>
      <x:c r="J296" s="7"/>
      <x:c r="K296" s="7"/>
      <x:c r="L296" s="11"/>
      <x:c r="M296" s="11"/>
      <x:c r="N296" s="8"/>
      <x:c r="O296" s="7"/>
      <x:c r="P296" s="9" t="str">
        <x:f>IF($A296="","",MAX(0,$F296*$G296-$H296))</x:f>
      </x:c>
    </x:row>
    <x:row r="297">
      <x:c r="A297" s="13"/>
      <x:c r="B297" s="15"/>
      <x:c r="C297" s="13"/>
      <x:c r="D297" s="7"/>
      <x:c r="E297" s="7"/>
      <x:c r="F297" s="15"/>
      <x:c r="G297" s="16"/>
      <x:c r="H297" s="9"/>
      <x:c r="I297" s="9"/>
      <x:c r="J297" s="7"/>
      <x:c r="K297" s="7"/>
      <x:c r="L297" s="11"/>
      <x:c r="M297" s="11"/>
      <x:c r="N297" s="8"/>
      <x:c r="O297" s="7"/>
      <x:c r="P297" s="9" t="str">
        <x:f>IF($A297="","",MAX(0,$F297*$G297-$H297))</x:f>
      </x:c>
    </x:row>
    <x:row r="298">
      <x:c r="A298" s="13"/>
      <x:c r="B298" s="15"/>
      <x:c r="C298" s="13"/>
      <x:c r="D298" s="7"/>
      <x:c r="E298" s="7"/>
      <x:c r="F298" s="15"/>
      <x:c r="G298" s="16"/>
      <x:c r="H298" s="9"/>
      <x:c r="I298" s="9"/>
      <x:c r="J298" s="7"/>
      <x:c r="K298" s="7"/>
      <x:c r="L298" s="11"/>
      <x:c r="M298" s="11"/>
      <x:c r="N298" s="8"/>
      <x:c r="O298" s="7"/>
      <x:c r="P298" s="9" t="str">
        <x:f>IF($A298="","",MAX(0,$F298*$G298-$H298))</x:f>
      </x:c>
    </x:row>
    <x:row r="299">
      <x:c r="A299" s="13"/>
      <x:c r="B299" s="15"/>
      <x:c r="C299" s="13"/>
      <x:c r="D299" s="7"/>
      <x:c r="E299" s="7"/>
      <x:c r="F299" s="15"/>
      <x:c r="G299" s="16"/>
      <x:c r="H299" s="9"/>
      <x:c r="I299" s="9"/>
      <x:c r="J299" s="7"/>
      <x:c r="K299" s="7"/>
      <x:c r="L299" s="11"/>
      <x:c r="M299" s="11"/>
      <x:c r="N299" s="8"/>
      <x:c r="O299" s="7"/>
      <x:c r="P299" s="9" t="str">
        <x:f>IF($A299="","",MAX(0,$F299*$G299-$H299))</x:f>
      </x:c>
    </x:row>
    <x:row r="300">
      <x:c r="A300" s="13"/>
      <x:c r="B300" s="15"/>
      <x:c r="C300" s="13"/>
      <x:c r="D300" s="7"/>
      <x:c r="E300" s="7"/>
      <x:c r="F300" s="15"/>
      <x:c r="G300" s="16"/>
      <x:c r="H300" s="9"/>
      <x:c r="I300" s="9"/>
      <x:c r="J300" s="7"/>
      <x:c r="K300" s="7"/>
      <x:c r="L300" s="11"/>
      <x:c r="M300" s="11"/>
      <x:c r="N300" s="8"/>
      <x:c r="O300" s="7"/>
      <x:c r="P300" s="9" t="str">
        <x:f>IF($A300="","",MAX(0,$F300*$G300-$H300))</x:f>
      </x:c>
    </x:row>
    <x:row r="301">
      <x:c r="A301" s="13"/>
      <x:c r="B301" s="15"/>
      <x:c r="C301" s="13"/>
      <x:c r="D301" s="7"/>
      <x:c r="E301" s="7"/>
      <x:c r="F301" s="15"/>
      <x:c r="G301" s="16"/>
      <x:c r="H301" s="9"/>
      <x:c r="I301" s="9"/>
      <x:c r="J301" s="7"/>
      <x:c r="K301" s="7"/>
      <x:c r="L301" s="11"/>
      <x:c r="M301" s="11"/>
      <x:c r="N301" s="8"/>
      <x:c r="O301" s="7"/>
      <x:c r="P301" s="9" t="str">
        <x:f>IF($A301="","",MAX(0,$F301*$G301-$H301))</x:f>
      </x:c>
    </x:row>
    <x:row r="302">
      <x:c r="A302" s="13"/>
      <x:c r="B302" s="15"/>
      <x:c r="C302" s="13"/>
      <x:c r="D302" s="7"/>
      <x:c r="E302" s="7"/>
      <x:c r="F302" s="15"/>
      <x:c r="G302" s="16"/>
      <x:c r="H302" s="9"/>
      <x:c r="I302" s="9"/>
      <x:c r="J302" s="7"/>
      <x:c r="K302" s="7"/>
      <x:c r="L302" s="11"/>
      <x:c r="M302" s="11"/>
      <x:c r="N302" s="8"/>
      <x:c r="O302" s="7"/>
      <x:c r="P302" s="9" t="str">
        <x:f>IF($A302="","",MAX(0,$F302*$G302-$H302))</x:f>
      </x:c>
    </x:row>
    <x:row r="303">
      <x:c r="A303" s="13"/>
      <x:c r="B303" s="15"/>
      <x:c r="C303" s="13"/>
      <x:c r="D303" s="7"/>
      <x:c r="E303" s="7"/>
      <x:c r="F303" s="15"/>
      <x:c r="G303" s="16"/>
      <x:c r="H303" s="9"/>
      <x:c r="I303" s="9"/>
      <x:c r="J303" s="7"/>
      <x:c r="K303" s="7"/>
      <x:c r="L303" s="11"/>
      <x:c r="M303" s="11"/>
      <x:c r="N303" s="8"/>
      <x:c r="O303" s="7"/>
      <x:c r="P303" s="9" t="str">
        <x:f>IF($A303="","",MAX(0,$F303*$G303-$H303))</x:f>
      </x:c>
    </x:row>
    <x:row r="304">
      <x:c r="A304" s="13"/>
      <x:c r="B304" s="15"/>
      <x:c r="C304" s="13"/>
      <x:c r="D304" s="7"/>
      <x:c r="E304" s="7"/>
      <x:c r="F304" s="15"/>
      <x:c r="G304" s="16"/>
      <x:c r="H304" s="9"/>
      <x:c r="I304" s="9"/>
      <x:c r="J304" s="7"/>
      <x:c r="K304" s="7"/>
      <x:c r="L304" s="11"/>
      <x:c r="M304" s="11"/>
      <x:c r="N304" s="8"/>
      <x:c r="O304" s="7"/>
      <x:c r="P304" s="9" t="str">
        <x:f>IF($A304="","",MAX(0,$F304*$G304-$H304))</x:f>
      </x:c>
    </x:row>
    <x:row r="305">
      <x:c r="A305" s="13"/>
      <x:c r="B305" s="15"/>
      <x:c r="C305" s="13"/>
      <x:c r="D305" s="7"/>
      <x:c r="E305" s="7"/>
      <x:c r="F305" s="15"/>
      <x:c r="G305" s="16"/>
      <x:c r="H305" s="9"/>
      <x:c r="I305" s="9"/>
      <x:c r="J305" s="7"/>
      <x:c r="K305" s="7"/>
      <x:c r="L305" s="11"/>
      <x:c r="M305" s="11"/>
      <x:c r="N305" s="8"/>
      <x:c r="O305" s="7"/>
      <x:c r="P305" s="9" t="str">
        <x:f>IF($A305="","",MAX(0,$F305*$G305-$H305))</x:f>
      </x:c>
    </x:row>
    <x:row r="306">
      <x:c r="A306" s="13"/>
      <x:c r="B306" s="15"/>
      <x:c r="C306" s="13"/>
      <x:c r="D306" s="7"/>
      <x:c r="E306" s="7"/>
      <x:c r="F306" s="15"/>
      <x:c r="G306" s="16"/>
      <x:c r="H306" s="9"/>
      <x:c r="I306" s="9"/>
      <x:c r="J306" s="7"/>
      <x:c r="K306" s="7"/>
      <x:c r="L306" s="11"/>
      <x:c r="M306" s="11"/>
      <x:c r="N306" s="8"/>
      <x:c r="O306" s="7"/>
      <x:c r="P306" s="9" t="str">
        <x:f>IF($A306="","",MAX(0,$F306*$G306-$H306))</x:f>
      </x:c>
    </x:row>
    <x:row r="307">
      <x:c r="A307" s="13"/>
      <x:c r="B307" s="15"/>
      <x:c r="C307" s="13"/>
      <x:c r="D307" s="7"/>
      <x:c r="E307" s="7"/>
      <x:c r="F307" s="15"/>
      <x:c r="G307" s="16"/>
      <x:c r="H307" s="9"/>
      <x:c r="I307" s="9"/>
      <x:c r="J307" s="7"/>
      <x:c r="K307" s="7"/>
      <x:c r="L307" s="11"/>
      <x:c r="M307" s="11"/>
      <x:c r="N307" s="8"/>
      <x:c r="O307" s="7"/>
      <x:c r="P307" s="9" t="str">
        <x:f>IF($A307="","",MAX(0,$F307*$G307-$H307))</x:f>
      </x:c>
    </x:row>
    <x:row r="308">
      <x:c r="A308" s="13"/>
      <x:c r="B308" s="15"/>
      <x:c r="C308" s="13"/>
      <x:c r="D308" s="7"/>
      <x:c r="E308" s="7"/>
      <x:c r="F308" s="15"/>
      <x:c r="G308" s="16"/>
      <x:c r="H308" s="9"/>
      <x:c r="I308" s="9"/>
      <x:c r="J308" s="7"/>
      <x:c r="K308" s="7"/>
      <x:c r="L308" s="11"/>
      <x:c r="M308" s="11"/>
      <x:c r="N308" s="8"/>
      <x:c r="O308" s="7"/>
      <x:c r="P308" s="9" t="str">
        <x:f>IF($A308="","",MAX(0,$F308*$G308-$H308))</x:f>
      </x:c>
    </x:row>
    <x:row r="309">
      <x:c r="A309" s="13"/>
      <x:c r="B309" s="15"/>
      <x:c r="C309" s="13"/>
      <x:c r="D309" s="7"/>
      <x:c r="E309" s="7"/>
      <x:c r="F309" s="15"/>
      <x:c r="G309" s="16"/>
      <x:c r="H309" s="9"/>
      <x:c r="I309" s="9"/>
      <x:c r="J309" s="7"/>
      <x:c r="K309" s="7"/>
      <x:c r="L309" s="11"/>
      <x:c r="M309" s="11"/>
      <x:c r="N309" s="8"/>
      <x:c r="O309" s="7"/>
      <x:c r="P309" s="9" t="str">
        <x:f>IF($A309="","",MAX(0,$F309*$G309-$H309))</x:f>
      </x:c>
    </x:row>
    <x:row r="310">
      <x:c r="A310" s="13"/>
      <x:c r="B310" s="15"/>
      <x:c r="C310" s="13"/>
      <x:c r="D310" s="7"/>
      <x:c r="E310" s="7"/>
      <x:c r="F310" s="15"/>
      <x:c r="G310" s="16"/>
      <x:c r="H310" s="9"/>
      <x:c r="I310" s="9"/>
      <x:c r="J310" s="7"/>
      <x:c r="K310" s="7"/>
      <x:c r="L310" s="11"/>
      <x:c r="M310" s="11"/>
      <x:c r="N310" s="8"/>
      <x:c r="O310" s="7"/>
      <x:c r="P310" s="9" t="str">
        <x:f>IF($A310="","",MAX(0,$F310*$G310-$H310))</x:f>
      </x:c>
    </x:row>
    <x:row r="311">
      <x:c r="A311" s="13"/>
      <x:c r="B311" s="15"/>
      <x:c r="C311" s="13"/>
      <x:c r="D311" s="7"/>
      <x:c r="E311" s="7"/>
      <x:c r="F311" s="15"/>
      <x:c r="G311" s="16"/>
      <x:c r="H311" s="9"/>
      <x:c r="I311" s="9"/>
      <x:c r="J311" s="7"/>
      <x:c r="K311" s="7"/>
      <x:c r="L311" s="11"/>
      <x:c r="M311" s="11"/>
      <x:c r="N311" s="8"/>
      <x:c r="O311" s="7"/>
      <x:c r="P311" s="9" t="str">
        <x:f>IF($A311="","",MAX(0,$F311*$G311-$H311))</x:f>
      </x:c>
    </x:row>
    <x:row r="312">
      <x:c r="A312" s="13"/>
      <x:c r="B312" s="15"/>
      <x:c r="C312" s="13"/>
      <x:c r="D312" s="7"/>
      <x:c r="E312" s="7"/>
      <x:c r="F312" s="15"/>
      <x:c r="G312" s="16"/>
      <x:c r="H312" s="9"/>
      <x:c r="I312" s="9"/>
      <x:c r="J312" s="7"/>
      <x:c r="K312" s="7"/>
      <x:c r="L312" s="11"/>
      <x:c r="M312" s="11"/>
      <x:c r="N312" s="8"/>
      <x:c r="O312" s="7"/>
      <x:c r="P312" s="9" t="str">
        <x:f>IF($A312="","",MAX(0,$F312*$G312-$H312))</x:f>
      </x:c>
    </x:row>
    <x:row r="313">
      <x:c r="A313" s="13"/>
      <x:c r="B313" s="15"/>
      <x:c r="C313" s="13"/>
      <x:c r="D313" s="7"/>
      <x:c r="E313" s="7"/>
      <x:c r="F313" s="15"/>
      <x:c r="G313" s="16"/>
      <x:c r="H313" s="9"/>
      <x:c r="I313" s="9"/>
      <x:c r="J313" s="7"/>
      <x:c r="K313" s="7"/>
      <x:c r="L313" s="11"/>
      <x:c r="M313" s="11"/>
      <x:c r="N313" s="8"/>
      <x:c r="O313" s="7"/>
      <x:c r="P313" s="9" t="str">
        <x:f>IF($A313="","",MAX(0,$F313*$G313-$H313))</x:f>
      </x:c>
    </x:row>
    <x:row r="314">
      <x:c r="A314" s="13"/>
      <x:c r="B314" s="15"/>
      <x:c r="C314" s="13"/>
      <x:c r="D314" s="7"/>
      <x:c r="E314" s="7"/>
      <x:c r="F314" s="15"/>
      <x:c r="G314" s="16"/>
      <x:c r="H314" s="9"/>
      <x:c r="I314" s="9"/>
      <x:c r="J314" s="7"/>
      <x:c r="K314" s="7"/>
      <x:c r="L314" s="11"/>
      <x:c r="M314" s="11"/>
      <x:c r="N314" s="8"/>
      <x:c r="O314" s="7"/>
      <x:c r="P314" s="9" t="str">
        <x:f>IF($A314="","",MAX(0,$F314*$G314-$H314))</x:f>
      </x:c>
    </x:row>
    <x:row r="315">
      <x:c r="A315" s="13"/>
      <x:c r="B315" s="15"/>
      <x:c r="C315" s="13"/>
      <x:c r="D315" s="7"/>
      <x:c r="E315" s="7"/>
      <x:c r="F315" s="15"/>
      <x:c r="G315" s="16"/>
      <x:c r="H315" s="9"/>
      <x:c r="I315" s="9"/>
      <x:c r="J315" s="7"/>
      <x:c r="K315" s="7"/>
      <x:c r="L315" s="11"/>
      <x:c r="M315" s="11"/>
      <x:c r="N315" s="8"/>
      <x:c r="O315" s="7"/>
      <x:c r="P315" s="9" t="str">
        <x:f>IF($A315="","",MAX(0,$F315*$G315-$H315))</x:f>
      </x:c>
    </x:row>
    <x:row r="316">
      <x:c r="A316" s="13"/>
      <x:c r="B316" s="15"/>
      <x:c r="C316" s="13"/>
      <x:c r="D316" s="7"/>
      <x:c r="E316" s="7"/>
      <x:c r="F316" s="15"/>
      <x:c r="G316" s="16"/>
      <x:c r="H316" s="9"/>
      <x:c r="I316" s="9"/>
      <x:c r="J316" s="7"/>
      <x:c r="K316" s="7"/>
      <x:c r="L316" s="11"/>
      <x:c r="M316" s="11"/>
      <x:c r="N316" s="8"/>
      <x:c r="O316" s="7"/>
      <x:c r="P316" s="9" t="str">
        <x:f>IF($A316="","",MAX(0,$F316*$G316-$H316))</x:f>
      </x:c>
    </x:row>
    <x:row r="317">
      <x:c r="A317" s="13"/>
      <x:c r="B317" s="15"/>
      <x:c r="C317" s="13"/>
      <x:c r="D317" s="7"/>
      <x:c r="E317" s="7"/>
      <x:c r="F317" s="15"/>
      <x:c r="G317" s="16"/>
      <x:c r="H317" s="9"/>
      <x:c r="I317" s="9"/>
      <x:c r="J317" s="7"/>
      <x:c r="K317" s="7"/>
      <x:c r="L317" s="11"/>
      <x:c r="M317" s="11"/>
      <x:c r="N317" s="8"/>
      <x:c r="O317" s="7"/>
      <x:c r="P317" s="9" t="str">
        <x:f>IF($A317="","",MAX(0,$F317*$G317-$H317))</x:f>
      </x:c>
    </x:row>
    <x:row r="318">
      <x:c r="A318" s="13"/>
      <x:c r="B318" s="15"/>
      <x:c r="C318" s="13"/>
      <x:c r="D318" s="7"/>
      <x:c r="E318" s="7"/>
      <x:c r="F318" s="15"/>
      <x:c r="G318" s="16"/>
      <x:c r="H318" s="9"/>
      <x:c r="I318" s="9"/>
      <x:c r="J318" s="7"/>
      <x:c r="K318" s="7"/>
      <x:c r="L318" s="11"/>
      <x:c r="M318" s="11"/>
      <x:c r="N318" s="8"/>
      <x:c r="O318" s="7"/>
      <x:c r="P318" s="9" t="str">
        <x:f>IF($A318="","",MAX(0,$F318*$G318-$H318))</x:f>
      </x:c>
    </x:row>
    <x:row r="319">
      <x:c r="A319" s="13"/>
      <x:c r="B319" s="15"/>
      <x:c r="C319" s="13"/>
      <x:c r="D319" s="7"/>
      <x:c r="E319" s="7"/>
      <x:c r="F319" s="15"/>
      <x:c r="G319" s="16"/>
      <x:c r="H319" s="9"/>
      <x:c r="I319" s="9"/>
      <x:c r="J319" s="7"/>
      <x:c r="K319" s="7"/>
      <x:c r="L319" s="11"/>
      <x:c r="M319" s="11"/>
      <x:c r="N319" s="8"/>
      <x:c r="O319" s="7"/>
      <x:c r="P319" s="9" t="str">
        <x:f>IF($A319="","",MAX(0,$F319*$G319-$H319))</x:f>
      </x:c>
    </x:row>
    <x:row r="320">
      <x:c r="A320" s="13"/>
      <x:c r="B320" s="15"/>
      <x:c r="C320" s="13"/>
      <x:c r="D320" s="7"/>
      <x:c r="E320" s="7"/>
      <x:c r="F320" s="15"/>
      <x:c r="G320" s="16"/>
      <x:c r="H320" s="9"/>
      <x:c r="I320" s="9"/>
      <x:c r="J320" s="7"/>
      <x:c r="K320" s="7"/>
      <x:c r="L320" s="11"/>
      <x:c r="M320" s="11"/>
      <x:c r="N320" s="8"/>
      <x:c r="O320" s="7"/>
      <x:c r="P320" s="9" t="str">
        <x:f>IF($A320="","",MAX(0,$F320*$G320-$H320))</x:f>
      </x:c>
    </x:row>
    <x:row r="321">
      <x:c r="A321" s="13"/>
      <x:c r="B321" s="15"/>
      <x:c r="C321" s="13"/>
      <x:c r="D321" s="7"/>
      <x:c r="E321" s="7"/>
      <x:c r="F321" s="15"/>
      <x:c r="G321" s="16"/>
      <x:c r="H321" s="9"/>
      <x:c r="I321" s="9"/>
      <x:c r="J321" s="7"/>
      <x:c r="K321" s="7"/>
      <x:c r="L321" s="11"/>
      <x:c r="M321" s="11"/>
      <x:c r="N321" s="8"/>
      <x:c r="O321" s="7"/>
      <x:c r="P321" s="9" t="str">
        <x:f>IF($A321="","",MAX(0,$F321*$G321-$H321))</x:f>
      </x:c>
    </x:row>
    <x:row r="322">
      <x:c r="A322" s="13"/>
      <x:c r="B322" s="15"/>
      <x:c r="C322" s="13"/>
      <x:c r="D322" s="7"/>
      <x:c r="E322" s="7"/>
      <x:c r="F322" s="15"/>
      <x:c r="G322" s="16"/>
      <x:c r="H322" s="9"/>
      <x:c r="I322" s="9"/>
      <x:c r="J322" s="7"/>
      <x:c r="K322" s="7"/>
      <x:c r="L322" s="11"/>
      <x:c r="M322" s="11"/>
      <x:c r="N322" s="8"/>
      <x:c r="O322" s="7"/>
      <x:c r="P322" s="9" t="str">
        <x:f>IF($A322="","",MAX(0,$F322*$G322-$H322))</x:f>
      </x:c>
    </x:row>
    <x:row r="323">
      <x:c r="A323" s="13"/>
      <x:c r="B323" s="15"/>
      <x:c r="C323" s="13"/>
      <x:c r="D323" s="7"/>
      <x:c r="E323" s="7"/>
      <x:c r="F323" s="15"/>
      <x:c r="G323" s="16"/>
      <x:c r="H323" s="9"/>
      <x:c r="I323" s="9"/>
      <x:c r="J323" s="7"/>
      <x:c r="K323" s="7"/>
      <x:c r="L323" s="11"/>
      <x:c r="M323" s="11"/>
      <x:c r="N323" s="8"/>
      <x:c r="O323" s="7"/>
      <x:c r="P323" s="9" t="str">
        <x:f>IF($A323="","",MAX(0,$F323*$G323-$H323))</x:f>
      </x:c>
    </x:row>
    <x:row r="324">
      <x:c r="A324" s="13"/>
      <x:c r="B324" s="15"/>
      <x:c r="C324" s="13"/>
      <x:c r="D324" s="7"/>
      <x:c r="E324" s="7"/>
      <x:c r="F324" s="15"/>
      <x:c r="G324" s="16"/>
      <x:c r="H324" s="9"/>
      <x:c r="I324" s="9"/>
      <x:c r="J324" s="7"/>
      <x:c r="K324" s="7"/>
      <x:c r="L324" s="11"/>
      <x:c r="M324" s="11"/>
      <x:c r="N324" s="8"/>
      <x:c r="O324" s="7"/>
      <x:c r="P324" s="9" t="str">
        <x:f>IF($A324="","",MAX(0,$F324*$G324-$H324))</x:f>
      </x:c>
    </x:row>
    <x:row r="325">
      <x:c r="A325" s="13"/>
      <x:c r="B325" s="15"/>
      <x:c r="C325" s="13"/>
      <x:c r="D325" s="7"/>
      <x:c r="E325" s="7"/>
      <x:c r="F325" s="15"/>
      <x:c r="G325" s="16"/>
      <x:c r="H325" s="9"/>
      <x:c r="I325" s="9"/>
      <x:c r="J325" s="7"/>
      <x:c r="K325" s="7"/>
      <x:c r="L325" s="11"/>
      <x:c r="M325" s="11"/>
      <x:c r="N325" s="8"/>
      <x:c r="O325" s="7"/>
      <x:c r="P325" s="9" t="str">
        <x:f>IF($A325="","",MAX(0,$F325*$G325-$H325))</x:f>
      </x:c>
    </x:row>
    <x:row r="326">
      <x:c r="A326" s="13"/>
      <x:c r="B326" s="15"/>
      <x:c r="C326" s="13"/>
      <x:c r="D326" s="7"/>
      <x:c r="E326" s="7"/>
      <x:c r="F326" s="15"/>
      <x:c r="G326" s="16"/>
      <x:c r="H326" s="9"/>
      <x:c r="I326" s="9"/>
      <x:c r="J326" s="7"/>
      <x:c r="K326" s="7"/>
      <x:c r="L326" s="11"/>
      <x:c r="M326" s="11"/>
      <x:c r="N326" s="8"/>
      <x:c r="O326" s="7"/>
      <x:c r="P326" s="9" t="str">
        <x:f>IF($A326="","",MAX(0,$F326*$G326-$H326))</x:f>
      </x:c>
    </x:row>
    <x:row r="327">
      <x:c r="A327" s="13"/>
      <x:c r="B327" s="15"/>
      <x:c r="C327" s="13"/>
      <x:c r="D327" s="7"/>
      <x:c r="E327" s="7"/>
      <x:c r="F327" s="15"/>
      <x:c r="G327" s="16"/>
      <x:c r="H327" s="9"/>
      <x:c r="I327" s="9"/>
      <x:c r="J327" s="7"/>
      <x:c r="K327" s="7"/>
      <x:c r="L327" s="11"/>
      <x:c r="M327" s="11"/>
      <x:c r="N327" s="8"/>
      <x:c r="O327" s="7"/>
      <x:c r="P327" s="9" t="str">
        <x:f>IF($A327="","",MAX(0,$F327*$G327-$H327))</x:f>
      </x:c>
    </x:row>
    <x:row r="328">
      <x:c r="A328" s="13"/>
      <x:c r="B328" s="15"/>
      <x:c r="C328" s="13"/>
      <x:c r="D328" s="7"/>
      <x:c r="E328" s="7"/>
      <x:c r="F328" s="15"/>
      <x:c r="G328" s="16"/>
      <x:c r="H328" s="9"/>
      <x:c r="I328" s="9"/>
      <x:c r="J328" s="7"/>
      <x:c r="K328" s="7"/>
      <x:c r="L328" s="11"/>
      <x:c r="M328" s="11"/>
      <x:c r="N328" s="8"/>
      <x:c r="O328" s="7"/>
      <x:c r="P328" s="9" t="str">
        <x:f>IF($A328="","",MAX(0,$F328*$G328-$H328))</x:f>
      </x:c>
    </x:row>
    <x:row r="329">
      <x:c r="A329" s="13"/>
      <x:c r="B329" s="15"/>
      <x:c r="C329" s="13"/>
      <x:c r="D329" s="7"/>
      <x:c r="E329" s="7"/>
      <x:c r="F329" s="15"/>
      <x:c r="G329" s="16"/>
      <x:c r="H329" s="9"/>
      <x:c r="I329" s="9"/>
      <x:c r="J329" s="7"/>
      <x:c r="K329" s="7"/>
      <x:c r="L329" s="11"/>
      <x:c r="M329" s="11"/>
      <x:c r="N329" s="8"/>
      <x:c r="O329" s="7"/>
      <x:c r="P329" s="9" t="str">
        <x:f>IF($A329="","",MAX(0,$F329*$G329-$H329))</x:f>
      </x:c>
    </x:row>
    <x:row r="330">
      <x:c r="A330" s="13"/>
      <x:c r="B330" s="15"/>
      <x:c r="C330" s="13"/>
      <x:c r="D330" s="7"/>
      <x:c r="E330" s="7"/>
      <x:c r="F330" s="15"/>
      <x:c r="G330" s="16"/>
      <x:c r="H330" s="9"/>
      <x:c r="I330" s="9"/>
      <x:c r="J330" s="7"/>
      <x:c r="K330" s="7"/>
      <x:c r="L330" s="11"/>
      <x:c r="M330" s="11"/>
      <x:c r="N330" s="8"/>
      <x:c r="O330" s="7"/>
      <x:c r="P330" s="9" t="str">
        <x:f>IF($A330="","",MAX(0,$F330*$G330-$H330))</x:f>
      </x:c>
    </x:row>
    <x:row r="331">
      <x:c r="A331" s="13"/>
      <x:c r="B331" s="15"/>
      <x:c r="C331" s="13"/>
      <x:c r="D331" s="7"/>
      <x:c r="E331" s="7"/>
      <x:c r="F331" s="15"/>
      <x:c r="G331" s="16"/>
      <x:c r="H331" s="9"/>
      <x:c r="I331" s="9"/>
      <x:c r="J331" s="7"/>
      <x:c r="K331" s="7"/>
      <x:c r="L331" s="11"/>
      <x:c r="M331" s="11"/>
      <x:c r="N331" s="8"/>
      <x:c r="O331" s="7"/>
      <x:c r="P331" s="9" t="str">
        <x:f>IF($A331="","",MAX(0,$F331*$G331-$H331))</x:f>
      </x:c>
    </x:row>
    <x:row r="332">
      <x:c r="A332" s="13"/>
      <x:c r="B332" s="15"/>
      <x:c r="C332" s="13"/>
      <x:c r="D332" s="7"/>
      <x:c r="E332" s="7"/>
      <x:c r="F332" s="15"/>
      <x:c r="G332" s="16"/>
      <x:c r="H332" s="9"/>
      <x:c r="I332" s="9"/>
      <x:c r="J332" s="7"/>
      <x:c r="K332" s="7"/>
      <x:c r="L332" s="11"/>
      <x:c r="M332" s="11"/>
      <x:c r="N332" s="8"/>
      <x:c r="O332" s="7"/>
      <x:c r="P332" s="9" t="str">
        <x:f>IF($A332="","",MAX(0,$F332*$G332-$H332))</x:f>
      </x:c>
    </x:row>
    <x:row r="333">
      <x:c r="A333" s="13"/>
      <x:c r="B333" s="15"/>
      <x:c r="C333" s="13"/>
      <x:c r="D333" s="7"/>
      <x:c r="E333" s="7"/>
      <x:c r="F333" s="15"/>
      <x:c r="G333" s="16"/>
      <x:c r="H333" s="9"/>
      <x:c r="I333" s="9"/>
      <x:c r="J333" s="7"/>
      <x:c r="K333" s="7"/>
      <x:c r="L333" s="11"/>
      <x:c r="M333" s="11"/>
      <x:c r="N333" s="8"/>
      <x:c r="O333" s="7"/>
      <x:c r="P333" s="9" t="str">
        <x:f>IF($A333="","",MAX(0,$F333*$G333-$H333))</x:f>
      </x:c>
    </x:row>
    <x:row r="334">
      <x:c r="A334" s="13"/>
      <x:c r="B334" s="15"/>
      <x:c r="C334" s="13"/>
      <x:c r="D334" s="7"/>
      <x:c r="E334" s="7"/>
      <x:c r="F334" s="15"/>
      <x:c r="G334" s="16"/>
      <x:c r="H334" s="9"/>
      <x:c r="I334" s="9"/>
      <x:c r="J334" s="7"/>
      <x:c r="K334" s="7"/>
      <x:c r="L334" s="11"/>
      <x:c r="M334" s="11"/>
      <x:c r="N334" s="8"/>
      <x:c r="O334" s="7"/>
      <x:c r="P334" s="9" t="str">
        <x:f>IF($A334="","",MAX(0,$F334*$G334-$H334))</x:f>
      </x:c>
    </x:row>
    <x:row r="335">
      <x:c r="A335" s="13"/>
      <x:c r="B335" s="15"/>
      <x:c r="C335" s="13"/>
      <x:c r="D335" s="7"/>
      <x:c r="E335" s="7"/>
      <x:c r="F335" s="15"/>
      <x:c r="G335" s="16"/>
      <x:c r="H335" s="9"/>
      <x:c r="I335" s="9"/>
      <x:c r="J335" s="7"/>
      <x:c r="K335" s="7"/>
      <x:c r="L335" s="11"/>
      <x:c r="M335" s="11"/>
      <x:c r="N335" s="8"/>
      <x:c r="O335" s="7"/>
      <x:c r="P335" s="9" t="str">
        <x:f>IF($A335="","",MAX(0,$F335*$G335-$H335))</x:f>
      </x:c>
    </x:row>
    <x:row r="336">
      <x:c r="A336" s="13"/>
      <x:c r="B336" s="15"/>
      <x:c r="C336" s="13"/>
      <x:c r="D336" s="7"/>
      <x:c r="E336" s="7"/>
      <x:c r="F336" s="15"/>
      <x:c r="G336" s="16"/>
      <x:c r="H336" s="9"/>
      <x:c r="I336" s="9"/>
      <x:c r="J336" s="7"/>
      <x:c r="K336" s="7"/>
      <x:c r="L336" s="11"/>
      <x:c r="M336" s="11"/>
      <x:c r="N336" s="8"/>
      <x:c r="O336" s="7"/>
      <x:c r="P336" s="9" t="str">
        <x:f>IF($A336="","",MAX(0,$F336*$G336-$H336))</x:f>
      </x:c>
    </x:row>
    <x:row r="337">
      <x:c r="A337" s="13"/>
      <x:c r="B337" s="15"/>
      <x:c r="C337" s="13"/>
      <x:c r="D337" s="7"/>
      <x:c r="E337" s="7"/>
      <x:c r="F337" s="15"/>
      <x:c r="G337" s="16"/>
      <x:c r="H337" s="9"/>
      <x:c r="I337" s="9"/>
      <x:c r="J337" s="7"/>
      <x:c r="K337" s="7"/>
      <x:c r="L337" s="11"/>
      <x:c r="M337" s="11"/>
      <x:c r="N337" s="8"/>
      <x:c r="O337" s="7"/>
      <x:c r="P337" s="9" t="str">
        <x:f>IF($A337="","",MAX(0,$F337*$G337-$H337))</x:f>
      </x:c>
    </x:row>
    <x:row r="338">
      <x:c r="A338" s="13"/>
      <x:c r="B338" s="15"/>
      <x:c r="C338" s="13"/>
      <x:c r="D338" s="7"/>
      <x:c r="E338" s="7"/>
      <x:c r="F338" s="15"/>
      <x:c r="G338" s="16"/>
      <x:c r="H338" s="9"/>
      <x:c r="I338" s="9"/>
      <x:c r="J338" s="7"/>
      <x:c r="K338" s="7"/>
      <x:c r="L338" s="11"/>
      <x:c r="M338" s="11"/>
      <x:c r="N338" s="8"/>
      <x:c r="O338" s="7"/>
      <x:c r="P338" s="9" t="str">
        <x:f>IF($A338="","",MAX(0,$F338*$G338-$H338))</x:f>
      </x:c>
    </x:row>
    <x:row r="339">
      <x:c r="A339" s="13"/>
      <x:c r="B339" s="15"/>
      <x:c r="C339" s="13"/>
      <x:c r="D339" s="7"/>
      <x:c r="E339" s="7"/>
      <x:c r="F339" s="15"/>
      <x:c r="G339" s="16"/>
      <x:c r="H339" s="9"/>
      <x:c r="I339" s="9"/>
      <x:c r="J339" s="7"/>
      <x:c r="K339" s="7"/>
      <x:c r="L339" s="11"/>
      <x:c r="M339" s="11"/>
      <x:c r="N339" s="8"/>
      <x:c r="O339" s="7"/>
      <x:c r="P339" s="9" t="str">
        <x:f>IF($A339="","",MAX(0,$F339*$G339-$H339))</x:f>
      </x:c>
    </x:row>
    <x:row r="340">
      <x:c r="A340" s="13"/>
      <x:c r="B340" s="15"/>
      <x:c r="C340" s="13"/>
      <x:c r="D340" s="7"/>
      <x:c r="E340" s="7"/>
      <x:c r="F340" s="15"/>
      <x:c r="G340" s="16"/>
      <x:c r="H340" s="9"/>
      <x:c r="I340" s="9"/>
      <x:c r="J340" s="7"/>
      <x:c r="K340" s="7"/>
      <x:c r="L340" s="11"/>
      <x:c r="M340" s="11"/>
      <x:c r="N340" s="8"/>
      <x:c r="O340" s="7"/>
      <x:c r="P340" s="9" t="str">
        <x:f>IF($A340="","",MAX(0,$F340*$G340-$H340))</x:f>
      </x:c>
    </x:row>
    <x:row r="341">
      <x:c r="A341" s="13"/>
      <x:c r="B341" s="15"/>
      <x:c r="C341" s="13"/>
      <x:c r="D341" s="7"/>
      <x:c r="E341" s="7"/>
      <x:c r="F341" s="15"/>
      <x:c r="G341" s="16"/>
      <x:c r="H341" s="9"/>
      <x:c r="I341" s="9"/>
      <x:c r="J341" s="7"/>
      <x:c r="K341" s="7"/>
      <x:c r="L341" s="11"/>
      <x:c r="M341" s="11"/>
      <x:c r="N341" s="8"/>
      <x:c r="O341" s="7"/>
      <x:c r="P341" s="9" t="str">
        <x:f>IF($A341="","",MAX(0,$F341*$G341-$H341))</x:f>
      </x:c>
    </x:row>
    <x:row r="342">
      <x:c r="A342" s="13"/>
      <x:c r="B342" s="15"/>
      <x:c r="C342" s="13"/>
      <x:c r="D342" s="7"/>
      <x:c r="E342" s="7"/>
      <x:c r="F342" s="15"/>
      <x:c r="G342" s="16"/>
      <x:c r="H342" s="9"/>
      <x:c r="I342" s="9"/>
      <x:c r="J342" s="7"/>
      <x:c r="K342" s="7"/>
      <x:c r="L342" s="11"/>
      <x:c r="M342" s="11"/>
      <x:c r="N342" s="8"/>
      <x:c r="O342" s="7"/>
      <x:c r="P342" s="9" t="str">
        <x:f>IF($A342="","",MAX(0,$F342*$G342-$H342))</x:f>
      </x:c>
    </x:row>
    <x:row r="343">
      <x:c r="A343" s="13"/>
      <x:c r="B343" s="15"/>
      <x:c r="C343" s="13"/>
      <x:c r="D343" s="7"/>
      <x:c r="E343" s="7"/>
      <x:c r="F343" s="15"/>
      <x:c r="G343" s="16"/>
      <x:c r="H343" s="9"/>
      <x:c r="I343" s="9"/>
      <x:c r="J343" s="7"/>
      <x:c r="K343" s="7"/>
      <x:c r="L343" s="11"/>
      <x:c r="M343" s="11"/>
      <x:c r="N343" s="8"/>
      <x:c r="O343" s="7"/>
      <x:c r="P343" s="9" t="str">
        <x:f>IF($A343="","",MAX(0,$F343*$G343-$H343))</x:f>
      </x:c>
    </x:row>
    <x:row r="344">
      <x:c r="A344" s="13"/>
      <x:c r="B344" s="15"/>
      <x:c r="C344" s="13"/>
      <x:c r="D344" s="7"/>
      <x:c r="E344" s="7"/>
      <x:c r="F344" s="15"/>
      <x:c r="G344" s="16"/>
      <x:c r="H344" s="9"/>
      <x:c r="I344" s="9"/>
      <x:c r="J344" s="7"/>
      <x:c r="K344" s="7"/>
      <x:c r="L344" s="11"/>
      <x:c r="M344" s="11"/>
      <x:c r="N344" s="8"/>
      <x:c r="O344" s="7"/>
      <x:c r="P344" s="9" t="str">
        <x:f>IF($A344="","",MAX(0,$F344*$G344-$H344))</x:f>
      </x:c>
    </x:row>
    <x:row r="345">
      <x:c r="A345" s="13"/>
      <x:c r="B345" s="15"/>
      <x:c r="C345" s="13"/>
      <x:c r="D345" s="7"/>
      <x:c r="E345" s="7"/>
      <x:c r="F345" s="15"/>
      <x:c r="G345" s="16"/>
      <x:c r="H345" s="9"/>
      <x:c r="I345" s="9"/>
      <x:c r="J345" s="7"/>
      <x:c r="K345" s="7"/>
      <x:c r="L345" s="11"/>
      <x:c r="M345" s="11"/>
      <x:c r="N345" s="8"/>
      <x:c r="O345" s="7"/>
      <x:c r="P345" s="9" t="str">
        <x:f>IF($A345="","",MAX(0,$F345*$G345-$H345))</x:f>
      </x:c>
    </x:row>
    <x:row r="346">
      <x:c r="A346" s="13"/>
      <x:c r="B346" s="15"/>
      <x:c r="C346" s="13"/>
      <x:c r="D346" s="7"/>
      <x:c r="E346" s="7"/>
      <x:c r="F346" s="15"/>
      <x:c r="G346" s="16"/>
      <x:c r="H346" s="9"/>
      <x:c r="I346" s="9"/>
      <x:c r="J346" s="7"/>
      <x:c r="K346" s="7"/>
      <x:c r="L346" s="11"/>
      <x:c r="M346" s="11"/>
      <x:c r="N346" s="8"/>
      <x:c r="O346" s="7"/>
      <x:c r="P346" s="9" t="str">
        <x:f>IF($A346="","",MAX(0,$F346*$G346-$H346))</x:f>
      </x:c>
    </x:row>
    <x:row r="347">
      <x:c r="A347" s="13"/>
      <x:c r="B347" s="15"/>
      <x:c r="C347" s="13"/>
      <x:c r="D347" s="7"/>
      <x:c r="E347" s="7"/>
      <x:c r="F347" s="15"/>
      <x:c r="G347" s="16"/>
      <x:c r="H347" s="9"/>
      <x:c r="I347" s="9"/>
      <x:c r="J347" s="7"/>
      <x:c r="K347" s="7"/>
      <x:c r="L347" s="11"/>
      <x:c r="M347" s="11"/>
      <x:c r="N347" s="8"/>
      <x:c r="O347" s="7"/>
      <x:c r="P347" s="9" t="str">
        <x:f>IF($A347="","",MAX(0,$F347*$G347-$H347))</x:f>
      </x:c>
    </x:row>
    <x:row r="348">
      <x:c r="A348" s="13"/>
      <x:c r="B348" s="15"/>
      <x:c r="C348" s="13"/>
      <x:c r="D348" s="7"/>
      <x:c r="E348" s="7"/>
      <x:c r="F348" s="15"/>
      <x:c r="G348" s="16"/>
      <x:c r="H348" s="9"/>
      <x:c r="I348" s="9"/>
      <x:c r="J348" s="7"/>
      <x:c r="K348" s="7"/>
      <x:c r="L348" s="11"/>
      <x:c r="M348" s="11"/>
      <x:c r="N348" s="8"/>
      <x:c r="O348" s="7"/>
      <x:c r="P348" s="9" t="str">
        <x:f>IF($A348="","",MAX(0,$F348*$G348-$H348))</x:f>
      </x:c>
    </x:row>
    <x:row r="349">
      <x:c r="A349" s="13"/>
      <x:c r="B349" s="15"/>
      <x:c r="C349" s="13"/>
      <x:c r="D349" s="7"/>
      <x:c r="E349" s="7"/>
      <x:c r="F349" s="15"/>
      <x:c r="G349" s="16"/>
      <x:c r="H349" s="9"/>
      <x:c r="I349" s="9"/>
      <x:c r="J349" s="7"/>
      <x:c r="K349" s="7"/>
      <x:c r="L349" s="11"/>
      <x:c r="M349" s="11"/>
      <x:c r="N349" s="8"/>
      <x:c r="O349" s="7"/>
      <x:c r="P349" s="9" t="str">
        <x:f>IF($A349="","",MAX(0,$F349*$G349-$H349))</x:f>
      </x:c>
    </x:row>
    <x:row r="350">
      <x:c r="A350" s="13"/>
      <x:c r="B350" s="15"/>
      <x:c r="C350" s="13"/>
      <x:c r="D350" s="7"/>
      <x:c r="E350" s="7"/>
      <x:c r="F350" s="15"/>
      <x:c r="G350" s="16"/>
      <x:c r="H350" s="9"/>
      <x:c r="I350" s="9"/>
      <x:c r="J350" s="7"/>
      <x:c r="K350" s="7"/>
      <x:c r="L350" s="11"/>
      <x:c r="M350" s="11"/>
      <x:c r="N350" s="8"/>
      <x:c r="O350" s="7"/>
      <x:c r="P350" s="9" t="str">
        <x:f>IF($A350="","",MAX(0,$F350*$G350-$H350))</x:f>
      </x:c>
    </x:row>
    <x:row r="351">
      <x:c r="A351" s="13"/>
      <x:c r="B351" s="15"/>
      <x:c r="C351" s="13"/>
      <x:c r="D351" s="7"/>
      <x:c r="E351" s="7"/>
      <x:c r="F351" s="15"/>
      <x:c r="G351" s="16"/>
      <x:c r="H351" s="9"/>
      <x:c r="I351" s="9"/>
      <x:c r="J351" s="7"/>
      <x:c r="K351" s="7"/>
      <x:c r="L351" s="11"/>
      <x:c r="M351" s="11"/>
      <x:c r="N351" s="8"/>
      <x:c r="O351" s="7"/>
      <x:c r="P351" s="9" t="str">
        <x:f>IF($A351="","",MAX(0,$F351*$G351-$H351))</x:f>
      </x:c>
    </x:row>
    <x:row r="352">
      <x:c r="A352" s="13"/>
      <x:c r="B352" s="15"/>
      <x:c r="C352" s="13"/>
      <x:c r="D352" s="7"/>
      <x:c r="E352" s="7"/>
      <x:c r="F352" s="15"/>
      <x:c r="G352" s="16"/>
      <x:c r="H352" s="9"/>
      <x:c r="I352" s="9"/>
      <x:c r="J352" s="7"/>
      <x:c r="K352" s="7"/>
      <x:c r="L352" s="11"/>
      <x:c r="M352" s="11"/>
      <x:c r="N352" s="8"/>
      <x:c r="O352" s="7"/>
      <x:c r="P352" s="9" t="str">
        <x:f>IF($A352="","",MAX(0,$F352*$G352-$H352))</x:f>
      </x:c>
    </x:row>
    <x:row r="353">
      <x:c r="A353" s="13"/>
      <x:c r="B353" s="15"/>
      <x:c r="C353" s="13"/>
      <x:c r="D353" s="7"/>
      <x:c r="E353" s="7"/>
      <x:c r="F353" s="15"/>
      <x:c r="G353" s="16"/>
      <x:c r="H353" s="9"/>
      <x:c r="I353" s="9"/>
      <x:c r="J353" s="7"/>
      <x:c r="K353" s="7"/>
      <x:c r="L353" s="11"/>
      <x:c r="M353" s="11"/>
      <x:c r="N353" s="8"/>
      <x:c r="O353" s="7"/>
      <x:c r="P353" s="9" t="str">
        <x:f>IF($A353="","",MAX(0,$F353*$G353-$H353))</x:f>
      </x:c>
    </x:row>
    <x:row r="354">
      <x:c r="A354" s="13"/>
      <x:c r="B354" s="15"/>
      <x:c r="C354" s="13"/>
      <x:c r="D354" s="7"/>
      <x:c r="E354" s="7"/>
      <x:c r="F354" s="15"/>
      <x:c r="G354" s="16"/>
      <x:c r="H354" s="9"/>
      <x:c r="I354" s="9"/>
      <x:c r="J354" s="7"/>
      <x:c r="K354" s="7"/>
      <x:c r="L354" s="11"/>
      <x:c r="M354" s="11"/>
      <x:c r="N354" s="8"/>
      <x:c r="O354" s="7"/>
      <x:c r="P354" s="9" t="str">
        <x:f>IF($A354="","",MAX(0,$F354*$G354-$H354))</x:f>
      </x:c>
    </x:row>
    <x:row r="355">
      <x:c r="A355" s="13"/>
      <x:c r="B355" s="15"/>
      <x:c r="C355" s="13"/>
      <x:c r="D355" s="7"/>
      <x:c r="E355" s="7"/>
      <x:c r="F355" s="15"/>
      <x:c r="G355" s="16"/>
      <x:c r="H355" s="9"/>
      <x:c r="I355" s="9"/>
      <x:c r="J355" s="7"/>
      <x:c r="K355" s="7"/>
      <x:c r="L355" s="11"/>
      <x:c r="M355" s="11"/>
      <x:c r="N355" s="8"/>
      <x:c r="O355" s="7"/>
      <x:c r="P355" s="9" t="str">
        <x:f>IF($A355="","",MAX(0,$F355*$G355-$H355))</x:f>
      </x:c>
    </x:row>
    <x:row r="356">
      <x:c r="A356" s="13"/>
      <x:c r="B356" s="15"/>
      <x:c r="C356" s="13"/>
      <x:c r="D356" s="7"/>
      <x:c r="E356" s="7"/>
      <x:c r="F356" s="15"/>
      <x:c r="G356" s="16"/>
      <x:c r="H356" s="9"/>
      <x:c r="I356" s="9"/>
      <x:c r="J356" s="7"/>
      <x:c r="K356" s="7"/>
      <x:c r="L356" s="11"/>
      <x:c r="M356" s="11"/>
      <x:c r="N356" s="8"/>
      <x:c r="O356" s="7"/>
      <x:c r="P356" s="9" t="str">
        <x:f>IF($A356="","",MAX(0,$F356*$G356-$H356))</x:f>
      </x:c>
    </x:row>
    <x:row r="357">
      <x:c r="A357" s="13"/>
      <x:c r="B357" s="15"/>
      <x:c r="C357" s="13"/>
      <x:c r="D357" s="7"/>
      <x:c r="E357" s="7"/>
      <x:c r="F357" s="15"/>
      <x:c r="G357" s="16"/>
      <x:c r="H357" s="9"/>
      <x:c r="I357" s="9"/>
      <x:c r="J357" s="7"/>
      <x:c r="K357" s="7"/>
      <x:c r="L357" s="11"/>
      <x:c r="M357" s="11"/>
      <x:c r="N357" s="8"/>
      <x:c r="O357" s="7"/>
      <x:c r="P357" s="9" t="str">
        <x:f>IF($A357="","",MAX(0,$F357*$G357-$H357))</x:f>
      </x:c>
    </x:row>
    <x:row r="358">
      <x:c r="A358" s="13"/>
      <x:c r="B358" s="15"/>
      <x:c r="C358" s="13"/>
      <x:c r="D358" s="7"/>
      <x:c r="E358" s="7"/>
      <x:c r="F358" s="15"/>
      <x:c r="G358" s="16"/>
      <x:c r="H358" s="9"/>
      <x:c r="I358" s="9"/>
      <x:c r="J358" s="7"/>
      <x:c r="K358" s="7"/>
      <x:c r="L358" s="11"/>
      <x:c r="M358" s="11"/>
      <x:c r="N358" s="8"/>
      <x:c r="O358" s="7"/>
      <x:c r="P358" s="9" t="str">
        <x:f>IF($A358="","",MAX(0,$F358*$G358-$H358))</x:f>
      </x:c>
    </x:row>
    <x:row r="359">
      <x:c r="A359" s="13"/>
      <x:c r="B359" s="15"/>
      <x:c r="C359" s="13"/>
      <x:c r="D359" s="7"/>
      <x:c r="E359" s="7"/>
      <x:c r="F359" s="15"/>
      <x:c r="G359" s="16"/>
      <x:c r="H359" s="9"/>
      <x:c r="I359" s="9"/>
      <x:c r="J359" s="7"/>
      <x:c r="K359" s="7"/>
      <x:c r="L359" s="11"/>
      <x:c r="M359" s="11"/>
      <x:c r="N359" s="8"/>
      <x:c r="O359" s="7"/>
      <x:c r="P359" s="9" t="str">
        <x:f>IF($A359="","",MAX(0,$F359*$G359-$H359))</x:f>
      </x:c>
    </x:row>
    <x:row r="360">
      <x:c r="A360" s="13"/>
      <x:c r="B360" s="15"/>
      <x:c r="C360" s="13"/>
      <x:c r="D360" s="7"/>
      <x:c r="E360" s="7"/>
      <x:c r="F360" s="15"/>
      <x:c r="G360" s="16"/>
      <x:c r="H360" s="9"/>
      <x:c r="I360" s="9"/>
      <x:c r="J360" s="7"/>
      <x:c r="K360" s="7"/>
      <x:c r="L360" s="11"/>
      <x:c r="M360" s="11"/>
      <x:c r="N360" s="8"/>
      <x:c r="O360" s="7"/>
      <x:c r="P360" s="9" t="str">
        <x:f>IF($A360="","",MAX(0,$F360*$G360-$H360))</x:f>
      </x:c>
    </x:row>
    <x:row r="361">
      <x:c r="A361" s="13"/>
      <x:c r="B361" s="15"/>
      <x:c r="C361" s="13"/>
      <x:c r="D361" s="7"/>
      <x:c r="E361" s="7"/>
      <x:c r="F361" s="15"/>
      <x:c r="G361" s="16"/>
      <x:c r="H361" s="9"/>
      <x:c r="I361" s="9"/>
      <x:c r="J361" s="7"/>
      <x:c r="K361" s="7"/>
      <x:c r="L361" s="11"/>
      <x:c r="M361" s="11"/>
      <x:c r="N361" s="8"/>
      <x:c r="O361" s="7"/>
      <x:c r="P361" s="9" t="str">
        <x:f>IF($A361="","",MAX(0,$F361*$G361-$H361))</x:f>
      </x:c>
    </x:row>
    <x:row r="362">
      <x:c r="A362" s="13"/>
      <x:c r="B362" s="15"/>
      <x:c r="C362" s="13"/>
      <x:c r="D362" s="7"/>
      <x:c r="E362" s="7"/>
      <x:c r="F362" s="15"/>
      <x:c r="G362" s="16"/>
      <x:c r="H362" s="9"/>
      <x:c r="I362" s="9"/>
      <x:c r="J362" s="7"/>
      <x:c r="K362" s="7"/>
      <x:c r="L362" s="11"/>
      <x:c r="M362" s="11"/>
      <x:c r="N362" s="8"/>
      <x:c r="O362" s="7"/>
      <x:c r="P362" s="9" t="str">
        <x:f>IF($A362="","",MAX(0,$F362*$G362-$H362))</x:f>
      </x:c>
    </x:row>
    <x:row r="363">
      <x:c r="A363" s="13"/>
      <x:c r="B363" s="15"/>
      <x:c r="C363" s="13"/>
      <x:c r="D363" s="7"/>
      <x:c r="E363" s="7"/>
      <x:c r="F363" s="15"/>
      <x:c r="G363" s="16"/>
      <x:c r="H363" s="9"/>
      <x:c r="I363" s="9"/>
      <x:c r="J363" s="7"/>
      <x:c r="K363" s="7"/>
      <x:c r="L363" s="11"/>
      <x:c r="M363" s="11"/>
      <x:c r="N363" s="8"/>
      <x:c r="O363" s="7"/>
      <x:c r="P363" s="9" t="str">
        <x:f>IF($A363="","",MAX(0,$F363*$G363-$H363))</x:f>
      </x:c>
    </x:row>
    <x:row r="364">
      <x:c r="A364" s="13"/>
      <x:c r="B364" s="15"/>
      <x:c r="C364" s="13"/>
      <x:c r="D364" s="7"/>
      <x:c r="E364" s="7"/>
      <x:c r="F364" s="15"/>
      <x:c r="G364" s="16"/>
      <x:c r="H364" s="9"/>
      <x:c r="I364" s="9"/>
      <x:c r="J364" s="7"/>
      <x:c r="K364" s="7"/>
      <x:c r="L364" s="11"/>
      <x:c r="M364" s="11"/>
      <x:c r="N364" s="8"/>
      <x:c r="O364" s="7"/>
      <x:c r="P364" s="9" t="str">
        <x:f>IF($A364="","",MAX(0,$F364*$G364-$H364))</x:f>
      </x:c>
    </x:row>
    <x:row r="365">
      <x:c r="A365" s="13"/>
      <x:c r="B365" s="15"/>
      <x:c r="C365" s="13"/>
      <x:c r="D365" s="7"/>
      <x:c r="E365" s="7"/>
      <x:c r="F365" s="15"/>
      <x:c r="G365" s="16"/>
      <x:c r="H365" s="9"/>
      <x:c r="I365" s="9"/>
      <x:c r="J365" s="7"/>
      <x:c r="K365" s="7"/>
      <x:c r="L365" s="11"/>
      <x:c r="M365" s="11"/>
      <x:c r="N365" s="8"/>
      <x:c r="O365" s="7"/>
      <x:c r="P365" s="9" t="str">
        <x:f>IF($A365="","",MAX(0,$F365*$G365-$H365))</x:f>
      </x:c>
    </x:row>
    <x:row r="366">
      <x:c r="A366" s="13"/>
      <x:c r="B366" s="15"/>
      <x:c r="C366" s="13"/>
      <x:c r="D366" s="7"/>
      <x:c r="E366" s="7"/>
      <x:c r="F366" s="15"/>
      <x:c r="G366" s="16"/>
      <x:c r="H366" s="9"/>
      <x:c r="I366" s="9"/>
      <x:c r="J366" s="7"/>
      <x:c r="K366" s="7"/>
      <x:c r="L366" s="11"/>
      <x:c r="M366" s="11"/>
      <x:c r="N366" s="8"/>
      <x:c r="O366" s="7"/>
      <x:c r="P366" s="9" t="str">
        <x:f>IF($A366="","",MAX(0,$F366*$G366-$H366))</x:f>
      </x:c>
    </x:row>
    <x:row r="367">
      <x:c r="A367" s="13"/>
      <x:c r="B367" s="15"/>
      <x:c r="C367" s="13"/>
      <x:c r="D367" s="7"/>
      <x:c r="E367" s="7"/>
      <x:c r="F367" s="15"/>
      <x:c r="G367" s="16"/>
      <x:c r="H367" s="9"/>
      <x:c r="I367" s="9"/>
      <x:c r="J367" s="7"/>
      <x:c r="K367" s="7"/>
      <x:c r="L367" s="11"/>
      <x:c r="M367" s="11"/>
      <x:c r="N367" s="8"/>
      <x:c r="O367" s="7"/>
      <x:c r="P367" s="9" t="str">
        <x:f>IF($A367="","",MAX(0,$F367*$G367-$H367))</x:f>
      </x:c>
    </x:row>
    <x:row r="368">
      <x:c r="A368" s="13"/>
      <x:c r="B368" s="15"/>
      <x:c r="C368" s="13"/>
      <x:c r="D368" s="7"/>
      <x:c r="E368" s="7"/>
      <x:c r="F368" s="15"/>
      <x:c r="G368" s="16"/>
      <x:c r="H368" s="9"/>
      <x:c r="I368" s="9"/>
      <x:c r="J368" s="7"/>
      <x:c r="K368" s="7"/>
      <x:c r="L368" s="11"/>
      <x:c r="M368" s="11"/>
      <x:c r="N368" s="8"/>
      <x:c r="O368" s="7"/>
      <x:c r="P368" s="9" t="str">
        <x:f>IF($A368="","",MAX(0,$F368*$G368-$H368))</x:f>
      </x:c>
    </x:row>
    <x:row r="369">
      <x:c r="A369" s="13"/>
      <x:c r="B369" s="15"/>
      <x:c r="C369" s="13"/>
      <x:c r="D369" s="7"/>
      <x:c r="E369" s="7"/>
      <x:c r="F369" s="15"/>
      <x:c r="G369" s="16"/>
      <x:c r="H369" s="9"/>
      <x:c r="I369" s="9"/>
      <x:c r="J369" s="7"/>
      <x:c r="K369" s="7"/>
      <x:c r="L369" s="11"/>
      <x:c r="M369" s="11"/>
      <x:c r="N369" s="8"/>
      <x:c r="O369" s="7"/>
      <x:c r="P369" s="9" t="str">
        <x:f>IF($A369="","",MAX(0,$F369*$G369-$H369))</x:f>
      </x:c>
    </x:row>
    <x:row r="370">
      <x:c r="A370" s="13"/>
      <x:c r="B370" s="15"/>
      <x:c r="C370" s="13"/>
      <x:c r="D370" s="7"/>
      <x:c r="E370" s="7"/>
      <x:c r="F370" s="15"/>
      <x:c r="G370" s="16"/>
      <x:c r="H370" s="9"/>
      <x:c r="I370" s="9"/>
      <x:c r="J370" s="7"/>
      <x:c r="K370" s="7"/>
      <x:c r="L370" s="11"/>
      <x:c r="M370" s="11"/>
      <x:c r="N370" s="8"/>
      <x:c r="O370" s="7"/>
      <x:c r="P370" s="9" t="str">
        <x:f>IF($A370="","",MAX(0,$F370*$G370-$H370))</x:f>
      </x:c>
    </x:row>
    <x:row r="371">
      <x:c r="A371" s="13"/>
      <x:c r="B371" s="15"/>
      <x:c r="C371" s="13"/>
      <x:c r="D371" s="7"/>
      <x:c r="E371" s="7"/>
      <x:c r="F371" s="15"/>
      <x:c r="G371" s="16"/>
      <x:c r="H371" s="9"/>
      <x:c r="I371" s="9"/>
      <x:c r="J371" s="7"/>
      <x:c r="K371" s="7"/>
      <x:c r="L371" s="11"/>
      <x:c r="M371" s="11"/>
      <x:c r="N371" s="8"/>
      <x:c r="O371" s="7"/>
      <x:c r="P371" s="9" t="str">
        <x:f>IF($A371="","",MAX(0,$F371*$G371-$H371))</x:f>
      </x:c>
    </x:row>
    <x:row r="372">
      <x:c r="A372" s="13"/>
      <x:c r="B372" s="15"/>
      <x:c r="C372" s="13"/>
      <x:c r="D372" s="7"/>
      <x:c r="E372" s="7"/>
      <x:c r="F372" s="15"/>
      <x:c r="G372" s="16"/>
      <x:c r="H372" s="9"/>
      <x:c r="I372" s="9"/>
      <x:c r="J372" s="7"/>
      <x:c r="K372" s="7"/>
      <x:c r="L372" s="11"/>
      <x:c r="M372" s="11"/>
      <x:c r="N372" s="8"/>
      <x:c r="O372" s="7"/>
      <x:c r="P372" s="9" t="str">
        <x:f>IF($A372="","",MAX(0,$F372*$G372-$H372))</x:f>
      </x:c>
    </x:row>
    <x:row r="373">
      <x:c r="A373" s="13"/>
      <x:c r="B373" s="15"/>
      <x:c r="C373" s="13"/>
      <x:c r="D373" s="7"/>
      <x:c r="E373" s="7"/>
      <x:c r="F373" s="15"/>
      <x:c r="G373" s="16"/>
      <x:c r="H373" s="9"/>
      <x:c r="I373" s="9"/>
      <x:c r="J373" s="7"/>
      <x:c r="K373" s="7"/>
      <x:c r="L373" s="11"/>
      <x:c r="M373" s="11"/>
      <x:c r="N373" s="8"/>
      <x:c r="O373" s="7"/>
      <x:c r="P373" s="9" t="str">
        <x:f>IF($A373="","",MAX(0,$F373*$G373-$H373))</x:f>
      </x:c>
    </x:row>
    <x:row r="374">
      <x:c r="A374" s="13"/>
      <x:c r="B374" s="15"/>
      <x:c r="C374" s="13"/>
      <x:c r="D374" s="7"/>
      <x:c r="E374" s="7"/>
      <x:c r="F374" s="15"/>
      <x:c r="G374" s="16"/>
      <x:c r="H374" s="9"/>
      <x:c r="I374" s="9"/>
      <x:c r="J374" s="7"/>
      <x:c r="K374" s="7"/>
      <x:c r="L374" s="11"/>
      <x:c r="M374" s="11"/>
      <x:c r="N374" s="8"/>
      <x:c r="O374" s="7"/>
      <x:c r="P374" s="9" t="str">
        <x:f>IF($A374="","",MAX(0,$F374*$G374-$H374))</x:f>
      </x:c>
    </x:row>
    <x:row r="375">
      <x:c r="A375" s="13"/>
      <x:c r="B375" s="15"/>
      <x:c r="C375" s="13"/>
      <x:c r="D375" s="7"/>
      <x:c r="E375" s="7"/>
      <x:c r="F375" s="15"/>
      <x:c r="G375" s="16"/>
      <x:c r="H375" s="9"/>
      <x:c r="I375" s="9"/>
      <x:c r="J375" s="7"/>
      <x:c r="K375" s="7"/>
      <x:c r="L375" s="11"/>
      <x:c r="M375" s="11"/>
      <x:c r="N375" s="8"/>
      <x:c r="O375" s="7"/>
      <x:c r="P375" s="9" t="str">
        <x:f>IF($A375="","",MAX(0,$F375*$G375-$H375))</x:f>
      </x:c>
    </x:row>
    <x:row r="376">
      <x:c r="A376" s="13"/>
      <x:c r="B376" s="15"/>
      <x:c r="C376" s="13"/>
      <x:c r="D376" s="7"/>
      <x:c r="E376" s="7"/>
      <x:c r="F376" s="15"/>
      <x:c r="G376" s="16"/>
      <x:c r="H376" s="9"/>
      <x:c r="I376" s="9"/>
      <x:c r="J376" s="7"/>
      <x:c r="K376" s="7"/>
      <x:c r="L376" s="11"/>
      <x:c r="M376" s="11"/>
      <x:c r="N376" s="8"/>
      <x:c r="O376" s="7"/>
      <x:c r="P376" s="9" t="str">
        <x:f>IF($A376="","",MAX(0,$F376*$G376-$H376))</x:f>
      </x:c>
    </x:row>
    <x:row r="377">
      <x:c r="A377" s="13"/>
      <x:c r="B377" s="15"/>
      <x:c r="C377" s="13"/>
      <x:c r="D377" s="7"/>
      <x:c r="E377" s="7"/>
      <x:c r="F377" s="15"/>
      <x:c r="G377" s="16"/>
      <x:c r="H377" s="9"/>
      <x:c r="I377" s="9"/>
      <x:c r="J377" s="7"/>
      <x:c r="K377" s="7"/>
      <x:c r="L377" s="11"/>
      <x:c r="M377" s="11"/>
      <x:c r="N377" s="8"/>
      <x:c r="O377" s="7"/>
      <x:c r="P377" s="9" t="str">
        <x:f>IF($A377="","",MAX(0,$F377*$G377-$H377))</x:f>
      </x:c>
    </x:row>
    <x:row r="378">
      <x:c r="A378" s="13"/>
      <x:c r="B378" s="15"/>
      <x:c r="C378" s="13"/>
      <x:c r="D378" s="7"/>
      <x:c r="E378" s="7"/>
      <x:c r="F378" s="15"/>
      <x:c r="G378" s="16"/>
      <x:c r="H378" s="9"/>
      <x:c r="I378" s="9"/>
      <x:c r="J378" s="7"/>
      <x:c r="K378" s="7"/>
      <x:c r="L378" s="11"/>
      <x:c r="M378" s="11"/>
      <x:c r="N378" s="8"/>
      <x:c r="O378" s="7"/>
      <x:c r="P378" s="9" t="str">
        <x:f>IF($A378="","",MAX(0,$F378*$G378-$H378))</x:f>
      </x:c>
    </x:row>
    <x:row r="379">
      <x:c r="A379" s="13"/>
      <x:c r="B379" s="15"/>
      <x:c r="C379" s="13"/>
      <x:c r="D379" s="7"/>
      <x:c r="E379" s="7"/>
      <x:c r="F379" s="15"/>
      <x:c r="G379" s="16"/>
      <x:c r="H379" s="9"/>
      <x:c r="I379" s="9"/>
      <x:c r="J379" s="7"/>
      <x:c r="K379" s="7"/>
      <x:c r="L379" s="11"/>
      <x:c r="M379" s="11"/>
      <x:c r="N379" s="8"/>
      <x:c r="O379" s="7"/>
      <x:c r="P379" s="9" t="str">
        <x:f>IF($A379="","",MAX(0,$F379*$G379-$H379))</x:f>
      </x:c>
    </x:row>
    <x:row r="380">
      <x:c r="A380" s="13"/>
      <x:c r="B380" s="15"/>
      <x:c r="C380" s="13"/>
      <x:c r="D380" s="7"/>
      <x:c r="E380" s="7"/>
      <x:c r="F380" s="15"/>
      <x:c r="G380" s="16"/>
      <x:c r="H380" s="9"/>
      <x:c r="I380" s="9"/>
      <x:c r="J380" s="7"/>
      <x:c r="K380" s="7"/>
      <x:c r="L380" s="11"/>
      <x:c r="M380" s="11"/>
      <x:c r="N380" s="8"/>
      <x:c r="O380" s="7"/>
      <x:c r="P380" s="9" t="str">
        <x:f>IF($A380="","",MAX(0,$F380*$G380-$H380))</x:f>
      </x:c>
    </x:row>
    <x:row r="381">
      <x:c r="A381" s="13"/>
      <x:c r="B381" s="15"/>
      <x:c r="C381" s="13"/>
      <x:c r="D381" s="7"/>
      <x:c r="E381" s="7"/>
      <x:c r="F381" s="15"/>
      <x:c r="G381" s="16"/>
      <x:c r="H381" s="9"/>
      <x:c r="I381" s="9"/>
      <x:c r="J381" s="7"/>
      <x:c r="K381" s="7"/>
      <x:c r="L381" s="11"/>
      <x:c r="M381" s="11"/>
      <x:c r="N381" s="8"/>
      <x:c r="O381" s="7"/>
      <x:c r="P381" s="9" t="str">
        <x:f>IF($A381="","",MAX(0,$F381*$G381-$H381))</x:f>
      </x:c>
    </x:row>
    <x:row r="382">
      <x:c r="A382" s="13"/>
      <x:c r="B382" s="15"/>
      <x:c r="C382" s="13"/>
      <x:c r="D382" s="7"/>
      <x:c r="E382" s="7"/>
      <x:c r="F382" s="15"/>
      <x:c r="G382" s="16"/>
      <x:c r="H382" s="9"/>
      <x:c r="I382" s="9"/>
      <x:c r="J382" s="7"/>
      <x:c r="K382" s="7"/>
      <x:c r="L382" s="11"/>
      <x:c r="M382" s="11"/>
      <x:c r="N382" s="8"/>
      <x:c r="O382" s="7"/>
      <x:c r="P382" s="9" t="str">
        <x:f>IF($A382="","",MAX(0,$F382*$G382-$H382))</x:f>
      </x:c>
    </x:row>
    <x:row r="383">
      <x:c r="A383" s="13"/>
      <x:c r="B383" s="15"/>
      <x:c r="C383" s="13"/>
      <x:c r="D383" s="7"/>
      <x:c r="E383" s="7"/>
      <x:c r="F383" s="15"/>
      <x:c r="G383" s="16"/>
      <x:c r="H383" s="9"/>
      <x:c r="I383" s="9"/>
      <x:c r="J383" s="7"/>
      <x:c r="K383" s="7"/>
      <x:c r="L383" s="11"/>
      <x:c r="M383" s="11"/>
      <x:c r="N383" s="8"/>
      <x:c r="O383" s="7"/>
      <x:c r="P383" s="9" t="str">
        <x:f>IF($A383="","",MAX(0,$F383*$G383-$H383))</x:f>
      </x:c>
    </x:row>
    <x:row r="384">
      <x:c r="A384" s="13"/>
      <x:c r="B384" s="15"/>
      <x:c r="C384" s="13"/>
      <x:c r="D384" s="7"/>
      <x:c r="E384" s="7"/>
      <x:c r="F384" s="15"/>
      <x:c r="G384" s="16"/>
      <x:c r="H384" s="9"/>
      <x:c r="I384" s="9"/>
      <x:c r="J384" s="7"/>
      <x:c r="K384" s="7"/>
      <x:c r="L384" s="11"/>
      <x:c r="M384" s="11"/>
      <x:c r="N384" s="8"/>
      <x:c r="O384" s="7"/>
      <x:c r="P384" s="9" t="str">
        <x:f>IF($A384="","",MAX(0,$F384*$G384-$H384))</x:f>
      </x:c>
    </x:row>
    <x:row r="385">
      <x:c r="A385" s="13"/>
      <x:c r="B385" s="15"/>
      <x:c r="C385" s="13"/>
      <x:c r="D385" s="7"/>
      <x:c r="E385" s="7"/>
      <x:c r="F385" s="15"/>
      <x:c r="G385" s="16"/>
      <x:c r="H385" s="9"/>
      <x:c r="I385" s="9"/>
      <x:c r="J385" s="7"/>
      <x:c r="K385" s="7"/>
      <x:c r="L385" s="11"/>
      <x:c r="M385" s="11"/>
      <x:c r="N385" s="8"/>
      <x:c r="O385" s="7"/>
      <x:c r="P385" s="9" t="str">
        <x:f>IF($A385="","",MAX(0,$F385*$G385-$H385))</x:f>
      </x:c>
    </x:row>
    <x:row r="386">
      <x:c r="A386" s="13"/>
      <x:c r="B386" s="15"/>
      <x:c r="C386" s="13"/>
      <x:c r="D386" s="7"/>
      <x:c r="E386" s="7"/>
      <x:c r="F386" s="15"/>
      <x:c r="G386" s="16"/>
      <x:c r="H386" s="9"/>
      <x:c r="I386" s="9"/>
      <x:c r="J386" s="7"/>
      <x:c r="K386" s="7"/>
      <x:c r="L386" s="11"/>
      <x:c r="M386" s="11"/>
      <x:c r="N386" s="8"/>
      <x:c r="O386" s="7"/>
      <x:c r="P386" s="9" t="str">
        <x:f>IF($A386="","",MAX(0,$F386*$G386-$H386))</x:f>
      </x:c>
    </x:row>
    <x:row r="387">
      <x:c r="A387" s="13"/>
      <x:c r="B387" s="15"/>
      <x:c r="C387" s="13"/>
      <x:c r="D387" s="7"/>
      <x:c r="E387" s="7"/>
      <x:c r="F387" s="15"/>
      <x:c r="G387" s="16"/>
      <x:c r="H387" s="9"/>
      <x:c r="I387" s="9"/>
      <x:c r="J387" s="7"/>
      <x:c r="K387" s="7"/>
      <x:c r="L387" s="11"/>
      <x:c r="M387" s="11"/>
      <x:c r="N387" s="8"/>
      <x:c r="O387" s="7"/>
      <x:c r="P387" s="9" t="str">
        <x:f>IF($A387="","",MAX(0,$F387*$G387-$H387))</x:f>
      </x:c>
    </x:row>
    <x:row r="388">
      <x:c r="A388" s="13"/>
      <x:c r="B388" s="15"/>
      <x:c r="C388" s="13"/>
      <x:c r="D388" s="7"/>
      <x:c r="E388" s="7"/>
      <x:c r="F388" s="15"/>
      <x:c r="G388" s="16"/>
      <x:c r="H388" s="9"/>
      <x:c r="I388" s="9"/>
      <x:c r="J388" s="7"/>
      <x:c r="K388" s="7"/>
      <x:c r="L388" s="11"/>
      <x:c r="M388" s="11"/>
      <x:c r="N388" s="8"/>
      <x:c r="O388" s="7"/>
      <x:c r="P388" s="9" t="str">
        <x:f>IF($A388="","",MAX(0,$F388*$G388-$H388))</x:f>
      </x:c>
    </x:row>
    <x:row r="389">
      <x:c r="A389" s="13"/>
      <x:c r="B389" s="15"/>
      <x:c r="C389" s="13"/>
      <x:c r="D389" s="7"/>
      <x:c r="E389" s="7"/>
      <x:c r="F389" s="15"/>
      <x:c r="G389" s="16"/>
      <x:c r="H389" s="9"/>
      <x:c r="I389" s="9"/>
      <x:c r="J389" s="7"/>
      <x:c r="K389" s="7"/>
      <x:c r="L389" s="11"/>
      <x:c r="M389" s="11"/>
      <x:c r="N389" s="8"/>
      <x:c r="O389" s="7"/>
      <x:c r="P389" s="9" t="str">
        <x:f>IF($A389="","",MAX(0,$F389*$G389-$H389))</x:f>
      </x:c>
    </x:row>
    <x:row r="390">
      <x:c r="A390" s="13"/>
      <x:c r="B390" s="15"/>
      <x:c r="C390" s="13"/>
      <x:c r="D390" s="7"/>
      <x:c r="E390" s="7"/>
      <x:c r="F390" s="15"/>
      <x:c r="G390" s="16"/>
      <x:c r="H390" s="9"/>
      <x:c r="I390" s="9"/>
      <x:c r="J390" s="7"/>
      <x:c r="K390" s="7"/>
      <x:c r="L390" s="11"/>
      <x:c r="M390" s="11"/>
      <x:c r="N390" s="8"/>
      <x:c r="O390" s="7"/>
      <x:c r="P390" s="9" t="str">
        <x:f>IF($A390="","",MAX(0,$F390*$G390-$H390))</x:f>
      </x:c>
    </x:row>
    <x:row r="391">
      <x:c r="A391" s="13"/>
      <x:c r="B391" s="15"/>
      <x:c r="C391" s="13"/>
      <x:c r="D391" s="7"/>
      <x:c r="E391" s="7"/>
      <x:c r="F391" s="15"/>
      <x:c r="G391" s="16"/>
      <x:c r="H391" s="9"/>
      <x:c r="I391" s="9"/>
      <x:c r="J391" s="7"/>
      <x:c r="K391" s="7"/>
      <x:c r="L391" s="11"/>
      <x:c r="M391" s="11"/>
      <x:c r="N391" s="8"/>
      <x:c r="O391" s="7"/>
      <x:c r="P391" s="9" t="str">
        <x:f>IF($A391="","",MAX(0,$F391*$G391-$H391))</x:f>
      </x:c>
    </x:row>
    <x:row r="392">
      <x:c r="A392" s="13"/>
      <x:c r="B392" s="15"/>
      <x:c r="C392" s="13"/>
      <x:c r="D392" s="7"/>
      <x:c r="E392" s="7"/>
      <x:c r="F392" s="15"/>
      <x:c r="G392" s="16"/>
      <x:c r="H392" s="9"/>
      <x:c r="I392" s="9"/>
      <x:c r="J392" s="7"/>
      <x:c r="K392" s="7"/>
      <x:c r="L392" s="11"/>
      <x:c r="M392" s="11"/>
      <x:c r="N392" s="8"/>
      <x:c r="O392" s="7"/>
      <x:c r="P392" s="9" t="str">
        <x:f>IF($A392="","",MAX(0,$F392*$G392-$H392))</x:f>
      </x:c>
    </x:row>
    <x:row r="393">
      <x:c r="A393" s="13"/>
      <x:c r="B393" s="15"/>
      <x:c r="C393" s="13"/>
      <x:c r="D393" s="7"/>
      <x:c r="E393" s="7"/>
      <x:c r="F393" s="15"/>
      <x:c r="G393" s="16"/>
      <x:c r="H393" s="9"/>
      <x:c r="I393" s="9"/>
      <x:c r="J393" s="7"/>
      <x:c r="K393" s="7"/>
      <x:c r="L393" s="11"/>
      <x:c r="M393" s="11"/>
      <x:c r="N393" s="8"/>
      <x:c r="O393" s="7"/>
      <x:c r="P393" s="9" t="str">
        <x:f>IF($A393="","",MAX(0,$F393*$G393-$H393))</x:f>
      </x:c>
    </x:row>
    <x:row r="394">
      <x:c r="A394" s="13"/>
      <x:c r="B394" s="15"/>
      <x:c r="C394" s="13"/>
      <x:c r="D394" s="7"/>
      <x:c r="E394" s="7"/>
      <x:c r="F394" s="15"/>
      <x:c r="G394" s="16"/>
      <x:c r="H394" s="9"/>
      <x:c r="I394" s="9"/>
      <x:c r="J394" s="7"/>
      <x:c r="K394" s="7"/>
      <x:c r="L394" s="11"/>
      <x:c r="M394" s="11"/>
      <x:c r="N394" s="8"/>
      <x:c r="O394" s="7"/>
      <x:c r="P394" s="9" t="str">
        <x:f>IF($A394="","",MAX(0,$F394*$G394-$H394))</x:f>
      </x:c>
    </x:row>
    <x:row r="395">
      <x:c r="A395" s="13"/>
      <x:c r="B395" s="15"/>
      <x:c r="C395" s="13"/>
      <x:c r="D395" s="7"/>
      <x:c r="E395" s="7"/>
      <x:c r="F395" s="15"/>
      <x:c r="G395" s="16"/>
      <x:c r="H395" s="9"/>
      <x:c r="I395" s="9"/>
      <x:c r="J395" s="7"/>
      <x:c r="K395" s="7"/>
      <x:c r="L395" s="11"/>
      <x:c r="M395" s="11"/>
      <x:c r="N395" s="8"/>
      <x:c r="O395" s="7"/>
      <x:c r="P395" s="9" t="str">
        <x:f>IF($A395="","",MAX(0,$F395*$G395-$H395))</x:f>
      </x:c>
    </x:row>
    <x:row r="396">
      <x:c r="A396" s="13"/>
      <x:c r="B396" s="15"/>
      <x:c r="C396" s="13"/>
      <x:c r="D396" s="7"/>
      <x:c r="E396" s="7"/>
      <x:c r="F396" s="15"/>
      <x:c r="G396" s="16"/>
      <x:c r="H396" s="9"/>
      <x:c r="I396" s="9"/>
      <x:c r="J396" s="7"/>
      <x:c r="K396" s="7"/>
      <x:c r="L396" s="11"/>
      <x:c r="M396" s="11"/>
      <x:c r="N396" s="8"/>
      <x:c r="O396" s="7"/>
      <x:c r="P396" s="9" t="str">
        <x:f>IF($A396="","",MAX(0,$F396*$G396-$H396))</x:f>
      </x:c>
    </x:row>
    <x:row r="397">
      <x:c r="A397" s="13"/>
      <x:c r="B397" s="15"/>
      <x:c r="C397" s="13"/>
      <x:c r="D397" s="7"/>
      <x:c r="E397" s="7"/>
      <x:c r="F397" s="15"/>
      <x:c r="G397" s="16"/>
      <x:c r="H397" s="9"/>
      <x:c r="I397" s="9"/>
      <x:c r="J397" s="7"/>
      <x:c r="K397" s="7"/>
      <x:c r="L397" s="11"/>
      <x:c r="M397" s="11"/>
      <x:c r="N397" s="8"/>
      <x:c r="O397" s="7"/>
      <x:c r="P397" s="9" t="str">
        <x:f>IF($A397="","",MAX(0,$F397*$G397-$H397))</x:f>
      </x:c>
    </x:row>
    <x:row r="398">
      <x:c r="A398" s="13"/>
      <x:c r="B398" s="15"/>
      <x:c r="C398" s="13"/>
      <x:c r="D398" s="7"/>
      <x:c r="E398" s="7"/>
      <x:c r="F398" s="15"/>
      <x:c r="G398" s="16"/>
      <x:c r="H398" s="9"/>
      <x:c r="I398" s="9"/>
      <x:c r="J398" s="7"/>
      <x:c r="K398" s="7"/>
      <x:c r="L398" s="11"/>
      <x:c r="M398" s="11"/>
      <x:c r="N398" s="8"/>
      <x:c r="O398" s="7"/>
      <x:c r="P398" s="9" t="str">
        <x:f>IF($A398="","",MAX(0,$F398*$G398-$H398))</x:f>
      </x:c>
    </x:row>
    <x:row r="399">
      <x:c r="A399" s="13"/>
      <x:c r="B399" s="15"/>
      <x:c r="C399" s="13"/>
      <x:c r="D399" s="7"/>
      <x:c r="E399" s="7"/>
      <x:c r="F399" s="15"/>
      <x:c r="G399" s="16"/>
      <x:c r="H399" s="9"/>
      <x:c r="I399" s="9"/>
      <x:c r="J399" s="7"/>
      <x:c r="K399" s="7"/>
      <x:c r="L399" s="11"/>
      <x:c r="M399" s="11"/>
      <x:c r="N399" s="8"/>
      <x:c r="O399" s="7"/>
      <x:c r="P399" s="9" t="str">
        <x:f>IF($A399="","",MAX(0,$F399*$G399-$H399))</x:f>
      </x:c>
    </x:row>
    <x:row r="400">
      <x:c r="A400" s="13"/>
      <x:c r="B400" s="15"/>
      <x:c r="C400" s="13"/>
      <x:c r="D400" s="7"/>
      <x:c r="E400" s="7"/>
      <x:c r="F400" s="15"/>
      <x:c r="G400" s="16"/>
      <x:c r="H400" s="9"/>
      <x:c r="I400" s="9"/>
      <x:c r="J400" s="7"/>
      <x:c r="K400" s="7"/>
      <x:c r="L400" s="11"/>
      <x:c r="M400" s="11"/>
      <x:c r="N400" s="8"/>
      <x:c r="O400" s="7"/>
      <x:c r="P400" s="9" t="str">
        <x:f>IF($A400="","",MAX(0,$F400*$G400-$H400))</x:f>
      </x:c>
    </x:row>
    <x:row r="401">
      <x:c r="A401" s="13"/>
      <x:c r="B401" s="15"/>
      <x:c r="C401" s="13"/>
      <x:c r="D401" s="7"/>
      <x:c r="E401" s="7"/>
      <x:c r="F401" s="15"/>
      <x:c r="G401" s="16"/>
      <x:c r="H401" s="9"/>
      <x:c r="I401" s="9"/>
      <x:c r="J401" s="7"/>
      <x:c r="K401" s="7"/>
      <x:c r="L401" s="11"/>
      <x:c r="M401" s="11"/>
      <x:c r="N401" s="8"/>
      <x:c r="O401" s="7"/>
      <x:c r="P401" s="9" t="str">
        <x:f>IF($A401="","",MAX(0,$F401*$G401-$H401))</x:f>
      </x:c>
    </x:row>
    <x:row r="402">
      <x:c r="A402" s="13"/>
      <x:c r="B402" s="15"/>
      <x:c r="C402" s="13"/>
      <x:c r="D402" s="7"/>
      <x:c r="E402" s="7"/>
      <x:c r="F402" s="15"/>
      <x:c r="G402" s="16"/>
      <x:c r="H402" s="9"/>
      <x:c r="I402" s="9"/>
      <x:c r="J402" s="7"/>
      <x:c r="K402" s="7"/>
      <x:c r="L402" s="11"/>
      <x:c r="M402" s="11"/>
      <x:c r="N402" s="8"/>
      <x:c r="O402" s="7"/>
      <x:c r="P402" s="9" t="str">
        <x:f>IF($A402="","",MAX(0,$F402*$G402-$H402))</x:f>
      </x:c>
    </x:row>
    <x:row r="403">
      <x:c r="A403" s="13"/>
      <x:c r="B403" s="15"/>
      <x:c r="C403" s="13"/>
      <x:c r="D403" s="7"/>
      <x:c r="E403" s="7"/>
      <x:c r="F403" s="15"/>
      <x:c r="G403" s="16"/>
      <x:c r="H403" s="9"/>
      <x:c r="I403" s="9"/>
      <x:c r="J403" s="7"/>
      <x:c r="K403" s="7"/>
      <x:c r="L403" s="11"/>
      <x:c r="M403" s="11"/>
      <x:c r="N403" s="8"/>
      <x:c r="O403" s="7"/>
      <x:c r="P403" s="9" t="str">
        <x:f>IF($A403="","",MAX(0,$F403*$G403-$H403))</x:f>
      </x:c>
    </x:row>
    <x:row r="404">
      <x:c r="A404" s="13"/>
      <x:c r="B404" s="15"/>
      <x:c r="C404" s="13"/>
      <x:c r="D404" s="7"/>
      <x:c r="E404" s="7"/>
      <x:c r="F404" s="15"/>
      <x:c r="G404" s="16"/>
      <x:c r="H404" s="9"/>
      <x:c r="I404" s="9"/>
      <x:c r="J404" s="7"/>
      <x:c r="K404" s="7"/>
      <x:c r="L404" s="11"/>
      <x:c r="M404" s="11"/>
      <x:c r="N404" s="8"/>
      <x:c r="O404" s="7"/>
      <x:c r="P404" s="9" t="str">
        <x:f>IF($A404="","",MAX(0,$F404*$G404-$H404))</x:f>
      </x:c>
    </x:row>
    <x:row r="405">
      <x:c r="A405" s="13"/>
      <x:c r="B405" s="15"/>
      <x:c r="C405" s="13"/>
      <x:c r="D405" s="7"/>
      <x:c r="E405" s="7"/>
      <x:c r="F405" s="15"/>
      <x:c r="G405" s="16"/>
      <x:c r="H405" s="9"/>
      <x:c r="I405" s="9"/>
      <x:c r="J405" s="7"/>
      <x:c r="K405" s="7"/>
      <x:c r="L405" s="11"/>
      <x:c r="M405" s="11"/>
      <x:c r="N405" s="8"/>
      <x:c r="O405" s="7"/>
      <x:c r="P405" s="9" t="str">
        <x:f>IF($A405="","",MAX(0,$F405*$G405-$H405))</x:f>
      </x:c>
    </x:row>
    <x:row r="406">
      <x:c r="A406" s="13"/>
      <x:c r="B406" s="15"/>
      <x:c r="C406" s="13"/>
      <x:c r="D406" s="7"/>
      <x:c r="E406" s="7"/>
      <x:c r="F406" s="15"/>
      <x:c r="G406" s="16"/>
      <x:c r="H406" s="9"/>
      <x:c r="I406" s="9"/>
      <x:c r="J406" s="7"/>
      <x:c r="K406" s="7"/>
      <x:c r="L406" s="11"/>
      <x:c r="M406" s="11"/>
      <x:c r="N406" s="8"/>
      <x:c r="O406" s="7"/>
      <x:c r="P406" s="9" t="str">
        <x:f>IF($A406="","",MAX(0,$F406*$G406-$H406))</x:f>
      </x:c>
    </x:row>
    <x:row r="407">
      <x:c r="A407" s="13"/>
      <x:c r="B407" s="15"/>
      <x:c r="C407" s="13"/>
      <x:c r="D407" s="7"/>
      <x:c r="E407" s="7"/>
      <x:c r="F407" s="15"/>
      <x:c r="G407" s="16"/>
      <x:c r="H407" s="9"/>
      <x:c r="I407" s="9"/>
      <x:c r="J407" s="7"/>
      <x:c r="K407" s="7"/>
      <x:c r="L407" s="11"/>
      <x:c r="M407" s="11"/>
      <x:c r="N407" s="8"/>
      <x:c r="O407" s="7"/>
      <x:c r="P407" s="9" t="str">
        <x:f>IF($A407="","",MAX(0,$F407*$G407-$H407))</x:f>
      </x:c>
    </x:row>
    <x:row r="408">
      <x:c r="A408" s="13"/>
      <x:c r="B408" s="15"/>
      <x:c r="C408" s="13"/>
      <x:c r="D408" s="7"/>
      <x:c r="E408" s="7"/>
      <x:c r="F408" s="15"/>
      <x:c r="G408" s="16"/>
      <x:c r="H408" s="9"/>
      <x:c r="I408" s="9"/>
      <x:c r="J408" s="7"/>
      <x:c r="K408" s="7"/>
      <x:c r="L408" s="11"/>
      <x:c r="M408" s="11"/>
      <x:c r="N408" s="8"/>
      <x:c r="O408" s="7"/>
      <x:c r="P408" s="9" t="str">
        <x:f>IF($A408="","",MAX(0,$F408*$G408-$H408))</x:f>
      </x:c>
    </x:row>
    <x:row r="409">
      <x:c r="A409" s="13"/>
      <x:c r="B409" s="15"/>
      <x:c r="C409" s="13"/>
      <x:c r="D409" s="7"/>
      <x:c r="E409" s="7"/>
      <x:c r="F409" s="15"/>
      <x:c r="G409" s="16"/>
      <x:c r="H409" s="9"/>
      <x:c r="I409" s="9"/>
      <x:c r="J409" s="7"/>
      <x:c r="K409" s="7"/>
      <x:c r="L409" s="11"/>
      <x:c r="M409" s="11"/>
      <x:c r="N409" s="8"/>
      <x:c r="O409" s="7"/>
      <x:c r="P409" s="9" t="str">
        <x:f>IF($A409="","",MAX(0,$F409*$G409-$H409))</x:f>
      </x:c>
    </x:row>
    <x:row r="410">
      <x:c r="A410" s="13"/>
      <x:c r="B410" s="15"/>
      <x:c r="C410" s="13"/>
      <x:c r="D410" s="7"/>
      <x:c r="E410" s="7"/>
      <x:c r="F410" s="15"/>
      <x:c r="G410" s="16"/>
      <x:c r="H410" s="9"/>
      <x:c r="I410" s="9"/>
      <x:c r="J410" s="7"/>
      <x:c r="K410" s="7"/>
      <x:c r="L410" s="11"/>
      <x:c r="M410" s="11"/>
      <x:c r="N410" s="8"/>
      <x:c r="O410" s="7"/>
      <x:c r="P410" s="9" t="str">
        <x:f>IF($A410="","",MAX(0,$F410*$G410-$H410))</x:f>
      </x:c>
    </x:row>
    <x:row r="411">
      <x:c r="A411" s="13"/>
      <x:c r="B411" s="15"/>
      <x:c r="C411" s="13"/>
      <x:c r="D411" s="7"/>
      <x:c r="E411" s="7"/>
      <x:c r="F411" s="15"/>
      <x:c r="G411" s="16"/>
      <x:c r="H411" s="9"/>
      <x:c r="I411" s="9"/>
      <x:c r="J411" s="7"/>
      <x:c r="K411" s="7"/>
      <x:c r="L411" s="11"/>
      <x:c r="M411" s="11"/>
      <x:c r="N411" s="8"/>
      <x:c r="O411" s="7"/>
      <x:c r="P411" s="9" t="str">
        <x:f>IF($A411="","",MAX(0,$F411*$G411-$H411))</x:f>
      </x:c>
    </x:row>
    <x:row r="412">
      <x:c r="A412" s="13"/>
      <x:c r="B412" s="15"/>
      <x:c r="C412" s="13"/>
      <x:c r="D412" s="7"/>
      <x:c r="E412" s="7"/>
      <x:c r="F412" s="15"/>
      <x:c r="G412" s="16"/>
      <x:c r="H412" s="9"/>
      <x:c r="I412" s="9"/>
      <x:c r="J412" s="7"/>
      <x:c r="K412" s="7"/>
      <x:c r="L412" s="11"/>
      <x:c r="M412" s="11"/>
      <x:c r="N412" s="8"/>
      <x:c r="O412" s="7"/>
      <x:c r="P412" s="9" t="str">
        <x:f>IF($A412="","",MAX(0,$F412*$G412-$H412))</x:f>
      </x:c>
    </x:row>
    <x:row r="413">
      <x:c r="A413" s="13"/>
      <x:c r="B413" s="15"/>
      <x:c r="C413" s="13"/>
      <x:c r="D413" s="7"/>
      <x:c r="E413" s="7"/>
      <x:c r="F413" s="15"/>
      <x:c r="G413" s="16"/>
      <x:c r="H413" s="9"/>
      <x:c r="I413" s="9"/>
      <x:c r="J413" s="7"/>
      <x:c r="K413" s="7"/>
      <x:c r="L413" s="11"/>
      <x:c r="M413" s="11"/>
      <x:c r="N413" s="8"/>
      <x:c r="O413" s="7"/>
      <x:c r="P413" s="9" t="str">
        <x:f>IF($A413="","",MAX(0,$F413*$G413-$H413))</x:f>
      </x:c>
    </x:row>
    <x:row r="414">
      <x:c r="A414" s="13"/>
      <x:c r="B414" s="15"/>
      <x:c r="C414" s="13"/>
      <x:c r="D414" s="7"/>
      <x:c r="E414" s="7"/>
      <x:c r="F414" s="15"/>
      <x:c r="G414" s="16"/>
      <x:c r="H414" s="9"/>
      <x:c r="I414" s="9"/>
      <x:c r="J414" s="7"/>
      <x:c r="K414" s="7"/>
      <x:c r="L414" s="11"/>
      <x:c r="M414" s="11"/>
      <x:c r="N414" s="8"/>
      <x:c r="O414" s="7"/>
      <x:c r="P414" s="9" t="str">
        <x:f>IF($A414="","",MAX(0,$F414*$G414-$H414))</x:f>
      </x:c>
    </x:row>
    <x:row r="415">
      <x:c r="A415" s="13"/>
      <x:c r="B415" s="15"/>
      <x:c r="C415" s="13"/>
      <x:c r="D415" s="7"/>
      <x:c r="E415" s="7"/>
      <x:c r="F415" s="15"/>
      <x:c r="G415" s="16"/>
      <x:c r="H415" s="9"/>
      <x:c r="I415" s="9"/>
      <x:c r="J415" s="7"/>
      <x:c r="K415" s="7"/>
      <x:c r="L415" s="11"/>
      <x:c r="M415" s="11"/>
      <x:c r="N415" s="8"/>
      <x:c r="O415" s="7"/>
      <x:c r="P415" s="9" t="str">
        <x:f>IF($A415="","",MAX(0,$F415*$G415-$H415))</x:f>
      </x:c>
    </x:row>
    <x:row r="416">
      <x:c r="A416" s="13"/>
      <x:c r="B416" s="15"/>
      <x:c r="C416" s="13"/>
      <x:c r="D416" s="7"/>
      <x:c r="E416" s="7"/>
      <x:c r="F416" s="15"/>
      <x:c r="G416" s="16"/>
      <x:c r="H416" s="9"/>
      <x:c r="I416" s="9"/>
      <x:c r="J416" s="7"/>
      <x:c r="K416" s="7"/>
      <x:c r="L416" s="11"/>
      <x:c r="M416" s="11"/>
      <x:c r="N416" s="8"/>
      <x:c r="O416" s="7"/>
      <x:c r="P416" s="9" t="str">
        <x:f>IF($A416="","",MAX(0,$F416*$G416-$H416))</x:f>
      </x:c>
    </x:row>
    <x:row r="417">
      <x:c r="A417" s="13"/>
      <x:c r="B417" s="15"/>
      <x:c r="C417" s="13"/>
      <x:c r="D417" s="7"/>
      <x:c r="E417" s="7"/>
      <x:c r="F417" s="15"/>
      <x:c r="G417" s="16"/>
      <x:c r="H417" s="9"/>
      <x:c r="I417" s="9"/>
      <x:c r="J417" s="7"/>
      <x:c r="K417" s="7"/>
      <x:c r="L417" s="11"/>
      <x:c r="M417" s="11"/>
      <x:c r="N417" s="8"/>
      <x:c r="O417" s="7"/>
      <x:c r="P417" s="9" t="str">
        <x:f>IF($A417="","",MAX(0,$F417*$G417-$H417))</x:f>
      </x:c>
    </x:row>
    <x:row r="418">
      <x:c r="A418" s="13"/>
      <x:c r="B418" s="15"/>
      <x:c r="C418" s="13"/>
      <x:c r="D418" s="7"/>
      <x:c r="E418" s="7"/>
      <x:c r="F418" s="15"/>
      <x:c r="G418" s="16"/>
      <x:c r="H418" s="9"/>
      <x:c r="I418" s="9"/>
      <x:c r="J418" s="7"/>
      <x:c r="K418" s="7"/>
      <x:c r="L418" s="11"/>
      <x:c r="M418" s="11"/>
      <x:c r="N418" s="8"/>
      <x:c r="O418" s="7"/>
      <x:c r="P418" s="9" t="str">
        <x:f>IF($A418="","",MAX(0,$F418*$G418-$H418))</x:f>
      </x:c>
    </x:row>
    <x:row r="419">
      <x:c r="A419" s="13"/>
      <x:c r="B419" s="15"/>
      <x:c r="C419" s="13"/>
      <x:c r="D419" s="7"/>
      <x:c r="E419" s="7"/>
      <x:c r="F419" s="15"/>
      <x:c r="G419" s="16"/>
      <x:c r="H419" s="9"/>
      <x:c r="I419" s="9"/>
      <x:c r="J419" s="7"/>
      <x:c r="K419" s="7"/>
      <x:c r="L419" s="11"/>
      <x:c r="M419" s="11"/>
      <x:c r="N419" s="8"/>
      <x:c r="O419" s="7"/>
      <x:c r="P419" s="9" t="str">
        <x:f>IF($A419="","",MAX(0,$F419*$G419-$H419))</x:f>
      </x:c>
    </x:row>
    <x:row r="420">
      <x:c r="A420" s="13"/>
      <x:c r="B420" s="15"/>
      <x:c r="C420" s="13"/>
      <x:c r="D420" s="7"/>
      <x:c r="E420" s="7"/>
      <x:c r="F420" s="15"/>
      <x:c r="G420" s="16"/>
      <x:c r="H420" s="9"/>
      <x:c r="I420" s="9"/>
      <x:c r="J420" s="7"/>
      <x:c r="K420" s="7"/>
      <x:c r="L420" s="11"/>
      <x:c r="M420" s="11"/>
      <x:c r="N420" s="8"/>
      <x:c r="O420" s="7"/>
      <x:c r="P420" s="9" t="str">
        <x:f>IF($A420="","",MAX(0,$F420*$G420-$H420))</x:f>
      </x:c>
    </x:row>
    <x:row r="421">
      <x:c r="A421" s="13"/>
      <x:c r="B421" s="15"/>
      <x:c r="C421" s="13"/>
      <x:c r="D421" s="7"/>
      <x:c r="E421" s="7"/>
      <x:c r="F421" s="15"/>
      <x:c r="G421" s="16"/>
      <x:c r="H421" s="9"/>
      <x:c r="I421" s="9"/>
      <x:c r="J421" s="7"/>
      <x:c r="K421" s="7"/>
      <x:c r="L421" s="11"/>
      <x:c r="M421" s="11"/>
      <x:c r="N421" s="8"/>
      <x:c r="O421" s="7"/>
      <x:c r="P421" s="9" t="str">
        <x:f>IF($A421="","",MAX(0,$F421*$G421-$H421))</x:f>
      </x:c>
    </x:row>
    <x:row r="422">
      <x:c r="A422" s="13"/>
      <x:c r="B422" s="15"/>
      <x:c r="C422" s="13"/>
      <x:c r="D422" s="7"/>
      <x:c r="E422" s="7"/>
      <x:c r="F422" s="15"/>
      <x:c r="G422" s="16"/>
      <x:c r="H422" s="9"/>
      <x:c r="I422" s="9"/>
      <x:c r="J422" s="7"/>
      <x:c r="K422" s="7"/>
      <x:c r="L422" s="11"/>
      <x:c r="M422" s="11"/>
      <x:c r="N422" s="8"/>
      <x:c r="O422" s="7"/>
      <x:c r="P422" s="9" t="str">
        <x:f>IF($A422="","",MAX(0,$F422*$G422-$H422))</x:f>
      </x:c>
    </x:row>
    <x:row r="423">
      <x:c r="A423" s="13"/>
      <x:c r="B423" s="15"/>
      <x:c r="C423" s="13"/>
      <x:c r="D423" s="7"/>
      <x:c r="E423" s="7"/>
      <x:c r="F423" s="15"/>
      <x:c r="G423" s="16"/>
      <x:c r="H423" s="9"/>
      <x:c r="I423" s="9"/>
      <x:c r="J423" s="7"/>
      <x:c r="K423" s="7"/>
      <x:c r="L423" s="11"/>
      <x:c r="M423" s="11"/>
      <x:c r="N423" s="8"/>
      <x:c r="O423" s="7"/>
      <x:c r="P423" s="9" t="str">
        <x:f>IF($A423="","",MAX(0,$F423*$G423-$H423))</x:f>
      </x:c>
    </x:row>
    <x:row r="424">
      <x:c r="A424" s="13"/>
      <x:c r="B424" s="15"/>
      <x:c r="C424" s="13"/>
      <x:c r="D424" s="7"/>
      <x:c r="E424" s="7"/>
      <x:c r="F424" s="15"/>
      <x:c r="G424" s="16"/>
      <x:c r="H424" s="9"/>
      <x:c r="I424" s="9"/>
      <x:c r="J424" s="7"/>
      <x:c r="K424" s="7"/>
      <x:c r="L424" s="11"/>
      <x:c r="M424" s="11"/>
      <x:c r="N424" s="8"/>
      <x:c r="O424" s="7"/>
      <x:c r="P424" s="9" t="str">
        <x:f>IF($A424="","",MAX(0,$F424*$G424-$H424))</x:f>
      </x:c>
    </x:row>
    <x:row r="425">
      <x:c r="A425" s="13"/>
      <x:c r="B425" s="15"/>
      <x:c r="C425" s="13"/>
      <x:c r="D425" s="7"/>
      <x:c r="E425" s="7"/>
      <x:c r="F425" s="15"/>
      <x:c r="G425" s="16"/>
      <x:c r="H425" s="9"/>
      <x:c r="I425" s="9"/>
      <x:c r="J425" s="7"/>
      <x:c r="K425" s="7"/>
      <x:c r="L425" s="11"/>
      <x:c r="M425" s="11"/>
      <x:c r="N425" s="8"/>
      <x:c r="O425" s="7"/>
      <x:c r="P425" s="9" t="str">
        <x:f>IF($A425="","",MAX(0,$F425*$G425-$H425))</x:f>
      </x:c>
    </x:row>
    <x:row r="426">
      <x:c r="A426" s="13"/>
      <x:c r="B426" s="15"/>
      <x:c r="C426" s="13"/>
      <x:c r="D426" s="7"/>
      <x:c r="E426" s="7"/>
      <x:c r="F426" s="15"/>
      <x:c r="G426" s="16"/>
      <x:c r="H426" s="9"/>
      <x:c r="I426" s="9"/>
      <x:c r="J426" s="7"/>
      <x:c r="K426" s="7"/>
      <x:c r="L426" s="11"/>
      <x:c r="M426" s="11"/>
      <x:c r="N426" s="8"/>
      <x:c r="O426" s="7"/>
      <x:c r="P426" s="9" t="str">
        <x:f>IF($A426="","",MAX(0,$F426*$G426-$H426))</x:f>
      </x:c>
    </x:row>
    <x:row r="427">
      <x:c r="A427" s="13"/>
      <x:c r="B427" s="15"/>
      <x:c r="C427" s="13"/>
      <x:c r="D427" s="7"/>
      <x:c r="E427" s="7"/>
      <x:c r="F427" s="15"/>
      <x:c r="G427" s="16"/>
      <x:c r="H427" s="9"/>
      <x:c r="I427" s="9"/>
      <x:c r="J427" s="7"/>
      <x:c r="K427" s="7"/>
      <x:c r="L427" s="11"/>
      <x:c r="M427" s="11"/>
      <x:c r="N427" s="8"/>
      <x:c r="O427" s="7"/>
      <x:c r="P427" s="9" t="str">
        <x:f>IF($A427="","",MAX(0,$F427*$G427-$H427))</x:f>
      </x:c>
    </x:row>
    <x:row r="428">
      <x:c r="A428" s="13"/>
      <x:c r="B428" s="15"/>
      <x:c r="C428" s="13"/>
      <x:c r="D428" s="7"/>
      <x:c r="E428" s="7"/>
      <x:c r="F428" s="15"/>
      <x:c r="G428" s="16"/>
      <x:c r="H428" s="9"/>
      <x:c r="I428" s="9"/>
      <x:c r="J428" s="7"/>
      <x:c r="K428" s="7"/>
      <x:c r="L428" s="11"/>
      <x:c r="M428" s="11"/>
      <x:c r="N428" s="8"/>
      <x:c r="O428" s="7"/>
      <x:c r="P428" s="9" t="str">
        <x:f>IF($A428="","",MAX(0,$F428*$G428-$H428))</x:f>
      </x:c>
    </x:row>
    <x:row r="429">
      <x:c r="A429" s="13"/>
      <x:c r="B429" s="15"/>
      <x:c r="C429" s="13"/>
      <x:c r="D429" s="7"/>
      <x:c r="E429" s="7"/>
      <x:c r="F429" s="15"/>
      <x:c r="G429" s="16"/>
      <x:c r="H429" s="9"/>
      <x:c r="I429" s="9"/>
      <x:c r="J429" s="7"/>
      <x:c r="K429" s="7"/>
      <x:c r="L429" s="11"/>
      <x:c r="M429" s="11"/>
      <x:c r="N429" s="8"/>
      <x:c r="O429" s="7"/>
      <x:c r="P429" s="9" t="str">
        <x:f>IF($A429="","",MAX(0,$F429*$G429-$H429))</x:f>
      </x:c>
    </x:row>
    <x:row r="430">
      <x:c r="A430" s="13"/>
      <x:c r="B430" s="15"/>
      <x:c r="C430" s="13"/>
      <x:c r="D430" s="7"/>
      <x:c r="E430" s="7"/>
      <x:c r="F430" s="15"/>
      <x:c r="G430" s="16"/>
      <x:c r="H430" s="9"/>
      <x:c r="I430" s="9"/>
      <x:c r="J430" s="7"/>
      <x:c r="K430" s="7"/>
      <x:c r="L430" s="11"/>
      <x:c r="M430" s="11"/>
      <x:c r="N430" s="8"/>
      <x:c r="O430" s="7"/>
      <x:c r="P430" s="9" t="str">
        <x:f>IF($A430="","",MAX(0,$F430*$G430-$H430))</x:f>
      </x:c>
    </x:row>
    <x:row r="431">
      <x:c r="A431" s="13"/>
      <x:c r="B431" s="15"/>
      <x:c r="C431" s="13"/>
      <x:c r="D431" s="7"/>
      <x:c r="E431" s="7"/>
      <x:c r="F431" s="15"/>
      <x:c r="G431" s="16"/>
      <x:c r="H431" s="9"/>
      <x:c r="I431" s="9"/>
      <x:c r="J431" s="7"/>
      <x:c r="K431" s="7"/>
      <x:c r="L431" s="11"/>
      <x:c r="M431" s="11"/>
      <x:c r="N431" s="8"/>
      <x:c r="O431" s="7"/>
      <x:c r="P431" s="9" t="str">
        <x:f>IF($A431="","",MAX(0,$F431*$G431-$H431))</x:f>
      </x:c>
    </x:row>
    <x:row r="432">
      <x:c r="A432" s="13"/>
      <x:c r="B432" s="15"/>
      <x:c r="C432" s="13"/>
      <x:c r="D432" s="7"/>
      <x:c r="E432" s="7"/>
      <x:c r="F432" s="15"/>
      <x:c r="G432" s="16"/>
      <x:c r="H432" s="9"/>
      <x:c r="I432" s="9"/>
      <x:c r="J432" s="7"/>
      <x:c r="K432" s="7"/>
      <x:c r="L432" s="11"/>
      <x:c r="M432" s="11"/>
      <x:c r="N432" s="8"/>
      <x:c r="O432" s="7"/>
      <x:c r="P432" s="9" t="str">
        <x:f>IF($A432="","",MAX(0,$F432*$G432-$H432))</x:f>
      </x:c>
    </x:row>
    <x:row r="433">
      <x:c r="A433" s="13"/>
      <x:c r="B433" s="15"/>
      <x:c r="C433" s="13"/>
      <x:c r="D433" s="7"/>
      <x:c r="E433" s="7"/>
      <x:c r="F433" s="15"/>
      <x:c r="G433" s="16"/>
      <x:c r="H433" s="9"/>
      <x:c r="I433" s="9"/>
      <x:c r="J433" s="7"/>
      <x:c r="K433" s="7"/>
      <x:c r="L433" s="11"/>
      <x:c r="M433" s="11"/>
      <x:c r="N433" s="8"/>
      <x:c r="O433" s="7"/>
      <x:c r="P433" s="9" t="str">
        <x:f>IF($A433="","",MAX(0,$F433*$G433-$H433))</x:f>
      </x:c>
    </x:row>
    <x:row r="434">
      <x:c r="A434" s="13"/>
      <x:c r="B434" s="15"/>
      <x:c r="C434" s="13"/>
      <x:c r="D434" s="7"/>
      <x:c r="E434" s="7"/>
      <x:c r="F434" s="15"/>
      <x:c r="G434" s="16"/>
      <x:c r="H434" s="9"/>
      <x:c r="I434" s="9"/>
      <x:c r="J434" s="7"/>
      <x:c r="K434" s="7"/>
      <x:c r="L434" s="11"/>
      <x:c r="M434" s="11"/>
      <x:c r="N434" s="8"/>
      <x:c r="O434" s="7"/>
      <x:c r="P434" s="9" t="str">
        <x:f>IF($A434="","",MAX(0,$F434*$G434-$H434))</x:f>
      </x:c>
    </x:row>
    <x:row r="435">
      <x:c r="A435" s="13"/>
      <x:c r="B435" s="15"/>
      <x:c r="C435" s="13"/>
      <x:c r="D435" s="7"/>
      <x:c r="E435" s="7"/>
      <x:c r="F435" s="15"/>
      <x:c r="G435" s="16"/>
      <x:c r="H435" s="9"/>
      <x:c r="I435" s="9"/>
      <x:c r="J435" s="7"/>
      <x:c r="K435" s="7"/>
      <x:c r="L435" s="11"/>
      <x:c r="M435" s="11"/>
      <x:c r="N435" s="8"/>
      <x:c r="O435" s="7"/>
      <x:c r="P435" s="9" t="str">
        <x:f>IF($A435="","",MAX(0,$F435*$G435-$H435))</x:f>
      </x:c>
    </x:row>
    <x:row r="436">
      <x:c r="A436" s="13"/>
      <x:c r="B436" s="15"/>
      <x:c r="C436" s="13"/>
      <x:c r="D436" s="7"/>
      <x:c r="E436" s="7"/>
      <x:c r="F436" s="15"/>
      <x:c r="G436" s="16"/>
      <x:c r="H436" s="9"/>
      <x:c r="I436" s="9"/>
      <x:c r="J436" s="7"/>
      <x:c r="K436" s="7"/>
      <x:c r="L436" s="11"/>
      <x:c r="M436" s="11"/>
      <x:c r="N436" s="8"/>
      <x:c r="O436" s="7"/>
      <x:c r="P436" s="9" t="str">
        <x:f>IF($A436="","",MAX(0,$F436*$G436-$H436))</x:f>
      </x:c>
    </x:row>
    <x:row r="437">
      <x:c r="A437" s="13"/>
      <x:c r="B437" s="15"/>
      <x:c r="C437" s="13"/>
      <x:c r="D437" s="7"/>
      <x:c r="E437" s="7"/>
      <x:c r="F437" s="15"/>
      <x:c r="G437" s="16"/>
      <x:c r="H437" s="9"/>
      <x:c r="I437" s="9"/>
      <x:c r="J437" s="7"/>
      <x:c r="K437" s="7"/>
      <x:c r="L437" s="11"/>
      <x:c r="M437" s="11"/>
      <x:c r="N437" s="8"/>
      <x:c r="O437" s="7"/>
      <x:c r="P437" s="9" t="str">
        <x:f>IF($A437="","",MAX(0,$F437*$G437-$H437))</x:f>
      </x:c>
    </x:row>
    <x:row r="438">
      <x:c r="A438" s="13"/>
      <x:c r="B438" s="15"/>
      <x:c r="C438" s="13"/>
      <x:c r="D438" s="7"/>
      <x:c r="E438" s="7"/>
      <x:c r="F438" s="15"/>
      <x:c r="G438" s="16"/>
      <x:c r="H438" s="9"/>
      <x:c r="I438" s="9"/>
      <x:c r="J438" s="7"/>
      <x:c r="K438" s="7"/>
      <x:c r="L438" s="11"/>
      <x:c r="M438" s="11"/>
      <x:c r="N438" s="8"/>
      <x:c r="O438" s="7"/>
      <x:c r="P438" s="9" t="str">
        <x:f>IF($A438="","",MAX(0,$F438*$G438-$H438))</x:f>
      </x:c>
    </x:row>
    <x:row r="439">
      <x:c r="A439" s="13"/>
      <x:c r="B439" s="15"/>
      <x:c r="C439" s="13"/>
      <x:c r="D439" s="7"/>
      <x:c r="E439" s="7"/>
      <x:c r="F439" s="15"/>
      <x:c r="G439" s="16"/>
      <x:c r="H439" s="9"/>
      <x:c r="I439" s="9"/>
      <x:c r="J439" s="7"/>
      <x:c r="K439" s="7"/>
      <x:c r="L439" s="11"/>
      <x:c r="M439" s="11"/>
      <x:c r="N439" s="8"/>
      <x:c r="O439" s="7"/>
      <x:c r="P439" s="9" t="str">
        <x:f>IF($A439="","",MAX(0,$F439*$G439-$H439))</x:f>
      </x:c>
    </x:row>
    <x:row r="440">
      <x:c r="A440" s="13"/>
      <x:c r="B440" s="15"/>
      <x:c r="C440" s="13"/>
      <x:c r="D440" s="7"/>
      <x:c r="E440" s="7"/>
      <x:c r="F440" s="15"/>
      <x:c r="G440" s="16"/>
      <x:c r="H440" s="9"/>
      <x:c r="I440" s="9"/>
      <x:c r="J440" s="7"/>
      <x:c r="K440" s="7"/>
      <x:c r="L440" s="11"/>
      <x:c r="M440" s="11"/>
      <x:c r="N440" s="8"/>
      <x:c r="O440" s="7"/>
      <x:c r="P440" s="9" t="str">
        <x:f>IF($A440="","",MAX(0,$F440*$G440-$H440))</x:f>
      </x:c>
    </x:row>
    <x:row r="441">
      <x:c r="A441" s="13"/>
      <x:c r="B441" s="15"/>
      <x:c r="C441" s="13"/>
      <x:c r="D441" s="7"/>
      <x:c r="E441" s="7"/>
      <x:c r="F441" s="15"/>
      <x:c r="G441" s="16"/>
      <x:c r="H441" s="9"/>
      <x:c r="I441" s="9"/>
      <x:c r="J441" s="7"/>
      <x:c r="K441" s="7"/>
      <x:c r="L441" s="11"/>
      <x:c r="M441" s="11"/>
      <x:c r="N441" s="8"/>
      <x:c r="O441" s="7"/>
      <x:c r="P441" s="9" t="str">
        <x:f>IF($A441="","",MAX(0,$F441*$G441-$H441))</x:f>
      </x:c>
    </x:row>
    <x:row r="442">
      <x:c r="A442" s="13"/>
      <x:c r="B442" s="15"/>
      <x:c r="C442" s="13"/>
      <x:c r="D442" s="7"/>
      <x:c r="E442" s="7"/>
      <x:c r="F442" s="15"/>
      <x:c r="G442" s="16"/>
      <x:c r="H442" s="9"/>
      <x:c r="I442" s="9"/>
      <x:c r="J442" s="7"/>
      <x:c r="K442" s="7"/>
      <x:c r="L442" s="11"/>
      <x:c r="M442" s="11"/>
      <x:c r="N442" s="8"/>
      <x:c r="O442" s="7"/>
      <x:c r="P442" s="9" t="str">
        <x:f>IF($A442="","",MAX(0,$F442*$G442-$H442))</x:f>
      </x:c>
    </x:row>
    <x:row r="443">
      <x:c r="A443" s="13"/>
      <x:c r="B443" s="15"/>
      <x:c r="C443" s="13"/>
      <x:c r="D443" s="7"/>
      <x:c r="E443" s="7"/>
      <x:c r="F443" s="15"/>
      <x:c r="G443" s="16"/>
      <x:c r="H443" s="9"/>
      <x:c r="I443" s="9"/>
      <x:c r="J443" s="7"/>
      <x:c r="K443" s="7"/>
      <x:c r="L443" s="11"/>
      <x:c r="M443" s="11"/>
      <x:c r="N443" s="8"/>
      <x:c r="O443" s="7"/>
      <x:c r="P443" s="9" t="str">
        <x:f>IF($A443="","",MAX(0,$F443*$G443-$H443))</x:f>
      </x:c>
    </x:row>
    <x:row r="444">
      <x:c r="A444" s="13"/>
      <x:c r="B444" s="15"/>
      <x:c r="C444" s="13"/>
      <x:c r="D444" s="7"/>
      <x:c r="E444" s="7"/>
      <x:c r="F444" s="15"/>
      <x:c r="G444" s="16"/>
      <x:c r="H444" s="9"/>
      <x:c r="I444" s="9"/>
      <x:c r="J444" s="7"/>
      <x:c r="K444" s="7"/>
      <x:c r="L444" s="11"/>
      <x:c r="M444" s="11"/>
      <x:c r="N444" s="8"/>
      <x:c r="O444" s="7"/>
      <x:c r="P444" s="9" t="str">
        <x:f>IF($A444="","",MAX(0,$F444*$G444-$H444))</x:f>
      </x:c>
    </x:row>
    <x:row r="445">
      <x:c r="A445" s="13"/>
      <x:c r="B445" s="15"/>
      <x:c r="C445" s="13"/>
      <x:c r="D445" s="7"/>
      <x:c r="E445" s="7"/>
      <x:c r="F445" s="15"/>
      <x:c r="G445" s="16"/>
      <x:c r="H445" s="9"/>
      <x:c r="I445" s="9"/>
      <x:c r="J445" s="7"/>
      <x:c r="K445" s="7"/>
      <x:c r="L445" s="11"/>
      <x:c r="M445" s="11"/>
      <x:c r="N445" s="8"/>
      <x:c r="O445" s="7"/>
      <x:c r="P445" s="9" t="str">
        <x:f>IF($A445="","",MAX(0,$F445*$G445-$H445))</x:f>
      </x:c>
    </x:row>
    <x:row r="446">
      <x:c r="A446" s="13"/>
      <x:c r="B446" s="15"/>
      <x:c r="C446" s="13"/>
      <x:c r="D446" s="7"/>
      <x:c r="E446" s="7"/>
      <x:c r="F446" s="15"/>
      <x:c r="G446" s="16"/>
      <x:c r="H446" s="9"/>
      <x:c r="I446" s="9"/>
      <x:c r="J446" s="7"/>
      <x:c r="K446" s="7"/>
      <x:c r="L446" s="11"/>
      <x:c r="M446" s="11"/>
      <x:c r="N446" s="8"/>
      <x:c r="O446" s="7"/>
      <x:c r="P446" s="9" t="str">
        <x:f>IF($A446="","",MAX(0,$F446*$G446-$H446))</x:f>
      </x:c>
    </x:row>
    <x:row r="447">
      <x:c r="A447" s="13"/>
      <x:c r="B447" s="15"/>
      <x:c r="C447" s="13"/>
      <x:c r="D447" s="7"/>
      <x:c r="E447" s="7"/>
      <x:c r="F447" s="15"/>
      <x:c r="G447" s="16"/>
      <x:c r="H447" s="9"/>
      <x:c r="I447" s="9"/>
      <x:c r="J447" s="7"/>
      <x:c r="K447" s="7"/>
      <x:c r="L447" s="11"/>
      <x:c r="M447" s="11"/>
      <x:c r="N447" s="8"/>
      <x:c r="O447" s="7"/>
      <x:c r="P447" s="9" t="str">
        <x:f>IF($A447="","",MAX(0,$F447*$G447-$H447))</x:f>
      </x:c>
    </x:row>
    <x:row r="448">
      <x:c r="A448" s="13"/>
      <x:c r="B448" s="15"/>
      <x:c r="C448" s="13"/>
      <x:c r="D448" s="7"/>
      <x:c r="E448" s="7"/>
      <x:c r="F448" s="15"/>
      <x:c r="G448" s="16"/>
      <x:c r="H448" s="9"/>
      <x:c r="I448" s="9"/>
      <x:c r="J448" s="7"/>
      <x:c r="K448" s="7"/>
      <x:c r="L448" s="11"/>
      <x:c r="M448" s="11"/>
      <x:c r="N448" s="8"/>
      <x:c r="O448" s="7"/>
      <x:c r="P448" s="9" t="str">
        <x:f>IF($A448="","",MAX(0,$F448*$G448-$H448))</x:f>
      </x:c>
    </x:row>
    <x:row r="449">
      <x:c r="A449" s="13"/>
      <x:c r="B449" s="15"/>
      <x:c r="C449" s="13"/>
      <x:c r="D449" s="7"/>
      <x:c r="E449" s="7"/>
      <x:c r="F449" s="15"/>
      <x:c r="G449" s="16"/>
      <x:c r="H449" s="9"/>
      <x:c r="I449" s="9"/>
      <x:c r="J449" s="7"/>
      <x:c r="K449" s="7"/>
      <x:c r="L449" s="11"/>
      <x:c r="M449" s="11"/>
      <x:c r="N449" s="8"/>
      <x:c r="O449" s="7"/>
      <x:c r="P449" s="9" t="str">
        <x:f>IF($A449="","",MAX(0,$F449*$G449-$H449))</x:f>
      </x:c>
    </x:row>
    <x:row r="450">
      <x:c r="A450" s="13"/>
      <x:c r="B450" s="15"/>
      <x:c r="C450" s="13"/>
      <x:c r="D450" s="7"/>
      <x:c r="E450" s="7"/>
      <x:c r="F450" s="15"/>
      <x:c r="G450" s="16"/>
      <x:c r="H450" s="9"/>
      <x:c r="I450" s="9"/>
      <x:c r="J450" s="7"/>
      <x:c r="K450" s="7"/>
      <x:c r="L450" s="11"/>
      <x:c r="M450" s="11"/>
      <x:c r="N450" s="8"/>
      <x:c r="O450" s="7"/>
      <x:c r="P450" s="9" t="str">
        <x:f>IF($A450="","",MAX(0,$F450*$G450-$H450))</x:f>
      </x:c>
    </x:row>
    <x:row r="451">
      <x:c r="A451" s="13"/>
      <x:c r="B451" s="15"/>
      <x:c r="C451" s="13"/>
      <x:c r="D451" s="7"/>
      <x:c r="E451" s="7"/>
      <x:c r="F451" s="15"/>
      <x:c r="G451" s="16"/>
      <x:c r="H451" s="9"/>
      <x:c r="I451" s="9"/>
      <x:c r="J451" s="7"/>
      <x:c r="K451" s="7"/>
      <x:c r="L451" s="11"/>
      <x:c r="M451" s="11"/>
      <x:c r="N451" s="8"/>
      <x:c r="O451" s="7"/>
      <x:c r="P451" s="9" t="str">
        <x:f>IF($A451="","",MAX(0,$F451*$G451-$H451))</x:f>
      </x:c>
    </x:row>
    <x:row r="452">
      <x:c r="A452" s="13"/>
      <x:c r="B452" s="15"/>
      <x:c r="C452" s="13"/>
      <x:c r="D452" s="7"/>
      <x:c r="E452" s="7"/>
      <x:c r="F452" s="15"/>
      <x:c r="G452" s="16"/>
      <x:c r="H452" s="9"/>
      <x:c r="I452" s="9"/>
      <x:c r="J452" s="7"/>
      <x:c r="K452" s="7"/>
      <x:c r="L452" s="11"/>
      <x:c r="M452" s="11"/>
      <x:c r="N452" s="8"/>
      <x:c r="O452" s="7"/>
      <x:c r="P452" s="9" t="str">
        <x:f>IF($A452="","",MAX(0,$F452*$G452-$H452))</x:f>
      </x:c>
    </x:row>
    <x:row r="453">
      <x:c r="A453" s="13"/>
      <x:c r="B453" s="15"/>
      <x:c r="C453" s="13"/>
      <x:c r="D453" s="7"/>
      <x:c r="E453" s="7"/>
      <x:c r="F453" s="15"/>
      <x:c r="G453" s="16"/>
      <x:c r="H453" s="9"/>
      <x:c r="I453" s="9"/>
      <x:c r="J453" s="7"/>
      <x:c r="K453" s="7"/>
      <x:c r="L453" s="11"/>
      <x:c r="M453" s="11"/>
      <x:c r="N453" s="8"/>
      <x:c r="O453" s="7"/>
      <x:c r="P453" s="9" t="str">
        <x:f>IF($A453="","",MAX(0,$F453*$G453-$H453))</x:f>
      </x:c>
    </x:row>
    <x:row r="454">
      <x:c r="A454" s="13"/>
      <x:c r="B454" s="15"/>
      <x:c r="C454" s="13"/>
      <x:c r="D454" s="7"/>
      <x:c r="E454" s="7"/>
      <x:c r="F454" s="15"/>
      <x:c r="G454" s="16"/>
      <x:c r="H454" s="9"/>
      <x:c r="I454" s="9"/>
      <x:c r="J454" s="7"/>
      <x:c r="K454" s="7"/>
      <x:c r="L454" s="11"/>
      <x:c r="M454" s="11"/>
      <x:c r="N454" s="8"/>
      <x:c r="O454" s="7"/>
      <x:c r="P454" s="9" t="str">
        <x:f>IF($A454="","",MAX(0,$F454*$G454-$H454))</x:f>
      </x:c>
    </x:row>
    <x:row r="455">
      <x:c r="A455" s="13"/>
      <x:c r="B455" s="15"/>
      <x:c r="C455" s="13"/>
      <x:c r="D455" s="7"/>
      <x:c r="E455" s="7"/>
      <x:c r="F455" s="15"/>
      <x:c r="G455" s="16"/>
      <x:c r="H455" s="9"/>
      <x:c r="I455" s="9"/>
      <x:c r="J455" s="7"/>
      <x:c r="K455" s="7"/>
      <x:c r="L455" s="11"/>
      <x:c r="M455" s="11"/>
      <x:c r="N455" s="8"/>
      <x:c r="O455" s="7"/>
      <x:c r="P455" s="9" t="str">
        <x:f>IF($A455="","",MAX(0,$F455*$G455-$H455))</x:f>
      </x:c>
    </x:row>
    <x:row r="456">
      <x:c r="A456" s="13"/>
      <x:c r="B456" s="15"/>
      <x:c r="C456" s="13"/>
      <x:c r="D456" s="7"/>
      <x:c r="E456" s="7"/>
      <x:c r="F456" s="15"/>
      <x:c r="G456" s="16"/>
      <x:c r="H456" s="9"/>
      <x:c r="I456" s="9"/>
      <x:c r="J456" s="7"/>
      <x:c r="K456" s="7"/>
      <x:c r="L456" s="11"/>
      <x:c r="M456" s="11"/>
      <x:c r="N456" s="8"/>
      <x:c r="O456" s="7"/>
      <x:c r="P456" s="9" t="str">
        <x:f>IF($A456="","",MAX(0,$F456*$G456-$H456))</x:f>
      </x:c>
    </x:row>
    <x:row r="457">
      <x:c r="A457" s="13"/>
      <x:c r="B457" s="15"/>
      <x:c r="C457" s="13"/>
      <x:c r="D457" s="7"/>
      <x:c r="E457" s="7"/>
      <x:c r="F457" s="15"/>
      <x:c r="G457" s="16"/>
      <x:c r="H457" s="9"/>
      <x:c r="I457" s="9"/>
      <x:c r="J457" s="7"/>
      <x:c r="K457" s="7"/>
      <x:c r="L457" s="11"/>
      <x:c r="M457" s="11"/>
      <x:c r="N457" s="8"/>
      <x:c r="O457" s="7"/>
      <x:c r="P457" s="9" t="str">
        <x:f>IF($A457="","",MAX(0,$F457*$G457-$H457))</x:f>
      </x:c>
    </x:row>
    <x:row r="458">
      <x:c r="A458" s="13"/>
      <x:c r="B458" s="15"/>
      <x:c r="C458" s="13"/>
      <x:c r="D458" s="7"/>
      <x:c r="E458" s="7"/>
      <x:c r="F458" s="15"/>
      <x:c r="G458" s="16"/>
      <x:c r="H458" s="9"/>
      <x:c r="I458" s="9"/>
      <x:c r="J458" s="7"/>
      <x:c r="K458" s="7"/>
      <x:c r="L458" s="11"/>
      <x:c r="M458" s="11"/>
      <x:c r="N458" s="8"/>
      <x:c r="O458" s="7"/>
      <x:c r="P458" s="9" t="str">
        <x:f>IF($A458="","",MAX(0,$F458*$G458-$H458))</x:f>
      </x:c>
    </x:row>
    <x:row r="459">
      <x:c r="A459" s="13"/>
      <x:c r="B459" s="15"/>
      <x:c r="C459" s="13"/>
      <x:c r="D459" s="7"/>
      <x:c r="E459" s="7"/>
      <x:c r="F459" s="15"/>
      <x:c r="G459" s="16"/>
      <x:c r="H459" s="9"/>
      <x:c r="I459" s="9"/>
      <x:c r="J459" s="7"/>
      <x:c r="K459" s="7"/>
      <x:c r="L459" s="11"/>
      <x:c r="M459" s="11"/>
      <x:c r="N459" s="8"/>
      <x:c r="O459" s="7"/>
      <x:c r="P459" s="9" t="str">
        <x:f>IF($A459="","",MAX(0,$F459*$G459-$H459))</x:f>
      </x:c>
    </x:row>
    <x:row r="460">
      <x:c r="A460" s="13"/>
      <x:c r="B460" s="15"/>
      <x:c r="C460" s="13"/>
      <x:c r="D460" s="7"/>
      <x:c r="E460" s="7"/>
      <x:c r="F460" s="15"/>
      <x:c r="G460" s="16"/>
      <x:c r="H460" s="9"/>
      <x:c r="I460" s="9"/>
      <x:c r="J460" s="7"/>
      <x:c r="K460" s="7"/>
      <x:c r="L460" s="11"/>
      <x:c r="M460" s="11"/>
      <x:c r="N460" s="8"/>
      <x:c r="O460" s="7"/>
      <x:c r="P460" s="9" t="str">
        <x:f>IF($A460="","",MAX(0,$F460*$G460-$H460))</x:f>
      </x:c>
    </x:row>
    <x:row r="461">
      <x:c r="A461" s="13"/>
      <x:c r="B461" s="15"/>
      <x:c r="C461" s="13"/>
      <x:c r="D461" s="7"/>
      <x:c r="E461" s="7"/>
      <x:c r="F461" s="15"/>
      <x:c r="G461" s="16"/>
      <x:c r="H461" s="9"/>
      <x:c r="I461" s="9"/>
      <x:c r="J461" s="7"/>
      <x:c r="K461" s="7"/>
      <x:c r="L461" s="11"/>
      <x:c r="M461" s="11"/>
      <x:c r="N461" s="8"/>
      <x:c r="O461" s="7"/>
      <x:c r="P461" s="9" t="str">
        <x:f>IF($A461="","",MAX(0,$F461*$G461-$H461))</x:f>
      </x:c>
    </x:row>
    <x:row r="462">
      <x:c r="A462" s="13"/>
      <x:c r="B462" s="15"/>
      <x:c r="C462" s="13"/>
      <x:c r="D462" s="7"/>
      <x:c r="E462" s="7"/>
      <x:c r="F462" s="15"/>
      <x:c r="G462" s="16"/>
      <x:c r="H462" s="9"/>
      <x:c r="I462" s="9"/>
      <x:c r="J462" s="7"/>
      <x:c r="K462" s="7"/>
      <x:c r="L462" s="11"/>
      <x:c r="M462" s="11"/>
      <x:c r="N462" s="8"/>
      <x:c r="O462" s="7"/>
      <x:c r="P462" s="9" t="str">
        <x:f>IF($A462="","",MAX(0,$F462*$G462-$H462))</x:f>
      </x:c>
    </x:row>
    <x:row r="463">
      <x:c r="A463" s="13"/>
      <x:c r="B463" s="15"/>
      <x:c r="C463" s="13"/>
      <x:c r="D463" s="7"/>
      <x:c r="E463" s="7"/>
      <x:c r="F463" s="15"/>
      <x:c r="G463" s="16"/>
      <x:c r="H463" s="9"/>
      <x:c r="I463" s="9"/>
      <x:c r="J463" s="7"/>
      <x:c r="K463" s="7"/>
      <x:c r="L463" s="11"/>
      <x:c r="M463" s="11"/>
      <x:c r="N463" s="8"/>
      <x:c r="O463" s="7"/>
      <x:c r="P463" s="9" t="str">
        <x:f>IF($A463="","",MAX(0,$F463*$G463-$H463))</x:f>
      </x:c>
    </x:row>
    <x:row r="464">
      <x:c r="A464" s="13"/>
      <x:c r="B464" s="15"/>
      <x:c r="C464" s="13"/>
      <x:c r="D464" s="7"/>
      <x:c r="E464" s="7"/>
      <x:c r="F464" s="15"/>
      <x:c r="G464" s="16"/>
      <x:c r="H464" s="9"/>
      <x:c r="I464" s="9"/>
      <x:c r="J464" s="7"/>
      <x:c r="K464" s="7"/>
      <x:c r="L464" s="11"/>
      <x:c r="M464" s="11"/>
      <x:c r="N464" s="8"/>
      <x:c r="O464" s="7"/>
      <x:c r="P464" s="9" t="str">
        <x:f>IF($A464="","",MAX(0,$F464*$G464-$H464))</x:f>
      </x:c>
    </x:row>
    <x:row r="465">
      <x:c r="A465" s="13"/>
      <x:c r="B465" s="15"/>
      <x:c r="C465" s="13"/>
      <x:c r="D465" s="7"/>
      <x:c r="E465" s="7"/>
      <x:c r="F465" s="15"/>
      <x:c r="G465" s="16"/>
      <x:c r="H465" s="9"/>
      <x:c r="I465" s="9"/>
      <x:c r="J465" s="7"/>
      <x:c r="K465" s="7"/>
      <x:c r="L465" s="11"/>
      <x:c r="M465" s="11"/>
      <x:c r="N465" s="8"/>
      <x:c r="O465" s="7"/>
      <x:c r="P465" s="9" t="str">
        <x:f>IF($A465="","",MAX(0,$F465*$G465-$H465))</x:f>
      </x:c>
    </x:row>
    <x:row r="466">
      <x:c r="A466" s="13"/>
      <x:c r="B466" s="15"/>
      <x:c r="C466" s="13"/>
      <x:c r="D466" s="7"/>
      <x:c r="E466" s="7"/>
      <x:c r="F466" s="15"/>
      <x:c r="G466" s="16"/>
      <x:c r="H466" s="9"/>
      <x:c r="I466" s="9"/>
      <x:c r="J466" s="7"/>
      <x:c r="K466" s="7"/>
      <x:c r="L466" s="11"/>
      <x:c r="M466" s="11"/>
      <x:c r="N466" s="8"/>
      <x:c r="O466" s="7"/>
      <x:c r="P466" s="9" t="str">
        <x:f>IF($A466="","",MAX(0,$F466*$G466-$H466))</x:f>
      </x:c>
    </x:row>
    <x:row r="467">
      <x:c r="A467" s="13"/>
      <x:c r="B467" s="15"/>
      <x:c r="C467" s="13"/>
      <x:c r="D467" s="7"/>
      <x:c r="E467" s="7"/>
      <x:c r="F467" s="15"/>
      <x:c r="G467" s="16"/>
      <x:c r="H467" s="9"/>
      <x:c r="I467" s="9"/>
      <x:c r="J467" s="7"/>
      <x:c r="K467" s="7"/>
      <x:c r="L467" s="11"/>
      <x:c r="M467" s="11"/>
      <x:c r="N467" s="8"/>
      <x:c r="O467" s="7"/>
      <x:c r="P467" s="9" t="str">
        <x:f>IF($A467="","",MAX(0,$F467*$G467-$H467))</x:f>
      </x:c>
    </x:row>
    <x:row r="468">
      <x:c r="A468" s="13"/>
      <x:c r="B468" s="15"/>
      <x:c r="C468" s="13"/>
      <x:c r="D468" s="7"/>
      <x:c r="E468" s="7"/>
      <x:c r="F468" s="15"/>
      <x:c r="G468" s="16"/>
      <x:c r="H468" s="9"/>
      <x:c r="I468" s="9"/>
      <x:c r="J468" s="7"/>
      <x:c r="K468" s="7"/>
      <x:c r="L468" s="11"/>
      <x:c r="M468" s="11"/>
      <x:c r="N468" s="8"/>
      <x:c r="O468" s="7"/>
      <x:c r="P468" s="9" t="str">
        <x:f>IF($A468="","",MAX(0,$F468*$G468-$H468))</x:f>
      </x:c>
    </x:row>
    <x:row r="469">
      <x:c r="A469" s="13"/>
      <x:c r="B469" s="15"/>
      <x:c r="C469" s="13"/>
      <x:c r="D469" s="7"/>
      <x:c r="E469" s="7"/>
      <x:c r="F469" s="15"/>
      <x:c r="G469" s="16"/>
      <x:c r="H469" s="9"/>
      <x:c r="I469" s="9"/>
      <x:c r="J469" s="7"/>
      <x:c r="K469" s="7"/>
      <x:c r="L469" s="11"/>
      <x:c r="M469" s="11"/>
      <x:c r="N469" s="8"/>
      <x:c r="O469" s="7"/>
      <x:c r="P469" s="9" t="str">
        <x:f>IF($A469="","",MAX(0,$F469*$G469-$H469))</x:f>
      </x:c>
    </x:row>
    <x:row r="470">
      <x:c r="A470" s="13"/>
      <x:c r="B470" s="15"/>
      <x:c r="C470" s="13"/>
      <x:c r="D470" s="7"/>
      <x:c r="E470" s="7"/>
      <x:c r="F470" s="15"/>
      <x:c r="G470" s="16"/>
      <x:c r="H470" s="9"/>
      <x:c r="I470" s="9"/>
      <x:c r="J470" s="7"/>
      <x:c r="K470" s="7"/>
      <x:c r="L470" s="11"/>
      <x:c r="M470" s="11"/>
      <x:c r="N470" s="8"/>
      <x:c r="O470" s="7"/>
      <x:c r="P470" s="9" t="str">
        <x:f>IF($A470="","",MAX(0,$F470*$G470-$H470))</x:f>
      </x:c>
    </x:row>
    <x:row r="471">
      <x:c r="A471" s="13"/>
      <x:c r="B471" s="15"/>
      <x:c r="C471" s="13"/>
      <x:c r="D471" s="7"/>
      <x:c r="E471" s="7"/>
      <x:c r="F471" s="15"/>
      <x:c r="G471" s="16"/>
      <x:c r="H471" s="9"/>
      <x:c r="I471" s="9"/>
      <x:c r="J471" s="7"/>
      <x:c r="K471" s="7"/>
      <x:c r="L471" s="11"/>
      <x:c r="M471" s="11"/>
      <x:c r="N471" s="8"/>
      <x:c r="O471" s="7"/>
      <x:c r="P471" s="9" t="str">
        <x:f>IF($A471="","",MAX(0,$F471*$G471-$H471))</x:f>
      </x:c>
    </x:row>
    <x:row r="472">
      <x:c r="A472" s="13"/>
      <x:c r="B472" s="15"/>
      <x:c r="C472" s="13"/>
      <x:c r="D472" s="7"/>
      <x:c r="E472" s="7"/>
      <x:c r="F472" s="15"/>
      <x:c r="G472" s="16"/>
      <x:c r="H472" s="9"/>
      <x:c r="I472" s="9"/>
      <x:c r="J472" s="7"/>
      <x:c r="K472" s="7"/>
      <x:c r="L472" s="11"/>
      <x:c r="M472" s="11"/>
      <x:c r="N472" s="8"/>
      <x:c r="O472" s="7"/>
      <x:c r="P472" s="9" t="str">
        <x:f>IF($A472="","",MAX(0,$F472*$G472-$H472))</x:f>
      </x:c>
    </x:row>
    <x:row r="473">
      <x:c r="A473" s="13"/>
      <x:c r="B473" s="15"/>
      <x:c r="C473" s="13"/>
      <x:c r="D473" s="7"/>
      <x:c r="E473" s="7"/>
      <x:c r="F473" s="15"/>
      <x:c r="G473" s="16"/>
      <x:c r="H473" s="9"/>
      <x:c r="I473" s="9"/>
      <x:c r="J473" s="7"/>
      <x:c r="K473" s="7"/>
      <x:c r="L473" s="11"/>
      <x:c r="M473" s="11"/>
      <x:c r="N473" s="8"/>
      <x:c r="O473" s="7"/>
      <x:c r="P473" s="9" t="str">
        <x:f>IF($A473="","",MAX(0,$F473*$G473-$H473))</x:f>
      </x:c>
    </x:row>
    <x:row r="474">
      <x:c r="A474" s="13"/>
      <x:c r="B474" s="15"/>
      <x:c r="C474" s="13"/>
      <x:c r="D474" s="7"/>
      <x:c r="E474" s="7"/>
      <x:c r="F474" s="15"/>
      <x:c r="G474" s="16"/>
      <x:c r="H474" s="9"/>
      <x:c r="I474" s="9"/>
      <x:c r="J474" s="7"/>
      <x:c r="K474" s="7"/>
      <x:c r="L474" s="11"/>
      <x:c r="M474" s="11"/>
      <x:c r="N474" s="8"/>
      <x:c r="O474" s="7"/>
      <x:c r="P474" s="9" t="str">
        <x:f>IF($A474="","",MAX(0,$F474*$G474-$H474))</x:f>
      </x:c>
    </x:row>
    <x:row r="475">
      <x:c r="A475" s="13"/>
      <x:c r="B475" s="15"/>
      <x:c r="C475" s="13"/>
      <x:c r="D475" s="7"/>
      <x:c r="E475" s="7"/>
      <x:c r="F475" s="15"/>
      <x:c r="G475" s="16"/>
      <x:c r="H475" s="9"/>
      <x:c r="I475" s="9"/>
      <x:c r="J475" s="7"/>
      <x:c r="K475" s="7"/>
      <x:c r="L475" s="11"/>
      <x:c r="M475" s="11"/>
      <x:c r="N475" s="8"/>
      <x:c r="O475" s="7"/>
      <x:c r="P475" s="9" t="str">
        <x:f>IF($A475="","",MAX(0,$F475*$G475-$H475))</x:f>
      </x:c>
    </x:row>
    <x:row r="476">
      <x:c r="A476" s="13"/>
      <x:c r="B476" s="15"/>
      <x:c r="C476" s="13"/>
      <x:c r="D476" s="7"/>
      <x:c r="E476" s="7"/>
      <x:c r="F476" s="15"/>
      <x:c r="G476" s="16"/>
      <x:c r="H476" s="9"/>
      <x:c r="I476" s="9"/>
      <x:c r="J476" s="7"/>
      <x:c r="K476" s="7"/>
      <x:c r="L476" s="11"/>
      <x:c r="M476" s="11"/>
      <x:c r="N476" s="8"/>
      <x:c r="O476" s="7"/>
      <x:c r="P476" s="9" t="str">
        <x:f>IF($A476="","",MAX(0,$F476*$G476-$H476))</x:f>
      </x:c>
    </x:row>
    <x:row r="477">
      <x:c r="A477" s="13"/>
      <x:c r="B477" s="15"/>
      <x:c r="C477" s="13"/>
      <x:c r="D477" s="7"/>
      <x:c r="E477" s="7"/>
      <x:c r="F477" s="15"/>
      <x:c r="G477" s="16"/>
      <x:c r="H477" s="9"/>
      <x:c r="I477" s="9"/>
      <x:c r="J477" s="7"/>
      <x:c r="K477" s="7"/>
      <x:c r="L477" s="11"/>
      <x:c r="M477" s="11"/>
      <x:c r="N477" s="8"/>
      <x:c r="O477" s="7"/>
      <x:c r="P477" s="9" t="str">
        <x:f>IF($A477="","",MAX(0,$F477*$G477-$H477))</x:f>
      </x:c>
    </x:row>
    <x:row r="478">
      <x:c r="A478" s="13"/>
      <x:c r="B478" s="15"/>
      <x:c r="C478" s="13"/>
      <x:c r="D478" s="7"/>
      <x:c r="E478" s="7"/>
      <x:c r="F478" s="15"/>
      <x:c r="G478" s="16"/>
      <x:c r="H478" s="9"/>
      <x:c r="I478" s="9"/>
      <x:c r="J478" s="7"/>
      <x:c r="K478" s="7"/>
      <x:c r="L478" s="11"/>
      <x:c r="M478" s="11"/>
      <x:c r="N478" s="8"/>
      <x:c r="O478" s="7"/>
      <x:c r="P478" s="9" t="str">
        <x:f>IF($A478="","",MAX(0,$F478*$G478-$H478))</x:f>
      </x:c>
    </x:row>
    <x:row r="479">
      <x:c r="A479" s="13"/>
      <x:c r="B479" s="15"/>
      <x:c r="C479" s="13"/>
      <x:c r="D479" s="7"/>
      <x:c r="E479" s="7"/>
      <x:c r="F479" s="15"/>
      <x:c r="G479" s="16"/>
      <x:c r="H479" s="9"/>
      <x:c r="I479" s="9"/>
      <x:c r="J479" s="7"/>
      <x:c r="K479" s="7"/>
      <x:c r="L479" s="11"/>
      <x:c r="M479" s="11"/>
      <x:c r="N479" s="8"/>
      <x:c r="O479" s="7"/>
      <x:c r="P479" s="9" t="str">
        <x:f>IF($A479="","",MAX(0,$F479*$G479-$H479))</x:f>
      </x:c>
    </x:row>
    <x:row r="480">
      <x:c r="A480" s="13"/>
      <x:c r="B480" s="15"/>
      <x:c r="C480" s="13"/>
      <x:c r="D480" s="7"/>
      <x:c r="E480" s="7"/>
      <x:c r="F480" s="15"/>
      <x:c r="G480" s="16"/>
      <x:c r="H480" s="9"/>
      <x:c r="I480" s="9"/>
      <x:c r="J480" s="7"/>
      <x:c r="K480" s="7"/>
      <x:c r="L480" s="11"/>
      <x:c r="M480" s="11"/>
      <x:c r="N480" s="8"/>
      <x:c r="O480" s="7"/>
      <x:c r="P480" s="9" t="str">
        <x:f>IF($A480="","",MAX(0,$F480*$G480-$H480))</x:f>
      </x:c>
    </x:row>
    <x:row r="481">
      <x:c r="A481" s="13"/>
      <x:c r="B481" s="15"/>
      <x:c r="C481" s="13"/>
      <x:c r="D481" s="7"/>
      <x:c r="E481" s="7"/>
      <x:c r="F481" s="15"/>
      <x:c r="G481" s="16"/>
      <x:c r="H481" s="9"/>
      <x:c r="I481" s="9"/>
      <x:c r="J481" s="7"/>
      <x:c r="K481" s="7"/>
      <x:c r="L481" s="11"/>
      <x:c r="M481" s="11"/>
      <x:c r="N481" s="8"/>
      <x:c r="O481" s="7"/>
      <x:c r="P481" s="9" t="str">
        <x:f>IF($A481="","",MAX(0,$F481*$G481-$H481))</x:f>
      </x:c>
    </x:row>
    <x:row r="482">
      <x:c r="A482" s="13"/>
      <x:c r="B482" s="15"/>
      <x:c r="C482" s="13"/>
      <x:c r="D482" s="7"/>
      <x:c r="E482" s="7"/>
      <x:c r="F482" s="15"/>
      <x:c r="G482" s="16"/>
      <x:c r="H482" s="9"/>
      <x:c r="I482" s="9"/>
      <x:c r="J482" s="7"/>
      <x:c r="K482" s="7"/>
      <x:c r="L482" s="11"/>
      <x:c r="M482" s="11"/>
      <x:c r="N482" s="8"/>
      <x:c r="O482" s="7"/>
      <x:c r="P482" s="9" t="str">
        <x:f>IF($A482="","",MAX(0,$F482*$G482-$H482))</x:f>
      </x:c>
    </x:row>
    <x:row r="483">
      <x:c r="A483" s="13"/>
      <x:c r="B483" s="15"/>
      <x:c r="C483" s="13"/>
      <x:c r="D483" s="7"/>
      <x:c r="E483" s="7"/>
      <x:c r="F483" s="15"/>
      <x:c r="G483" s="16"/>
      <x:c r="H483" s="9"/>
      <x:c r="I483" s="9"/>
      <x:c r="J483" s="7"/>
      <x:c r="K483" s="7"/>
      <x:c r="L483" s="11"/>
      <x:c r="M483" s="11"/>
      <x:c r="N483" s="8"/>
      <x:c r="O483" s="7"/>
      <x:c r="P483" s="9" t="str">
        <x:f>IF($A483="","",MAX(0,$F483*$G483-$H483))</x:f>
      </x:c>
    </x:row>
    <x:row r="484">
      <x:c r="A484" s="13"/>
      <x:c r="B484" s="15"/>
      <x:c r="C484" s="13"/>
      <x:c r="D484" s="7"/>
      <x:c r="E484" s="7"/>
      <x:c r="F484" s="15"/>
      <x:c r="G484" s="16"/>
      <x:c r="H484" s="9"/>
      <x:c r="I484" s="9"/>
      <x:c r="J484" s="7"/>
      <x:c r="K484" s="7"/>
      <x:c r="L484" s="11"/>
      <x:c r="M484" s="11"/>
      <x:c r="N484" s="8"/>
      <x:c r="O484" s="7"/>
      <x:c r="P484" s="9" t="str">
        <x:f>IF($A484="","",MAX(0,$F484*$G484-$H484))</x:f>
      </x:c>
    </x:row>
    <x:row r="485">
      <x:c r="A485" s="13"/>
      <x:c r="B485" s="15"/>
      <x:c r="C485" s="13"/>
      <x:c r="D485" s="7"/>
      <x:c r="E485" s="7"/>
      <x:c r="F485" s="15"/>
      <x:c r="G485" s="16"/>
      <x:c r="H485" s="9"/>
      <x:c r="I485" s="9"/>
      <x:c r="J485" s="7"/>
      <x:c r="K485" s="7"/>
      <x:c r="L485" s="11"/>
      <x:c r="M485" s="11"/>
      <x:c r="N485" s="8"/>
      <x:c r="O485" s="7"/>
      <x:c r="P485" s="9" t="str">
        <x:f>IF($A485="","",MAX(0,$F485*$G485-$H485))</x:f>
      </x:c>
    </x:row>
    <x:row r="486">
      <x:c r="A486" s="13"/>
      <x:c r="B486" s="15"/>
      <x:c r="C486" s="13"/>
      <x:c r="D486" s="7"/>
      <x:c r="E486" s="7"/>
      <x:c r="F486" s="15"/>
      <x:c r="G486" s="16"/>
      <x:c r="H486" s="9"/>
      <x:c r="I486" s="9"/>
      <x:c r="J486" s="7"/>
      <x:c r="K486" s="7"/>
      <x:c r="L486" s="11"/>
      <x:c r="M486" s="11"/>
      <x:c r="N486" s="8"/>
      <x:c r="O486" s="7"/>
      <x:c r="P486" s="9" t="str">
        <x:f>IF($A486="","",MAX(0,$F486*$G486-$H486))</x:f>
      </x:c>
    </x:row>
    <x:row r="487">
      <x:c r="A487" s="13"/>
      <x:c r="B487" s="15"/>
      <x:c r="C487" s="13"/>
      <x:c r="D487" s="7"/>
      <x:c r="E487" s="7"/>
      <x:c r="F487" s="15"/>
      <x:c r="G487" s="16"/>
      <x:c r="H487" s="9"/>
      <x:c r="I487" s="9"/>
      <x:c r="J487" s="7"/>
      <x:c r="K487" s="7"/>
      <x:c r="L487" s="11"/>
      <x:c r="M487" s="11"/>
      <x:c r="N487" s="8"/>
      <x:c r="O487" s="7"/>
      <x:c r="P487" s="9" t="str">
        <x:f>IF($A487="","",MAX(0,$F487*$G487-$H487))</x:f>
      </x:c>
    </x:row>
    <x:row r="488">
      <x:c r="A488" s="13"/>
      <x:c r="B488" s="15"/>
      <x:c r="C488" s="13"/>
      <x:c r="D488" s="7"/>
      <x:c r="E488" s="7"/>
      <x:c r="F488" s="15"/>
      <x:c r="G488" s="16"/>
      <x:c r="H488" s="9"/>
      <x:c r="I488" s="9"/>
      <x:c r="J488" s="7"/>
      <x:c r="K488" s="7"/>
      <x:c r="L488" s="11"/>
      <x:c r="M488" s="11"/>
      <x:c r="N488" s="8"/>
      <x:c r="O488" s="7"/>
      <x:c r="P488" s="9" t="str">
        <x:f>IF($A488="","",MAX(0,$F488*$G488-$H488))</x:f>
      </x:c>
    </x:row>
    <x:row r="489">
      <x:c r="A489" s="13"/>
      <x:c r="B489" s="15"/>
      <x:c r="C489" s="13"/>
      <x:c r="D489" s="7"/>
      <x:c r="E489" s="7"/>
      <x:c r="F489" s="15"/>
      <x:c r="G489" s="16"/>
      <x:c r="H489" s="9"/>
      <x:c r="I489" s="9"/>
      <x:c r="J489" s="7"/>
      <x:c r="K489" s="7"/>
      <x:c r="L489" s="11"/>
      <x:c r="M489" s="11"/>
      <x:c r="N489" s="8"/>
      <x:c r="O489" s="7"/>
      <x:c r="P489" s="9" t="str">
        <x:f>IF($A489="","",MAX(0,$F489*$G489-$H489))</x:f>
      </x:c>
    </x:row>
    <x:row r="490">
      <x:c r="A490" s="13"/>
      <x:c r="B490" s="15"/>
      <x:c r="C490" s="13"/>
      <x:c r="D490" s="7"/>
      <x:c r="E490" s="7"/>
      <x:c r="F490" s="15"/>
      <x:c r="G490" s="16"/>
      <x:c r="H490" s="9"/>
      <x:c r="I490" s="9"/>
      <x:c r="J490" s="7"/>
      <x:c r="K490" s="7"/>
      <x:c r="L490" s="11"/>
      <x:c r="M490" s="11"/>
      <x:c r="N490" s="8"/>
      <x:c r="O490" s="7"/>
      <x:c r="P490" s="9" t="str">
        <x:f>IF($A490="","",MAX(0,$F490*$G490-$H490))</x:f>
      </x:c>
    </x:row>
    <x:row r="491">
      <x:c r="A491" s="13"/>
      <x:c r="B491" s="15"/>
      <x:c r="C491" s="13"/>
      <x:c r="D491" s="7"/>
      <x:c r="E491" s="7"/>
      <x:c r="F491" s="15"/>
      <x:c r="G491" s="16"/>
      <x:c r="H491" s="9"/>
      <x:c r="I491" s="9"/>
      <x:c r="J491" s="7"/>
      <x:c r="K491" s="7"/>
      <x:c r="L491" s="11"/>
      <x:c r="M491" s="11"/>
      <x:c r="N491" s="8"/>
      <x:c r="O491" s="7"/>
      <x:c r="P491" s="9" t="str">
        <x:f>IF($A491="","",MAX(0,$F491*$G491-$H491))</x:f>
      </x:c>
    </x:row>
    <x:row r="492">
      <x:c r="A492" s="13"/>
      <x:c r="B492" s="15"/>
      <x:c r="C492" s="13"/>
      <x:c r="D492" s="7"/>
      <x:c r="E492" s="7"/>
      <x:c r="F492" s="15"/>
      <x:c r="G492" s="16"/>
      <x:c r="H492" s="9"/>
      <x:c r="I492" s="9"/>
      <x:c r="J492" s="7"/>
      <x:c r="K492" s="7"/>
      <x:c r="L492" s="11"/>
      <x:c r="M492" s="11"/>
      <x:c r="N492" s="8"/>
      <x:c r="O492" s="7"/>
      <x:c r="P492" s="9" t="str">
        <x:f>IF($A492="","",MAX(0,$F492*$G492-$H492))</x:f>
      </x:c>
    </x:row>
    <x:row r="493">
      <x:c r="A493" s="13"/>
      <x:c r="B493" s="15"/>
      <x:c r="C493" s="13"/>
      <x:c r="D493" s="7"/>
      <x:c r="E493" s="7"/>
      <x:c r="F493" s="15"/>
      <x:c r="G493" s="16"/>
      <x:c r="H493" s="9"/>
      <x:c r="I493" s="9"/>
      <x:c r="J493" s="7"/>
      <x:c r="K493" s="7"/>
      <x:c r="L493" s="11"/>
      <x:c r="M493" s="11"/>
      <x:c r="N493" s="8"/>
      <x:c r="O493" s="7"/>
      <x:c r="P493" s="9" t="str">
        <x:f>IF($A493="","",MAX(0,$F493*$G493-$H493))</x:f>
      </x:c>
    </x:row>
    <x:row r="494">
      <x:c r="A494" s="13"/>
      <x:c r="B494" s="15"/>
      <x:c r="C494" s="13"/>
      <x:c r="D494" s="7"/>
      <x:c r="E494" s="7"/>
      <x:c r="F494" s="15"/>
      <x:c r="G494" s="16"/>
      <x:c r="H494" s="9"/>
      <x:c r="I494" s="9"/>
      <x:c r="J494" s="7"/>
      <x:c r="K494" s="7"/>
      <x:c r="L494" s="11"/>
      <x:c r="M494" s="11"/>
      <x:c r="N494" s="8"/>
      <x:c r="O494" s="7"/>
      <x:c r="P494" s="9" t="str">
        <x:f>IF($A494="","",MAX(0,$F494*$G494-$H494))</x:f>
      </x:c>
    </x:row>
    <x:row r="495">
      <x:c r="A495" s="13"/>
      <x:c r="B495" s="15"/>
      <x:c r="C495" s="13"/>
      <x:c r="D495" s="7"/>
      <x:c r="E495" s="7"/>
      <x:c r="F495" s="15"/>
      <x:c r="G495" s="16"/>
      <x:c r="H495" s="9"/>
      <x:c r="I495" s="9"/>
      <x:c r="J495" s="7"/>
      <x:c r="K495" s="7"/>
      <x:c r="L495" s="11"/>
      <x:c r="M495" s="11"/>
      <x:c r="N495" s="8"/>
      <x:c r="O495" s="7"/>
      <x:c r="P495" s="9" t="str">
        <x:f>IF($A495="","",MAX(0,$F495*$G495-$H495))</x:f>
      </x:c>
    </x:row>
    <x:row r="496">
      <x:c r="A496" s="13"/>
      <x:c r="B496" s="15"/>
      <x:c r="C496" s="13"/>
      <x:c r="D496" s="7"/>
      <x:c r="E496" s="7"/>
      <x:c r="F496" s="15"/>
      <x:c r="G496" s="16"/>
      <x:c r="H496" s="9"/>
      <x:c r="I496" s="9"/>
      <x:c r="J496" s="7"/>
      <x:c r="K496" s="7"/>
      <x:c r="L496" s="11"/>
      <x:c r="M496" s="11"/>
      <x:c r="N496" s="8"/>
      <x:c r="O496" s="7"/>
      <x:c r="P496" s="9" t="str">
        <x:f>IF($A496="","",MAX(0,$F496*$G496-$H496))</x:f>
      </x:c>
    </x:row>
    <x:row r="497">
      <x:c r="A497" s="13"/>
      <x:c r="B497" s="15"/>
      <x:c r="C497" s="13"/>
      <x:c r="D497" s="7"/>
      <x:c r="E497" s="7"/>
      <x:c r="F497" s="15"/>
      <x:c r="G497" s="16"/>
      <x:c r="H497" s="9"/>
      <x:c r="I497" s="9"/>
      <x:c r="J497" s="7"/>
      <x:c r="K497" s="7"/>
      <x:c r="L497" s="11"/>
      <x:c r="M497" s="11"/>
      <x:c r="N497" s="8"/>
      <x:c r="O497" s="7"/>
      <x:c r="P497" s="9" t="str">
        <x:f>IF($A497="","",MAX(0,$F497*$G497-$H497))</x:f>
      </x:c>
    </x:row>
    <x:row r="498">
      <x:c r="A498" s="13"/>
      <x:c r="B498" s="15"/>
      <x:c r="C498" s="13"/>
      <x:c r="D498" s="7"/>
      <x:c r="E498" s="7"/>
      <x:c r="F498" s="15"/>
      <x:c r="G498" s="16"/>
      <x:c r="H498" s="9"/>
      <x:c r="I498" s="9"/>
      <x:c r="J498" s="7"/>
      <x:c r="K498" s="7"/>
      <x:c r="L498" s="11"/>
      <x:c r="M498" s="11"/>
      <x:c r="N498" s="8"/>
      <x:c r="O498" s="7"/>
      <x:c r="P498" s="9" t="str">
        <x:f>IF($A498="","",MAX(0,$F498*$G498-$H498))</x:f>
      </x:c>
    </x:row>
    <x:row r="499">
      <x:c r="A499" s="13"/>
      <x:c r="B499" s="15"/>
      <x:c r="C499" s="13"/>
      <x:c r="D499" s="7"/>
      <x:c r="E499" s="7"/>
      <x:c r="F499" s="15"/>
      <x:c r="G499" s="16"/>
      <x:c r="H499" s="9"/>
      <x:c r="I499" s="9"/>
      <x:c r="J499" s="7"/>
      <x:c r="K499" s="7"/>
      <x:c r="L499" s="11"/>
      <x:c r="M499" s="11"/>
      <x:c r="N499" s="8"/>
      <x:c r="O499" s="7"/>
      <x:c r="P499" s="9" t="str">
        <x:f>IF($A499="","",MAX(0,$F499*$G499-$H499))</x:f>
      </x:c>
    </x:row>
    <x:row r="500">
      <x:c r="A500" s="13"/>
      <x:c r="B500" s="15"/>
      <x:c r="C500" s="13"/>
      <x:c r="D500" s="7"/>
      <x:c r="E500" s="7"/>
      <x:c r="F500" s="15"/>
      <x:c r="G500" s="16"/>
      <x:c r="H500" s="9"/>
      <x:c r="I500" s="9"/>
      <x:c r="J500" s="7"/>
      <x:c r="K500" s="7"/>
      <x:c r="L500" s="11"/>
      <x:c r="M500" s="11"/>
      <x:c r="N500" s="8"/>
      <x:c r="O500" s="7"/>
      <x:c r="P500" s="9" t="str">
        <x:f>IF($A500="","",MAX(0,$F500*$G500-$H500))</x:f>
      </x:c>
    </x:row>
    <x:row r="501">
      <x:c r="A501" s="13"/>
      <x:c r="B501" s="15"/>
      <x:c r="C501" s="13"/>
      <x:c r="D501" s="7"/>
      <x:c r="E501" s="7"/>
      <x:c r="F501" s="15"/>
      <x:c r="G501" s="16"/>
      <x:c r="H501" s="9"/>
      <x:c r="I501" s="9"/>
      <x:c r="J501" s="7"/>
      <x:c r="K501" s="7"/>
      <x:c r="L501" s="11"/>
      <x:c r="M501" s="11"/>
      <x:c r="N501" s="8"/>
      <x:c r="O501" s="7"/>
      <x:c r="P501" s="9" t="str">
        <x:f>IF($A501="","",MAX(0,$F501*$G501-$H501))</x:f>
      </x:c>
    </x:row>
  </x:sheetData>
  <x:dataValidations count="1">
    <x:dataValidation type="list" sqref="C2:C501">
      <x:formula1>"INVENTORY,ASSET,PREPAID"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44f4392c914a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.75" hidden="0" customWidth="1"/>
    <x:col min="3" max="3" width="12.5" hidden="0" customWidth="1"/>
    <x:col min="4" max="4" width="13.130000114440918" hidden="0" customWidth="1"/>
    <x:col min="5" max="5" width="13.130000114440918" hidden="0" customWidth="1"/>
    <x:col min="6" max="6" width="15.630000114440918" hidden="0" customWidth="1"/>
    <x:col min="7" max="7" width="16.8799991607666" hidden="0" customWidth="1"/>
    <x:col min="8" max="8" width="16.8799991607666" hidden="0" customWidth="1"/>
    <x:col min="9" max="9" width="13.130000114440918" hidden="0" customWidth="1"/>
    <x:col min="10" max="10" width="10" hidden="0" customWidth="1"/>
    <x:col min="11" max="11" width="13.130000114440918" hidden="0" customWidth="1"/>
    <x:col min="12" max="12" width="14.380000114440918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6.8799991607666" hidden="0" customWidth="1"/>
    <x:col min="17" max="17" width="16.8799991607666" hidden="0" customWidth="1"/>
    <x:col min="18" max="18" width="15" hidden="0" customWidth="1"/>
    <x:col min="19" max="19" width="18.1299991607666" hidden="0" customWidth="1"/>
    <x:col min="20" max="20" width="16.25" hidden="0" customWidth="1"/>
    <x:col min="21" max="21" width="15.630000114440918" hidden="0" customWidth="1"/>
    <x:col min="22" max="22" width="16.25" hidden="0" customWidth="1"/>
    <x:col min="23" max="23" width="14.380000114440918" hidden="0" customWidth="1"/>
    <x:col min="24" max="24" width="14.380000114440918" hidden="0" customWidth="1"/>
    <x:col min="25" max="25" width="16.25" hidden="0" customWidth="1"/>
    <x:col min="26" max="26" width="13.130000114440918" hidden="0" customWidth="1"/>
    <x:col min="27" max="27" width="16.25" hidden="0" customWidth="1"/>
    <x:col min="28" max="28" width="21.8799991607666" hidden="0" customWidth="1"/>
    <x:col min="29" max="29" width="18.75" hidden="0" customWidth="1"/>
    <x:col min="30" max="30" width="18.1299991607666" hidden="0" customWidth="1"/>
    <x:col min="31" max="31" width="15" hidden="0" customWidth="1"/>
    <x:col min="32" max="32" width="31.25" hidden="0" customWidth="1"/>
    <x:col min="33" max="33" width="31.25" hidden="0" customWidth="1"/>
    <x:col min="34" max="34" width="31.25" hidden="0" customWidth="1"/>
    <x:col min="35" max="35" width="31.25" hidden="0" customWidth="1"/>
    <x:col min="36" max="36" width="16.8799991607666" hidden="0" customWidth="1"/>
    <x:col min="37" max="37" width="19.3799991607666" hidden="0" customWidth="1"/>
    <x:col min="38" max="38" width="16.8799991607666" hidden="0" customWidth="1"/>
    <x:col min="39" max="39" width="16.25" hidden="0" customWidth="1"/>
    <x:col min="40" max="40" width="16.8799991607666" hidden="0" customWidth="1"/>
    <x:col min="41" max="41" width="16.8799991607666" hidden="0" customWidth="1"/>
    <x:col min="42" max="42" width="16.8799991607666" hidden="0" customWidth="1"/>
  </x:cols>
  <x:sheetData>
    <x:row r="1">
      <x:c r="A1" s="5" t="str">
        <x:v>external_sale_code</x:v>
      </x:c>
      <x:c r="B1" s="5" t="str">
        <x:v>invoice_number</x:v>
      </x:c>
      <x:c r="C1" s="5" t="str">
        <x:v>sale_type</x:v>
      </x:c>
      <x:c r="D1" s="5" t="str">
        <x:v>sale_date</x:v>
      </x:c>
      <x:c r="E1" s="5" t="str">
        <x:v>due_date</x:v>
      </x:c>
      <x:c r="F1" s="5" t="str">
        <x:v>customer_code</x:v>
      </x:c>
      <x:c r="G1" s="5" t="str">
        <x:v>sales_person_code</x:v>
      </x:c>
      <x:c r="H1" s="5" t="str">
        <x:v>invoice_type_code</x:v>
      </x:c>
      <x:c r="I1" s="5" t="str">
        <x:v>project_code</x:v>
      </x:c>
      <x:c r="J1" s="5" t="str">
        <x:v>currency</x:v>
      </x:c>
      <x:c r="K1" s="5" t="str">
        <x:v>exchange_rate</x:v>
      </x:c>
      <x:c r="L1" s="5" t="str">
        <x:v>discount_percent</x:v>
      </x:c>
      <x:c r="M1" s="5" t="str">
        <x:v>ppn_rate</x:v>
      </x:c>
      <x:c r="N1" s="5" t="str">
        <x:v>pph21_rate</x:v>
      </x:c>
      <x:c r="O1" s="5" t="str">
        <x:v>pph23_rate</x:v>
      </x:c>
      <x:c r="P1" s="5" t="str">
        <x:v>other_tax_additions</x:v>
      </x:c>
      <x:c r="Q1" s="5" t="str">
        <x:v>other_tax_deductions</x:v>
      </x:c>
      <x:c r="R1" s="5" t="str">
        <x:v>payment_terms</x:v>
      </x:c>
      <x:c r="S1" s="5" t="str">
        <x:v>payment_method_type</x:v>
      </x:c>
      <x:c r="T1" s="5" t="str">
        <x:v>payment_method</x:v>
      </x:c>
      <x:c r="U1" s="5" t="str">
        <x:v>cash_bank_code</x:v>
      </x:c>
      <x:c r="V1" s="5" t="str">
        <x:v>shipping_method</x:v>
      </x:c>
      <x:c r="W1" s="5" t="str">
        <x:v>shipping_cost</x:v>
      </x:c>
      <x:c r="X1" s="5" t="str">
        <x:v>shipping_taxable</x:v>
      </x:c>
      <x:c r="Y1" s="5" t="str">
        <x:v>initial_paid_amount</x:v>
      </x:c>
      <x:c r="Z1" s="5" t="str">
        <x:v>payment_date</x:v>
      </x:c>
      <x:c r="AA1" s="5" t="str">
        <x:v>pph23_settlement_date</x:v>
      </x:c>
      <x:c r="AB1" s="5" t="str">
        <x:v>reduce_outstanding_for_pph23</x:v>
      </x:c>
      <x:c r="AC1" s="5" t="str">
        <x:v>reference</x:v>
      </x:c>
      <x:c r="AD1" s="5" t="str">
        <x:v>status_import</x:v>
      </x:c>
      <x:c r="AE1" s="5" t="str">
        <x:v>auto_post_journal</x:v>
      </x:c>
      <x:c r="AF1" s="5" t="str">
        <x:v>billing_address</x:v>
      </x:c>
      <x:c r="AG1" s="5" t="str">
        <x:v>shipping_address</x:v>
      </x:c>
      <x:c r="AH1" s="5" t="str">
        <x:v>notes</x:v>
      </x:c>
      <x:c r="AI1" s="5" t="str">
        <x:v>internal_notes</x:v>
      </x:c>
      <x:c r="AJ1" s="5" t="str">
        <x:v>check_item_net_total</x:v>
      </x:c>
      <x:c r="AK1" s="5" t="str">
        <x:v>check_order_discount_amount</x:v>
      </x:c>
      <x:c r="AL1" s="5" t="str">
        <x:v>check_taxable_amount</x:v>
      </x:c>
      <x:c r="AM1" s="5" t="str">
        <x:v>check_ppn_amount</x:v>
      </x:c>
      <x:c r="AN1" s="5" t="str">
        <x:v>check_pph21_amount</x:v>
      </x:c>
      <x:c r="AO1" s="5" t="str">
        <x:v>check_pph23_amount</x:v>
      </x:c>
      <x:c r="AP1" s="5" t="str">
        <x:v>check_grand_total</x:v>
      </x:c>
    </x:row>
    <x:row r="2">
      <x:c r="A2" s="13" t="str">
        <x:v>CONTOH-SAL-2026-01-0001</x:v>
      </x:c>
      <x:c r="B2" s="7" t="str">
        <x:v>INV/2026/01/0001</x:v>
      </x:c>
      <x:c r="C2" s="13" t="str">
        <x:v>INVOICE</x:v>
      </x:c>
      <x:c r="D2" s="14" t="str">
        <x:v>Tue Jan 20 2026 00:00:00 GMT+0700 (Indochina Time)</x:v>
      </x:c>
      <x:c r="E2" s="8" t="str">
        <x:v>Thu Feb 19 2026 00:00:00 GMT+0700 (Indochina Time)</x:v>
      </x:c>
      <x:c r="F2" s="13" t="str">
        <x:v>CUST-0001</x:v>
      </x:c>
      <x:c r="G2" s="7" t="str"/>
      <x:c r="H2" s="7" t="str"/>
      <x:c r="I2" s="7" t="str"/>
      <x:c r="J2" s="13" t="str">
        <x:v>IDR</x:v>
      </x:c>
      <x:c r="K2" s="16" t="n">
        <x:v>1</x:v>
      </x:c>
      <x:c r="L2" s="10" t="n">
        <x:v>0</x:v>
      </x:c>
      <x:c r="M2" s="10" t="n">
        <x:v>11</x:v>
      </x:c>
      <x:c r="N2" s="10" t="n">
        <x:v>0</x:v>
      </x:c>
      <x:c r="O2" s="10" t="n">
        <x:v>2</x:v>
      </x:c>
      <x:c r="P2" s="9" t="n">
        <x:v>0</x:v>
      </x:c>
      <x:c r="Q2" s="9" t="n">
        <x:v>0</x:v>
      </x:c>
      <x:c r="R2" s="7" t="str">
        <x:v>NET30</x:v>
      </x:c>
      <x:c r="S2" s="7" t="str">
        <x:v>CREDIT</x:v>
      </x:c>
      <x:c r="T2" s="7" t="str">
        <x:v>CREDIT</x:v>
      </x:c>
      <x:c r="U2" s="7" t="str"/>
      <x:c r="V2" s="7" t="str">
        <x:v>DELIVERY</x:v>
      </x:c>
      <x:c r="W2" s="9" t="n">
        <x:v>0</x:v>
      </x:c>
      <x:c r="X2" s="7" t="str">
        <x:v>FALSE</x:v>
      </x:c>
      <x:c r="Y2" s="9" t="n">
        <x:v>0</x:v>
      </x:c>
      <x:c r="Z2" s="8"/>
      <x:c r="AA2" s="8"/>
      <x:c r="AB2" s="7" t="str">
        <x:v>YES</x:v>
      </x:c>
      <x:c r="AC2" s="7" t="str">
        <x:v>SO-JAN26-0001</x:v>
      </x:c>
      <x:c r="AD2" s="13" t="str">
        <x:v>DRAFT</x:v>
      </x:c>
      <x:c r="AE2" s="7" t="str">
        <x:v>NO</x:v>
      </x:c>
      <x:c r="AF2" s="7" t="str">
        <x:v>Alamat tagihan contoh</x:v>
      </x:c>
      <x:c r="AG2" s="7" t="str">
        <x:v>Alamat kirim contoh</x:v>
      </x:c>
      <x:c r="AH2" s="7" t="str">
        <x:v>CONTOH SAJA - hapus baris ini sebelum upload data asli</x:v>
      </x:c>
      <x:c r="AI2" s="7" t="str">
        <x:v>Import historis Januari 2026</x:v>
      </x:c>
      <x:c r="AJ2" s="9" t="n">
        <x:f>IF($A2="","",SUMIF(Sales_Items!$A$2:$A$501,$A2,Sales_Items!$O$2:$O$501))</x:f>
        <x:v>16400000</x:v>
      </x:c>
      <x:c r="AK2" s="9" t="n">
        <x:f>IF($A2="","",$AJ2*$L2/100)</x:f>
        <x:v>0</x:v>
      </x:c>
      <x:c r="AL2" s="9" t="n">
        <x:f>IF($A2="","",MAX(0,$AJ2-$AK2))</x:f>
        <x:v>16400000</x:v>
      </x:c>
      <x:c r="AM2" s="9" t="n">
        <x:f>IF($A2="","",MAX(0,$AL2*$M2/100))</x:f>
        <x:v>1804000</x:v>
      </x:c>
      <x:c r="AN2" s="9" t="n">
        <x:f>IF($A2="","",MAX(0,$AL2*$N2/100))</x:f>
        <x:v>0</x:v>
      </x:c>
      <x:c r="AO2" s="9" t="n">
        <x:f>IF($A2="","",MAX(0,$AL2*$O2/100))</x:f>
        <x:v>328000</x:v>
      </x:c>
      <x:c r="AP2" s="9" t="n">
        <x:f>IF($A2="","",MAX(0,$AL2+$AM2+$P2+$W2-$AN2-$AO2-$Q2))</x:f>
        <x:v>17876000</x:v>
      </x:c>
    </x:row>
    <x:row r="3">
      <x:c r="A3" s="13"/>
      <x:c r="B3" s="7"/>
      <x:c r="C3" s="13"/>
      <x:c r="D3" s="14"/>
      <x:c r="E3" s="8"/>
      <x:c r="F3" s="13"/>
      <x:c r="G3" s="7"/>
      <x:c r="H3" s="7"/>
      <x:c r="I3" s="7"/>
      <x:c r="J3" s="13"/>
      <x:c r="K3" s="16"/>
      <x:c r="L3" s="10"/>
      <x:c r="M3" s="10"/>
      <x:c r="N3" s="10"/>
      <x:c r="O3" s="10"/>
      <x:c r="P3" s="9"/>
      <x:c r="Q3" s="9"/>
      <x:c r="R3" s="7"/>
      <x:c r="S3" s="7"/>
      <x:c r="T3" s="7"/>
      <x:c r="U3" s="7"/>
      <x:c r="V3" s="7"/>
      <x:c r="W3" s="9"/>
      <x:c r="X3" s="7"/>
      <x:c r="Y3" s="9"/>
      <x:c r="Z3" s="8"/>
      <x:c r="AA3" s="8"/>
      <x:c r="AB3" s="7"/>
      <x:c r="AC3" s="7"/>
      <x:c r="AD3" s="13"/>
      <x:c r="AE3" s="7"/>
      <x:c r="AF3" s="7"/>
      <x:c r="AG3" s="7"/>
      <x:c r="AH3" s="7"/>
      <x:c r="AI3" s="7"/>
      <x:c r="AJ3" s="9" t="str">
        <x:f>IF($A3="","",SUMIF(Sales_Items!$A$2:$A$501,$A3,Sales_Items!$O$2:$O$501))</x:f>
      </x:c>
      <x:c r="AK3" s="9" t="str">
        <x:f>IF($A3="","",$AJ3*$L3/100)</x:f>
      </x:c>
      <x:c r="AL3" s="9" t="str">
        <x:f>IF($A3="","",MAX(0,$AJ3-$AK3))</x:f>
      </x:c>
      <x:c r="AM3" s="9" t="str">
        <x:f>IF($A3="","",MAX(0,$AL3*$M3/100))</x:f>
      </x:c>
      <x:c r="AN3" s="9" t="str">
        <x:f>IF($A3="","",MAX(0,$AL3*$N3/100))</x:f>
      </x:c>
      <x:c r="AO3" s="9" t="str">
        <x:f>IF($A3="","",MAX(0,$AL3*$O3/100))</x:f>
      </x:c>
      <x:c r="AP3" s="9" t="str">
        <x:f>IF($A3="","",MAX(0,$AL3+$AM3+$P3+$W3-$AN3-$AO3-$Q3))</x:f>
      </x:c>
    </x:row>
    <x:row r="4">
      <x:c r="A4" s="13"/>
      <x:c r="B4" s="7"/>
      <x:c r="C4" s="13"/>
      <x:c r="D4" s="14"/>
      <x:c r="E4" s="8"/>
      <x:c r="F4" s="13"/>
      <x:c r="G4" s="7"/>
      <x:c r="H4" s="7"/>
      <x:c r="I4" s="7"/>
      <x:c r="J4" s="13"/>
      <x:c r="K4" s="16"/>
      <x:c r="L4" s="10"/>
      <x:c r="M4" s="10"/>
      <x:c r="N4" s="10"/>
      <x:c r="O4" s="10"/>
      <x:c r="P4" s="9"/>
      <x:c r="Q4" s="9"/>
      <x:c r="R4" s="7"/>
      <x:c r="S4" s="7"/>
      <x:c r="T4" s="7"/>
      <x:c r="U4" s="7"/>
      <x:c r="V4" s="7"/>
      <x:c r="W4" s="9"/>
      <x:c r="X4" s="7"/>
      <x:c r="Y4" s="9"/>
      <x:c r="Z4" s="8"/>
      <x:c r="AA4" s="8"/>
      <x:c r="AB4" s="7"/>
      <x:c r="AC4" s="7"/>
      <x:c r="AD4" s="13"/>
      <x:c r="AE4" s="7"/>
      <x:c r="AF4" s="7"/>
      <x:c r="AG4" s="7"/>
      <x:c r="AH4" s="7"/>
      <x:c r="AI4" s="7"/>
      <x:c r="AJ4" s="9" t="str">
        <x:f>IF($A4="","",SUMIF(Sales_Items!$A$2:$A$501,$A4,Sales_Items!$O$2:$O$501))</x:f>
      </x:c>
      <x:c r="AK4" s="9" t="str">
        <x:f>IF($A4="","",$AJ4*$L4/100)</x:f>
      </x:c>
      <x:c r="AL4" s="9" t="str">
        <x:f>IF($A4="","",MAX(0,$AJ4-$AK4))</x:f>
      </x:c>
      <x:c r="AM4" s="9" t="str">
        <x:f>IF($A4="","",MAX(0,$AL4*$M4/100))</x:f>
      </x:c>
      <x:c r="AN4" s="9" t="str">
        <x:f>IF($A4="","",MAX(0,$AL4*$N4/100))</x:f>
      </x:c>
      <x:c r="AO4" s="9" t="str">
        <x:f>IF($A4="","",MAX(0,$AL4*$O4/100))</x:f>
      </x:c>
      <x:c r="AP4" s="9" t="str">
        <x:f>IF($A4="","",MAX(0,$AL4+$AM4+$P4+$W4-$AN4-$AO4-$Q4))</x:f>
      </x:c>
    </x:row>
    <x:row r="5">
      <x:c r="A5" s="13"/>
      <x:c r="B5" s="7"/>
      <x:c r="C5" s="13"/>
      <x:c r="D5" s="14"/>
      <x:c r="E5" s="8"/>
      <x:c r="F5" s="13"/>
      <x:c r="G5" s="7"/>
      <x:c r="H5" s="7"/>
      <x:c r="I5" s="7"/>
      <x:c r="J5" s="13"/>
      <x:c r="K5" s="16"/>
      <x:c r="L5" s="10"/>
      <x:c r="M5" s="10"/>
      <x:c r="N5" s="10"/>
      <x:c r="O5" s="10"/>
      <x:c r="P5" s="9"/>
      <x:c r="Q5" s="9"/>
      <x:c r="R5" s="7"/>
      <x:c r="S5" s="7"/>
      <x:c r="T5" s="7"/>
      <x:c r="U5" s="7"/>
      <x:c r="V5" s="7"/>
      <x:c r="W5" s="9"/>
      <x:c r="X5" s="7"/>
      <x:c r="Y5" s="9"/>
      <x:c r="Z5" s="8"/>
      <x:c r="AA5" s="8"/>
      <x:c r="AB5" s="7"/>
      <x:c r="AC5" s="7"/>
      <x:c r="AD5" s="13"/>
      <x:c r="AE5" s="7"/>
      <x:c r="AF5" s="7"/>
      <x:c r="AG5" s="7"/>
      <x:c r="AH5" s="7"/>
      <x:c r="AI5" s="7"/>
      <x:c r="AJ5" s="9" t="str">
        <x:f>IF($A5="","",SUMIF(Sales_Items!$A$2:$A$501,$A5,Sales_Items!$O$2:$O$501))</x:f>
      </x:c>
      <x:c r="AK5" s="9" t="str">
        <x:f>IF($A5="","",$AJ5*$L5/100)</x:f>
      </x:c>
      <x:c r="AL5" s="9" t="str">
        <x:f>IF($A5="","",MAX(0,$AJ5-$AK5))</x:f>
      </x:c>
      <x:c r="AM5" s="9" t="str">
        <x:f>IF($A5="","",MAX(0,$AL5*$M5/100))</x:f>
      </x:c>
      <x:c r="AN5" s="9" t="str">
        <x:f>IF($A5="","",MAX(0,$AL5*$N5/100))</x:f>
      </x:c>
      <x:c r="AO5" s="9" t="str">
        <x:f>IF($A5="","",MAX(0,$AL5*$O5/100))</x:f>
      </x:c>
      <x:c r="AP5" s="9" t="str">
        <x:f>IF($A5="","",MAX(0,$AL5+$AM5+$P5+$W5-$AN5-$AO5-$Q5))</x:f>
      </x:c>
    </x:row>
    <x:row r="6">
      <x:c r="A6" s="13"/>
      <x:c r="B6" s="7"/>
      <x:c r="C6" s="13"/>
      <x:c r="D6" s="14"/>
      <x:c r="E6" s="8"/>
      <x:c r="F6" s="13"/>
      <x:c r="G6" s="7"/>
      <x:c r="H6" s="7"/>
      <x:c r="I6" s="7"/>
      <x:c r="J6" s="13"/>
      <x:c r="K6" s="16"/>
      <x:c r="L6" s="10"/>
      <x:c r="M6" s="10"/>
      <x:c r="N6" s="10"/>
      <x:c r="O6" s="10"/>
      <x:c r="P6" s="9"/>
      <x:c r="Q6" s="9"/>
      <x:c r="R6" s="7"/>
      <x:c r="S6" s="7"/>
      <x:c r="T6" s="7"/>
      <x:c r="U6" s="7"/>
      <x:c r="V6" s="7"/>
      <x:c r="W6" s="9"/>
      <x:c r="X6" s="7"/>
      <x:c r="Y6" s="9"/>
      <x:c r="Z6" s="8"/>
      <x:c r="AA6" s="8"/>
      <x:c r="AB6" s="7"/>
      <x:c r="AC6" s="7"/>
      <x:c r="AD6" s="13"/>
      <x:c r="AE6" s="7"/>
      <x:c r="AF6" s="7"/>
      <x:c r="AG6" s="7"/>
      <x:c r="AH6" s="7"/>
      <x:c r="AI6" s="7"/>
      <x:c r="AJ6" s="9" t="str">
        <x:f>IF($A6="","",SUMIF(Sales_Items!$A$2:$A$501,$A6,Sales_Items!$O$2:$O$501))</x:f>
      </x:c>
      <x:c r="AK6" s="9" t="str">
        <x:f>IF($A6="","",$AJ6*$L6/100)</x:f>
      </x:c>
      <x:c r="AL6" s="9" t="str">
        <x:f>IF($A6="","",MAX(0,$AJ6-$AK6))</x:f>
      </x:c>
      <x:c r="AM6" s="9" t="str">
        <x:f>IF($A6="","",MAX(0,$AL6*$M6/100))</x:f>
      </x:c>
      <x:c r="AN6" s="9" t="str">
        <x:f>IF($A6="","",MAX(0,$AL6*$N6/100))</x:f>
      </x:c>
      <x:c r="AO6" s="9" t="str">
        <x:f>IF($A6="","",MAX(0,$AL6*$O6/100))</x:f>
      </x:c>
      <x:c r="AP6" s="9" t="str">
        <x:f>IF($A6="","",MAX(0,$AL6+$AM6+$P6+$W6-$AN6-$AO6-$Q6))</x:f>
      </x:c>
    </x:row>
    <x:row r="7">
      <x:c r="A7" s="13"/>
      <x:c r="B7" s="7"/>
      <x:c r="C7" s="13"/>
      <x:c r="D7" s="14"/>
      <x:c r="E7" s="8"/>
      <x:c r="F7" s="13"/>
      <x:c r="G7" s="7"/>
      <x:c r="H7" s="7"/>
      <x:c r="I7" s="7"/>
      <x:c r="J7" s="13"/>
      <x:c r="K7" s="16"/>
      <x:c r="L7" s="10"/>
      <x:c r="M7" s="10"/>
      <x:c r="N7" s="10"/>
      <x:c r="O7" s="10"/>
      <x:c r="P7" s="9"/>
      <x:c r="Q7" s="9"/>
      <x:c r="R7" s="7"/>
      <x:c r="S7" s="7"/>
      <x:c r="T7" s="7"/>
      <x:c r="U7" s="7"/>
      <x:c r="V7" s="7"/>
      <x:c r="W7" s="9"/>
      <x:c r="X7" s="7"/>
      <x:c r="Y7" s="9"/>
      <x:c r="Z7" s="8"/>
      <x:c r="AA7" s="8"/>
      <x:c r="AB7" s="7"/>
      <x:c r="AC7" s="7"/>
      <x:c r="AD7" s="13"/>
      <x:c r="AE7" s="7"/>
      <x:c r="AF7" s="7"/>
      <x:c r="AG7" s="7"/>
      <x:c r="AH7" s="7"/>
      <x:c r="AI7" s="7"/>
      <x:c r="AJ7" s="9" t="str">
        <x:f>IF($A7="","",SUMIF(Sales_Items!$A$2:$A$501,$A7,Sales_Items!$O$2:$O$501))</x:f>
      </x:c>
      <x:c r="AK7" s="9" t="str">
        <x:f>IF($A7="","",$AJ7*$L7/100)</x:f>
      </x:c>
      <x:c r="AL7" s="9" t="str">
        <x:f>IF($A7="","",MAX(0,$AJ7-$AK7))</x:f>
      </x:c>
      <x:c r="AM7" s="9" t="str">
        <x:f>IF($A7="","",MAX(0,$AL7*$M7/100))</x:f>
      </x:c>
      <x:c r="AN7" s="9" t="str">
        <x:f>IF($A7="","",MAX(0,$AL7*$N7/100))</x:f>
      </x:c>
      <x:c r="AO7" s="9" t="str">
        <x:f>IF($A7="","",MAX(0,$AL7*$O7/100))</x:f>
      </x:c>
      <x:c r="AP7" s="9" t="str">
        <x:f>IF($A7="","",MAX(0,$AL7+$AM7+$P7+$W7-$AN7-$AO7-$Q7))</x:f>
      </x:c>
    </x:row>
    <x:row r="8">
      <x:c r="A8" s="13"/>
      <x:c r="B8" s="7"/>
      <x:c r="C8" s="13"/>
      <x:c r="D8" s="14"/>
      <x:c r="E8" s="8"/>
      <x:c r="F8" s="13"/>
      <x:c r="G8" s="7"/>
      <x:c r="H8" s="7"/>
      <x:c r="I8" s="7"/>
      <x:c r="J8" s="13"/>
      <x:c r="K8" s="16"/>
      <x:c r="L8" s="10"/>
      <x:c r="M8" s="10"/>
      <x:c r="N8" s="10"/>
      <x:c r="O8" s="10"/>
      <x:c r="P8" s="9"/>
      <x:c r="Q8" s="9"/>
      <x:c r="R8" s="7"/>
      <x:c r="S8" s="7"/>
      <x:c r="T8" s="7"/>
      <x:c r="U8" s="7"/>
      <x:c r="V8" s="7"/>
      <x:c r="W8" s="9"/>
      <x:c r="X8" s="7"/>
      <x:c r="Y8" s="9"/>
      <x:c r="Z8" s="8"/>
      <x:c r="AA8" s="8"/>
      <x:c r="AB8" s="7"/>
      <x:c r="AC8" s="7"/>
      <x:c r="AD8" s="13"/>
      <x:c r="AE8" s="7"/>
      <x:c r="AF8" s="7"/>
      <x:c r="AG8" s="7"/>
      <x:c r="AH8" s="7"/>
      <x:c r="AI8" s="7"/>
      <x:c r="AJ8" s="9" t="str">
        <x:f>IF($A8="","",SUMIF(Sales_Items!$A$2:$A$501,$A8,Sales_Items!$O$2:$O$501))</x:f>
      </x:c>
      <x:c r="AK8" s="9" t="str">
        <x:f>IF($A8="","",$AJ8*$L8/100)</x:f>
      </x:c>
      <x:c r="AL8" s="9" t="str">
        <x:f>IF($A8="","",MAX(0,$AJ8-$AK8))</x:f>
      </x:c>
      <x:c r="AM8" s="9" t="str">
        <x:f>IF($A8="","",MAX(0,$AL8*$M8/100))</x:f>
      </x:c>
      <x:c r="AN8" s="9" t="str">
        <x:f>IF($A8="","",MAX(0,$AL8*$N8/100))</x:f>
      </x:c>
      <x:c r="AO8" s="9" t="str">
        <x:f>IF($A8="","",MAX(0,$AL8*$O8/100))</x:f>
      </x:c>
      <x:c r="AP8" s="9" t="str">
        <x:f>IF($A8="","",MAX(0,$AL8+$AM8+$P8+$W8-$AN8-$AO8-$Q8))</x:f>
      </x:c>
    </x:row>
    <x:row r="9">
      <x:c r="A9" s="13"/>
      <x:c r="B9" s="7"/>
      <x:c r="C9" s="13"/>
      <x:c r="D9" s="14"/>
      <x:c r="E9" s="8"/>
      <x:c r="F9" s="13"/>
      <x:c r="G9" s="7"/>
      <x:c r="H9" s="7"/>
      <x:c r="I9" s="7"/>
      <x:c r="J9" s="13"/>
      <x:c r="K9" s="16"/>
      <x:c r="L9" s="10"/>
      <x:c r="M9" s="10"/>
      <x:c r="N9" s="10"/>
      <x:c r="O9" s="10"/>
      <x:c r="P9" s="9"/>
      <x:c r="Q9" s="9"/>
      <x:c r="R9" s="7"/>
      <x:c r="S9" s="7"/>
      <x:c r="T9" s="7"/>
      <x:c r="U9" s="7"/>
      <x:c r="V9" s="7"/>
      <x:c r="W9" s="9"/>
      <x:c r="X9" s="7"/>
      <x:c r="Y9" s="9"/>
      <x:c r="Z9" s="8"/>
      <x:c r="AA9" s="8"/>
      <x:c r="AB9" s="7"/>
      <x:c r="AC9" s="7"/>
      <x:c r="AD9" s="13"/>
      <x:c r="AE9" s="7"/>
      <x:c r="AF9" s="7"/>
      <x:c r="AG9" s="7"/>
      <x:c r="AH9" s="7"/>
      <x:c r="AI9" s="7"/>
      <x:c r="AJ9" s="9" t="str">
        <x:f>IF($A9="","",SUMIF(Sales_Items!$A$2:$A$501,$A9,Sales_Items!$O$2:$O$501))</x:f>
      </x:c>
      <x:c r="AK9" s="9" t="str">
        <x:f>IF($A9="","",$AJ9*$L9/100)</x:f>
      </x:c>
      <x:c r="AL9" s="9" t="str">
        <x:f>IF($A9="","",MAX(0,$AJ9-$AK9))</x:f>
      </x:c>
      <x:c r="AM9" s="9" t="str">
        <x:f>IF($A9="","",MAX(0,$AL9*$M9/100))</x:f>
      </x:c>
      <x:c r="AN9" s="9" t="str">
        <x:f>IF($A9="","",MAX(0,$AL9*$N9/100))</x:f>
      </x:c>
      <x:c r="AO9" s="9" t="str">
        <x:f>IF($A9="","",MAX(0,$AL9*$O9/100))</x:f>
      </x:c>
      <x:c r="AP9" s="9" t="str">
        <x:f>IF($A9="","",MAX(0,$AL9+$AM9+$P9+$W9-$AN9-$AO9-$Q9))</x:f>
      </x:c>
    </x:row>
    <x:row r="10">
      <x:c r="A10" s="13"/>
      <x:c r="B10" s="7"/>
      <x:c r="C10" s="13"/>
      <x:c r="D10" s="14"/>
      <x:c r="E10" s="8"/>
      <x:c r="F10" s="13"/>
      <x:c r="G10" s="7"/>
      <x:c r="H10" s="7"/>
      <x:c r="I10" s="7"/>
      <x:c r="J10" s="13"/>
      <x:c r="K10" s="16"/>
      <x:c r="L10" s="10"/>
      <x:c r="M10" s="10"/>
      <x:c r="N10" s="10"/>
      <x:c r="O10" s="10"/>
      <x:c r="P10" s="9"/>
      <x:c r="Q10" s="9"/>
      <x:c r="R10" s="7"/>
      <x:c r="S10" s="7"/>
      <x:c r="T10" s="7"/>
      <x:c r="U10" s="7"/>
      <x:c r="V10" s="7"/>
      <x:c r="W10" s="9"/>
      <x:c r="X10" s="7"/>
      <x:c r="Y10" s="9"/>
      <x:c r="Z10" s="8"/>
      <x:c r="AA10" s="8"/>
      <x:c r="AB10" s="7"/>
      <x:c r="AC10" s="7"/>
      <x:c r="AD10" s="13"/>
      <x:c r="AE10" s="7"/>
      <x:c r="AF10" s="7"/>
      <x:c r="AG10" s="7"/>
      <x:c r="AH10" s="7"/>
      <x:c r="AI10" s="7"/>
      <x:c r="AJ10" s="9" t="str">
        <x:f>IF($A10="","",SUMIF(Sales_Items!$A$2:$A$501,$A10,Sales_Items!$O$2:$O$501))</x:f>
      </x:c>
      <x:c r="AK10" s="9" t="str">
        <x:f>IF($A10="","",$AJ10*$L10/100)</x:f>
      </x:c>
      <x:c r="AL10" s="9" t="str">
        <x:f>IF($A10="","",MAX(0,$AJ10-$AK10))</x:f>
      </x:c>
      <x:c r="AM10" s="9" t="str">
        <x:f>IF($A10="","",MAX(0,$AL10*$M10/100))</x:f>
      </x:c>
      <x:c r="AN10" s="9" t="str">
        <x:f>IF($A10="","",MAX(0,$AL10*$N10/100))</x:f>
      </x:c>
      <x:c r="AO10" s="9" t="str">
        <x:f>IF($A10="","",MAX(0,$AL10*$O10/100))</x:f>
      </x:c>
      <x:c r="AP10" s="9" t="str">
        <x:f>IF($A10="","",MAX(0,$AL10+$AM10+$P10+$W10-$AN10-$AO10-$Q10))</x:f>
      </x:c>
    </x:row>
    <x:row r="11">
      <x:c r="A11" s="13"/>
      <x:c r="B11" s="7"/>
      <x:c r="C11" s="13"/>
      <x:c r="D11" s="14"/>
      <x:c r="E11" s="8"/>
      <x:c r="F11" s="13"/>
      <x:c r="G11" s="7"/>
      <x:c r="H11" s="7"/>
      <x:c r="I11" s="7"/>
      <x:c r="J11" s="13"/>
      <x:c r="K11" s="16"/>
      <x:c r="L11" s="10"/>
      <x:c r="M11" s="10"/>
      <x:c r="N11" s="10"/>
      <x:c r="O11" s="10"/>
      <x:c r="P11" s="9"/>
      <x:c r="Q11" s="9"/>
      <x:c r="R11" s="7"/>
      <x:c r="S11" s="7"/>
      <x:c r="T11" s="7"/>
      <x:c r="U11" s="7"/>
      <x:c r="V11" s="7"/>
      <x:c r="W11" s="9"/>
      <x:c r="X11" s="7"/>
      <x:c r="Y11" s="9"/>
      <x:c r="Z11" s="8"/>
      <x:c r="AA11" s="8"/>
      <x:c r="AB11" s="7"/>
      <x:c r="AC11" s="7"/>
      <x:c r="AD11" s="13"/>
      <x:c r="AE11" s="7"/>
      <x:c r="AF11" s="7"/>
      <x:c r="AG11" s="7"/>
      <x:c r="AH11" s="7"/>
      <x:c r="AI11" s="7"/>
      <x:c r="AJ11" s="9" t="str">
        <x:f>IF($A11="","",SUMIF(Sales_Items!$A$2:$A$501,$A11,Sales_Items!$O$2:$O$501))</x:f>
      </x:c>
      <x:c r="AK11" s="9" t="str">
        <x:f>IF($A11="","",$AJ11*$L11/100)</x:f>
      </x:c>
      <x:c r="AL11" s="9" t="str">
        <x:f>IF($A11="","",MAX(0,$AJ11-$AK11))</x:f>
      </x:c>
      <x:c r="AM11" s="9" t="str">
        <x:f>IF($A11="","",MAX(0,$AL11*$M11/100))</x:f>
      </x:c>
      <x:c r="AN11" s="9" t="str">
        <x:f>IF($A11="","",MAX(0,$AL11*$N11/100))</x:f>
      </x:c>
      <x:c r="AO11" s="9" t="str">
        <x:f>IF($A11="","",MAX(0,$AL11*$O11/100))</x:f>
      </x:c>
      <x:c r="AP11" s="9" t="str">
        <x:f>IF($A11="","",MAX(0,$AL11+$AM11+$P11+$W11-$AN11-$AO11-$Q11))</x:f>
      </x:c>
    </x:row>
    <x:row r="12">
      <x:c r="A12" s="13"/>
      <x:c r="B12" s="7"/>
      <x:c r="C12" s="13"/>
      <x:c r="D12" s="14"/>
      <x:c r="E12" s="8"/>
      <x:c r="F12" s="13"/>
      <x:c r="G12" s="7"/>
      <x:c r="H12" s="7"/>
      <x:c r="I12" s="7"/>
      <x:c r="J12" s="13"/>
      <x:c r="K12" s="16"/>
      <x:c r="L12" s="10"/>
      <x:c r="M12" s="10"/>
      <x:c r="N12" s="10"/>
      <x:c r="O12" s="10"/>
      <x:c r="P12" s="9"/>
      <x:c r="Q12" s="9"/>
      <x:c r="R12" s="7"/>
      <x:c r="S12" s="7"/>
      <x:c r="T12" s="7"/>
      <x:c r="U12" s="7"/>
      <x:c r="V12" s="7"/>
      <x:c r="W12" s="9"/>
      <x:c r="X12" s="7"/>
      <x:c r="Y12" s="9"/>
      <x:c r="Z12" s="8"/>
      <x:c r="AA12" s="8"/>
      <x:c r="AB12" s="7"/>
      <x:c r="AC12" s="7"/>
      <x:c r="AD12" s="13"/>
      <x:c r="AE12" s="7"/>
      <x:c r="AF12" s="7"/>
      <x:c r="AG12" s="7"/>
      <x:c r="AH12" s="7"/>
      <x:c r="AI12" s="7"/>
      <x:c r="AJ12" s="9" t="str">
        <x:f>IF($A12="","",SUMIF(Sales_Items!$A$2:$A$501,$A12,Sales_Items!$O$2:$O$501))</x:f>
      </x:c>
      <x:c r="AK12" s="9" t="str">
        <x:f>IF($A12="","",$AJ12*$L12/100)</x:f>
      </x:c>
      <x:c r="AL12" s="9" t="str">
        <x:f>IF($A12="","",MAX(0,$AJ12-$AK12))</x:f>
      </x:c>
      <x:c r="AM12" s="9" t="str">
        <x:f>IF($A12="","",MAX(0,$AL12*$M12/100))</x:f>
      </x:c>
      <x:c r="AN12" s="9" t="str">
        <x:f>IF($A12="","",MAX(0,$AL12*$N12/100))</x:f>
      </x:c>
      <x:c r="AO12" s="9" t="str">
        <x:f>IF($A12="","",MAX(0,$AL12*$O12/100))</x:f>
      </x:c>
      <x:c r="AP12" s="9" t="str">
        <x:f>IF($A12="","",MAX(0,$AL12+$AM12+$P12+$W12-$AN12-$AO12-$Q12))</x:f>
      </x:c>
    </x:row>
    <x:row r="13">
      <x:c r="A13" s="13"/>
      <x:c r="B13" s="7"/>
      <x:c r="C13" s="13"/>
      <x:c r="D13" s="14"/>
      <x:c r="E13" s="8"/>
      <x:c r="F13" s="13"/>
      <x:c r="G13" s="7"/>
      <x:c r="H13" s="7"/>
      <x:c r="I13" s="7"/>
      <x:c r="J13" s="13"/>
      <x:c r="K13" s="16"/>
      <x:c r="L13" s="10"/>
      <x:c r="M13" s="10"/>
      <x:c r="N13" s="10"/>
      <x:c r="O13" s="10"/>
      <x:c r="P13" s="9"/>
      <x:c r="Q13" s="9"/>
      <x:c r="R13" s="7"/>
      <x:c r="S13" s="7"/>
      <x:c r="T13" s="7"/>
      <x:c r="U13" s="7"/>
      <x:c r="V13" s="7"/>
      <x:c r="W13" s="9"/>
      <x:c r="X13" s="7"/>
      <x:c r="Y13" s="9"/>
      <x:c r="Z13" s="8"/>
      <x:c r="AA13" s="8"/>
      <x:c r="AB13" s="7"/>
      <x:c r="AC13" s="7"/>
      <x:c r="AD13" s="13"/>
      <x:c r="AE13" s="7"/>
      <x:c r="AF13" s="7"/>
      <x:c r="AG13" s="7"/>
      <x:c r="AH13" s="7"/>
      <x:c r="AI13" s="7"/>
      <x:c r="AJ13" s="9" t="str">
        <x:f>IF($A13="","",SUMIF(Sales_Items!$A$2:$A$501,$A13,Sales_Items!$O$2:$O$501))</x:f>
      </x:c>
      <x:c r="AK13" s="9" t="str">
        <x:f>IF($A13="","",$AJ13*$L13/100)</x:f>
      </x:c>
      <x:c r="AL13" s="9" t="str">
        <x:f>IF($A13="","",MAX(0,$AJ13-$AK13))</x:f>
      </x:c>
      <x:c r="AM13" s="9" t="str">
        <x:f>IF($A13="","",MAX(0,$AL13*$M13/100))</x:f>
      </x:c>
      <x:c r="AN13" s="9" t="str">
        <x:f>IF($A13="","",MAX(0,$AL13*$N13/100))</x:f>
      </x:c>
      <x:c r="AO13" s="9" t="str">
        <x:f>IF($A13="","",MAX(0,$AL13*$O13/100))</x:f>
      </x:c>
      <x:c r="AP13" s="9" t="str">
        <x:f>IF($A13="","",MAX(0,$AL13+$AM13+$P13+$W13-$AN13-$AO13-$Q13))</x:f>
      </x:c>
    </x:row>
    <x:row r="14">
      <x:c r="A14" s="13"/>
      <x:c r="B14" s="7"/>
      <x:c r="C14" s="13"/>
      <x:c r="D14" s="14"/>
      <x:c r="E14" s="8"/>
      <x:c r="F14" s="13"/>
      <x:c r="G14" s="7"/>
      <x:c r="H14" s="7"/>
      <x:c r="I14" s="7"/>
      <x:c r="J14" s="13"/>
      <x:c r="K14" s="16"/>
      <x:c r="L14" s="10"/>
      <x:c r="M14" s="10"/>
      <x:c r="N14" s="10"/>
      <x:c r="O14" s="10"/>
      <x:c r="P14" s="9"/>
      <x:c r="Q14" s="9"/>
      <x:c r="R14" s="7"/>
      <x:c r="S14" s="7"/>
      <x:c r="T14" s="7"/>
      <x:c r="U14" s="7"/>
      <x:c r="V14" s="7"/>
      <x:c r="W14" s="9"/>
      <x:c r="X14" s="7"/>
      <x:c r="Y14" s="9"/>
      <x:c r="Z14" s="8"/>
      <x:c r="AA14" s="8"/>
      <x:c r="AB14" s="7"/>
      <x:c r="AC14" s="7"/>
      <x:c r="AD14" s="13"/>
      <x:c r="AE14" s="7"/>
      <x:c r="AF14" s="7"/>
      <x:c r="AG14" s="7"/>
      <x:c r="AH14" s="7"/>
      <x:c r="AI14" s="7"/>
      <x:c r="AJ14" s="9" t="str">
        <x:f>IF($A14="","",SUMIF(Sales_Items!$A$2:$A$501,$A14,Sales_Items!$O$2:$O$501))</x:f>
      </x:c>
      <x:c r="AK14" s="9" t="str">
        <x:f>IF($A14="","",$AJ14*$L14/100)</x:f>
      </x:c>
      <x:c r="AL14" s="9" t="str">
        <x:f>IF($A14="","",MAX(0,$AJ14-$AK14))</x:f>
      </x:c>
      <x:c r="AM14" s="9" t="str">
        <x:f>IF($A14="","",MAX(0,$AL14*$M14/100))</x:f>
      </x:c>
      <x:c r="AN14" s="9" t="str">
        <x:f>IF($A14="","",MAX(0,$AL14*$N14/100))</x:f>
      </x:c>
      <x:c r="AO14" s="9" t="str">
        <x:f>IF($A14="","",MAX(0,$AL14*$O14/100))</x:f>
      </x:c>
      <x:c r="AP14" s="9" t="str">
        <x:f>IF($A14="","",MAX(0,$AL14+$AM14+$P14+$W14-$AN14-$AO14-$Q14))</x:f>
      </x:c>
    </x:row>
    <x:row r="15">
      <x:c r="A15" s="13"/>
      <x:c r="B15" s="7"/>
      <x:c r="C15" s="13"/>
      <x:c r="D15" s="14"/>
      <x:c r="E15" s="8"/>
      <x:c r="F15" s="13"/>
      <x:c r="G15" s="7"/>
      <x:c r="H15" s="7"/>
      <x:c r="I15" s="7"/>
      <x:c r="J15" s="13"/>
      <x:c r="K15" s="16"/>
      <x:c r="L15" s="10"/>
      <x:c r="M15" s="10"/>
      <x:c r="N15" s="10"/>
      <x:c r="O15" s="10"/>
      <x:c r="P15" s="9"/>
      <x:c r="Q15" s="9"/>
      <x:c r="R15" s="7"/>
      <x:c r="S15" s="7"/>
      <x:c r="T15" s="7"/>
      <x:c r="U15" s="7"/>
      <x:c r="V15" s="7"/>
      <x:c r="W15" s="9"/>
      <x:c r="X15" s="7"/>
      <x:c r="Y15" s="9"/>
      <x:c r="Z15" s="8"/>
      <x:c r="AA15" s="8"/>
      <x:c r="AB15" s="7"/>
      <x:c r="AC15" s="7"/>
      <x:c r="AD15" s="13"/>
      <x:c r="AE15" s="7"/>
      <x:c r="AF15" s="7"/>
      <x:c r="AG15" s="7"/>
      <x:c r="AH15" s="7"/>
      <x:c r="AI15" s="7"/>
      <x:c r="AJ15" s="9" t="str">
        <x:f>IF($A15="","",SUMIF(Sales_Items!$A$2:$A$501,$A15,Sales_Items!$O$2:$O$501))</x:f>
      </x:c>
      <x:c r="AK15" s="9" t="str">
        <x:f>IF($A15="","",$AJ15*$L15/100)</x:f>
      </x:c>
      <x:c r="AL15" s="9" t="str">
        <x:f>IF($A15="","",MAX(0,$AJ15-$AK15))</x:f>
      </x:c>
      <x:c r="AM15" s="9" t="str">
        <x:f>IF($A15="","",MAX(0,$AL15*$M15/100))</x:f>
      </x:c>
      <x:c r="AN15" s="9" t="str">
        <x:f>IF($A15="","",MAX(0,$AL15*$N15/100))</x:f>
      </x:c>
      <x:c r="AO15" s="9" t="str">
        <x:f>IF($A15="","",MAX(0,$AL15*$O15/100))</x:f>
      </x:c>
      <x:c r="AP15" s="9" t="str">
        <x:f>IF($A15="","",MAX(0,$AL15+$AM15+$P15+$W15-$AN15-$AO15-$Q15))</x:f>
      </x:c>
    </x:row>
    <x:row r="16">
      <x:c r="A16" s="13"/>
      <x:c r="B16" s="7"/>
      <x:c r="C16" s="13"/>
      <x:c r="D16" s="14"/>
      <x:c r="E16" s="8"/>
      <x:c r="F16" s="13"/>
      <x:c r="G16" s="7"/>
      <x:c r="H16" s="7"/>
      <x:c r="I16" s="7"/>
      <x:c r="J16" s="13"/>
      <x:c r="K16" s="16"/>
      <x:c r="L16" s="10"/>
      <x:c r="M16" s="10"/>
      <x:c r="N16" s="10"/>
      <x:c r="O16" s="10"/>
      <x:c r="P16" s="9"/>
      <x:c r="Q16" s="9"/>
      <x:c r="R16" s="7"/>
      <x:c r="S16" s="7"/>
      <x:c r="T16" s="7"/>
      <x:c r="U16" s="7"/>
      <x:c r="V16" s="7"/>
      <x:c r="W16" s="9"/>
      <x:c r="X16" s="7"/>
      <x:c r="Y16" s="9"/>
      <x:c r="Z16" s="8"/>
      <x:c r="AA16" s="8"/>
      <x:c r="AB16" s="7"/>
      <x:c r="AC16" s="7"/>
      <x:c r="AD16" s="13"/>
      <x:c r="AE16" s="7"/>
      <x:c r="AF16" s="7"/>
      <x:c r="AG16" s="7"/>
      <x:c r="AH16" s="7"/>
      <x:c r="AI16" s="7"/>
      <x:c r="AJ16" s="9" t="str">
        <x:f>IF($A16="","",SUMIF(Sales_Items!$A$2:$A$501,$A16,Sales_Items!$O$2:$O$501))</x:f>
      </x:c>
      <x:c r="AK16" s="9" t="str">
        <x:f>IF($A16="","",$AJ16*$L16/100)</x:f>
      </x:c>
      <x:c r="AL16" s="9" t="str">
        <x:f>IF($A16="","",MAX(0,$AJ16-$AK16))</x:f>
      </x:c>
      <x:c r="AM16" s="9" t="str">
        <x:f>IF($A16="","",MAX(0,$AL16*$M16/100))</x:f>
      </x:c>
      <x:c r="AN16" s="9" t="str">
        <x:f>IF($A16="","",MAX(0,$AL16*$N16/100))</x:f>
      </x:c>
      <x:c r="AO16" s="9" t="str">
        <x:f>IF($A16="","",MAX(0,$AL16*$O16/100))</x:f>
      </x:c>
      <x:c r="AP16" s="9" t="str">
        <x:f>IF($A16="","",MAX(0,$AL16+$AM16+$P16+$W16-$AN16-$AO16-$Q16))</x:f>
      </x:c>
    </x:row>
    <x:row r="17">
      <x:c r="A17" s="13"/>
      <x:c r="B17" s="7"/>
      <x:c r="C17" s="13"/>
      <x:c r="D17" s="14"/>
      <x:c r="E17" s="8"/>
      <x:c r="F17" s="13"/>
      <x:c r="G17" s="7"/>
      <x:c r="H17" s="7"/>
      <x:c r="I17" s="7"/>
      <x:c r="J17" s="13"/>
      <x:c r="K17" s="16"/>
      <x:c r="L17" s="10"/>
      <x:c r="M17" s="10"/>
      <x:c r="N17" s="10"/>
      <x:c r="O17" s="10"/>
      <x:c r="P17" s="9"/>
      <x:c r="Q17" s="9"/>
      <x:c r="R17" s="7"/>
      <x:c r="S17" s="7"/>
      <x:c r="T17" s="7"/>
      <x:c r="U17" s="7"/>
      <x:c r="V17" s="7"/>
      <x:c r="W17" s="9"/>
      <x:c r="X17" s="7"/>
      <x:c r="Y17" s="9"/>
      <x:c r="Z17" s="8"/>
      <x:c r="AA17" s="8"/>
      <x:c r="AB17" s="7"/>
      <x:c r="AC17" s="7"/>
      <x:c r="AD17" s="13"/>
      <x:c r="AE17" s="7"/>
      <x:c r="AF17" s="7"/>
      <x:c r="AG17" s="7"/>
      <x:c r="AH17" s="7"/>
      <x:c r="AI17" s="7"/>
      <x:c r="AJ17" s="9" t="str">
        <x:f>IF($A17="","",SUMIF(Sales_Items!$A$2:$A$501,$A17,Sales_Items!$O$2:$O$501))</x:f>
      </x:c>
      <x:c r="AK17" s="9" t="str">
        <x:f>IF($A17="","",$AJ17*$L17/100)</x:f>
      </x:c>
      <x:c r="AL17" s="9" t="str">
        <x:f>IF($A17="","",MAX(0,$AJ17-$AK17))</x:f>
      </x:c>
      <x:c r="AM17" s="9" t="str">
        <x:f>IF($A17="","",MAX(0,$AL17*$M17/100))</x:f>
      </x:c>
      <x:c r="AN17" s="9" t="str">
        <x:f>IF($A17="","",MAX(0,$AL17*$N17/100))</x:f>
      </x:c>
      <x:c r="AO17" s="9" t="str">
        <x:f>IF($A17="","",MAX(0,$AL17*$O17/100))</x:f>
      </x:c>
      <x:c r="AP17" s="9" t="str">
        <x:f>IF($A17="","",MAX(0,$AL17+$AM17+$P17+$W17-$AN17-$AO17-$Q17))</x:f>
      </x:c>
    </x:row>
    <x:row r="18">
      <x:c r="A18" s="13"/>
      <x:c r="B18" s="7"/>
      <x:c r="C18" s="13"/>
      <x:c r="D18" s="14"/>
      <x:c r="E18" s="8"/>
      <x:c r="F18" s="13"/>
      <x:c r="G18" s="7"/>
      <x:c r="H18" s="7"/>
      <x:c r="I18" s="7"/>
      <x:c r="J18" s="13"/>
      <x:c r="K18" s="16"/>
      <x:c r="L18" s="10"/>
      <x:c r="M18" s="10"/>
      <x:c r="N18" s="10"/>
      <x:c r="O18" s="10"/>
      <x:c r="P18" s="9"/>
      <x:c r="Q18" s="9"/>
      <x:c r="R18" s="7"/>
      <x:c r="S18" s="7"/>
      <x:c r="T18" s="7"/>
      <x:c r="U18" s="7"/>
      <x:c r="V18" s="7"/>
      <x:c r="W18" s="9"/>
      <x:c r="X18" s="7"/>
      <x:c r="Y18" s="9"/>
      <x:c r="Z18" s="8"/>
      <x:c r="AA18" s="8"/>
      <x:c r="AB18" s="7"/>
      <x:c r="AC18" s="7"/>
      <x:c r="AD18" s="13"/>
      <x:c r="AE18" s="7"/>
      <x:c r="AF18" s="7"/>
      <x:c r="AG18" s="7"/>
      <x:c r="AH18" s="7"/>
      <x:c r="AI18" s="7"/>
      <x:c r="AJ18" s="9" t="str">
        <x:f>IF($A18="","",SUMIF(Sales_Items!$A$2:$A$501,$A18,Sales_Items!$O$2:$O$501))</x:f>
      </x:c>
      <x:c r="AK18" s="9" t="str">
        <x:f>IF($A18="","",$AJ18*$L18/100)</x:f>
      </x:c>
      <x:c r="AL18" s="9" t="str">
        <x:f>IF($A18="","",MAX(0,$AJ18-$AK18))</x:f>
      </x:c>
      <x:c r="AM18" s="9" t="str">
        <x:f>IF($A18="","",MAX(0,$AL18*$M18/100))</x:f>
      </x:c>
      <x:c r="AN18" s="9" t="str">
        <x:f>IF($A18="","",MAX(0,$AL18*$N18/100))</x:f>
      </x:c>
      <x:c r="AO18" s="9" t="str">
        <x:f>IF($A18="","",MAX(0,$AL18*$O18/100))</x:f>
      </x:c>
      <x:c r="AP18" s="9" t="str">
        <x:f>IF($A18="","",MAX(0,$AL18+$AM18+$P18+$W18-$AN18-$AO18-$Q18))</x:f>
      </x:c>
    </x:row>
    <x:row r="19">
      <x:c r="A19" s="13"/>
      <x:c r="B19" s="7"/>
      <x:c r="C19" s="13"/>
      <x:c r="D19" s="14"/>
      <x:c r="E19" s="8"/>
      <x:c r="F19" s="13"/>
      <x:c r="G19" s="7"/>
      <x:c r="H19" s="7"/>
      <x:c r="I19" s="7"/>
      <x:c r="J19" s="13"/>
      <x:c r="K19" s="16"/>
      <x:c r="L19" s="10"/>
      <x:c r="M19" s="10"/>
      <x:c r="N19" s="10"/>
      <x:c r="O19" s="10"/>
      <x:c r="P19" s="9"/>
      <x:c r="Q19" s="9"/>
      <x:c r="R19" s="7"/>
      <x:c r="S19" s="7"/>
      <x:c r="T19" s="7"/>
      <x:c r="U19" s="7"/>
      <x:c r="V19" s="7"/>
      <x:c r="W19" s="9"/>
      <x:c r="X19" s="7"/>
      <x:c r="Y19" s="9"/>
      <x:c r="Z19" s="8"/>
      <x:c r="AA19" s="8"/>
      <x:c r="AB19" s="7"/>
      <x:c r="AC19" s="7"/>
      <x:c r="AD19" s="13"/>
      <x:c r="AE19" s="7"/>
      <x:c r="AF19" s="7"/>
      <x:c r="AG19" s="7"/>
      <x:c r="AH19" s="7"/>
      <x:c r="AI19" s="7"/>
      <x:c r="AJ19" s="9" t="str">
        <x:f>IF($A19="","",SUMIF(Sales_Items!$A$2:$A$501,$A19,Sales_Items!$O$2:$O$501))</x:f>
      </x:c>
      <x:c r="AK19" s="9" t="str">
        <x:f>IF($A19="","",$AJ19*$L19/100)</x:f>
      </x:c>
      <x:c r="AL19" s="9" t="str">
        <x:f>IF($A19="","",MAX(0,$AJ19-$AK19))</x:f>
      </x:c>
      <x:c r="AM19" s="9" t="str">
        <x:f>IF($A19="","",MAX(0,$AL19*$M19/100))</x:f>
      </x:c>
      <x:c r="AN19" s="9" t="str">
        <x:f>IF($A19="","",MAX(0,$AL19*$N19/100))</x:f>
      </x:c>
      <x:c r="AO19" s="9" t="str">
        <x:f>IF($A19="","",MAX(0,$AL19*$O19/100))</x:f>
      </x:c>
      <x:c r="AP19" s="9" t="str">
        <x:f>IF($A19="","",MAX(0,$AL19+$AM19+$P19+$W19-$AN19-$AO19-$Q19))</x:f>
      </x:c>
    </x:row>
    <x:row r="20">
      <x:c r="A20" s="13"/>
      <x:c r="B20" s="7"/>
      <x:c r="C20" s="13"/>
      <x:c r="D20" s="14"/>
      <x:c r="E20" s="8"/>
      <x:c r="F20" s="13"/>
      <x:c r="G20" s="7"/>
      <x:c r="H20" s="7"/>
      <x:c r="I20" s="7"/>
      <x:c r="J20" s="13"/>
      <x:c r="K20" s="16"/>
      <x:c r="L20" s="10"/>
      <x:c r="M20" s="10"/>
      <x:c r="N20" s="10"/>
      <x:c r="O20" s="10"/>
      <x:c r="P20" s="9"/>
      <x:c r="Q20" s="9"/>
      <x:c r="R20" s="7"/>
      <x:c r="S20" s="7"/>
      <x:c r="T20" s="7"/>
      <x:c r="U20" s="7"/>
      <x:c r="V20" s="7"/>
      <x:c r="W20" s="9"/>
      <x:c r="X20" s="7"/>
      <x:c r="Y20" s="9"/>
      <x:c r="Z20" s="8"/>
      <x:c r="AA20" s="8"/>
      <x:c r="AB20" s="7"/>
      <x:c r="AC20" s="7"/>
      <x:c r="AD20" s="13"/>
      <x:c r="AE20" s="7"/>
      <x:c r="AF20" s="7"/>
      <x:c r="AG20" s="7"/>
      <x:c r="AH20" s="7"/>
      <x:c r="AI20" s="7"/>
      <x:c r="AJ20" s="9" t="str">
        <x:f>IF($A20="","",SUMIF(Sales_Items!$A$2:$A$501,$A20,Sales_Items!$O$2:$O$501))</x:f>
      </x:c>
      <x:c r="AK20" s="9" t="str">
        <x:f>IF($A20="","",$AJ20*$L20/100)</x:f>
      </x:c>
      <x:c r="AL20" s="9" t="str">
        <x:f>IF($A20="","",MAX(0,$AJ20-$AK20))</x:f>
      </x:c>
      <x:c r="AM20" s="9" t="str">
        <x:f>IF($A20="","",MAX(0,$AL20*$M20/100))</x:f>
      </x:c>
      <x:c r="AN20" s="9" t="str">
        <x:f>IF($A20="","",MAX(0,$AL20*$N20/100))</x:f>
      </x:c>
      <x:c r="AO20" s="9" t="str">
        <x:f>IF($A20="","",MAX(0,$AL20*$O20/100))</x:f>
      </x:c>
      <x:c r="AP20" s="9" t="str">
        <x:f>IF($A20="","",MAX(0,$AL20+$AM20+$P20+$W20-$AN20-$AO20-$Q20))</x:f>
      </x:c>
    </x:row>
    <x:row r="21">
      <x:c r="A21" s="13"/>
      <x:c r="B21" s="7"/>
      <x:c r="C21" s="13"/>
      <x:c r="D21" s="14"/>
      <x:c r="E21" s="8"/>
      <x:c r="F21" s="13"/>
      <x:c r="G21" s="7"/>
      <x:c r="H21" s="7"/>
      <x:c r="I21" s="7"/>
      <x:c r="J21" s="13"/>
      <x:c r="K21" s="16"/>
      <x:c r="L21" s="10"/>
      <x:c r="M21" s="10"/>
      <x:c r="N21" s="10"/>
      <x:c r="O21" s="10"/>
      <x:c r="P21" s="9"/>
      <x:c r="Q21" s="9"/>
      <x:c r="R21" s="7"/>
      <x:c r="S21" s="7"/>
      <x:c r="T21" s="7"/>
      <x:c r="U21" s="7"/>
      <x:c r="V21" s="7"/>
      <x:c r="W21" s="9"/>
      <x:c r="X21" s="7"/>
      <x:c r="Y21" s="9"/>
      <x:c r="Z21" s="8"/>
      <x:c r="AA21" s="8"/>
      <x:c r="AB21" s="7"/>
      <x:c r="AC21" s="7"/>
      <x:c r="AD21" s="13"/>
      <x:c r="AE21" s="7"/>
      <x:c r="AF21" s="7"/>
      <x:c r="AG21" s="7"/>
      <x:c r="AH21" s="7"/>
      <x:c r="AI21" s="7"/>
      <x:c r="AJ21" s="9" t="str">
        <x:f>IF($A21="","",SUMIF(Sales_Items!$A$2:$A$501,$A21,Sales_Items!$O$2:$O$501))</x:f>
      </x:c>
      <x:c r="AK21" s="9" t="str">
        <x:f>IF($A21="","",$AJ21*$L21/100)</x:f>
      </x:c>
      <x:c r="AL21" s="9" t="str">
        <x:f>IF($A21="","",MAX(0,$AJ21-$AK21))</x:f>
      </x:c>
      <x:c r="AM21" s="9" t="str">
        <x:f>IF($A21="","",MAX(0,$AL21*$M21/100))</x:f>
      </x:c>
      <x:c r="AN21" s="9" t="str">
        <x:f>IF($A21="","",MAX(0,$AL21*$N21/100))</x:f>
      </x:c>
      <x:c r="AO21" s="9" t="str">
        <x:f>IF($A21="","",MAX(0,$AL21*$O21/100))</x:f>
      </x:c>
      <x:c r="AP21" s="9" t="str">
        <x:f>IF($A21="","",MAX(0,$AL21+$AM21+$P21+$W21-$AN21-$AO21-$Q21))</x:f>
      </x:c>
    </x:row>
    <x:row r="22">
      <x:c r="A22" s="13"/>
      <x:c r="B22" s="7"/>
      <x:c r="C22" s="13"/>
      <x:c r="D22" s="14"/>
      <x:c r="E22" s="8"/>
      <x:c r="F22" s="13"/>
      <x:c r="G22" s="7"/>
      <x:c r="H22" s="7"/>
      <x:c r="I22" s="7"/>
      <x:c r="J22" s="13"/>
      <x:c r="K22" s="16"/>
      <x:c r="L22" s="10"/>
      <x:c r="M22" s="10"/>
      <x:c r="N22" s="10"/>
      <x:c r="O22" s="10"/>
      <x:c r="P22" s="9"/>
      <x:c r="Q22" s="9"/>
      <x:c r="R22" s="7"/>
      <x:c r="S22" s="7"/>
      <x:c r="T22" s="7"/>
      <x:c r="U22" s="7"/>
      <x:c r="V22" s="7"/>
      <x:c r="W22" s="9"/>
      <x:c r="X22" s="7"/>
      <x:c r="Y22" s="9"/>
      <x:c r="Z22" s="8"/>
      <x:c r="AA22" s="8"/>
      <x:c r="AB22" s="7"/>
      <x:c r="AC22" s="7"/>
      <x:c r="AD22" s="13"/>
      <x:c r="AE22" s="7"/>
      <x:c r="AF22" s="7"/>
      <x:c r="AG22" s="7"/>
      <x:c r="AH22" s="7"/>
      <x:c r="AI22" s="7"/>
      <x:c r="AJ22" s="9" t="str">
        <x:f>IF($A22="","",SUMIF(Sales_Items!$A$2:$A$501,$A22,Sales_Items!$O$2:$O$501))</x:f>
      </x:c>
      <x:c r="AK22" s="9" t="str">
        <x:f>IF($A22="","",$AJ22*$L22/100)</x:f>
      </x:c>
      <x:c r="AL22" s="9" t="str">
        <x:f>IF($A22="","",MAX(0,$AJ22-$AK22))</x:f>
      </x:c>
      <x:c r="AM22" s="9" t="str">
        <x:f>IF($A22="","",MAX(0,$AL22*$M22/100))</x:f>
      </x:c>
      <x:c r="AN22" s="9" t="str">
        <x:f>IF($A22="","",MAX(0,$AL22*$N22/100))</x:f>
      </x:c>
      <x:c r="AO22" s="9" t="str">
        <x:f>IF($A22="","",MAX(0,$AL22*$O22/100))</x:f>
      </x:c>
      <x:c r="AP22" s="9" t="str">
        <x:f>IF($A22="","",MAX(0,$AL22+$AM22+$P22+$W22-$AN22-$AO22-$Q22))</x:f>
      </x:c>
    </x:row>
    <x:row r="23">
      <x:c r="A23" s="13"/>
      <x:c r="B23" s="7"/>
      <x:c r="C23" s="13"/>
      <x:c r="D23" s="14"/>
      <x:c r="E23" s="8"/>
      <x:c r="F23" s="13"/>
      <x:c r="G23" s="7"/>
      <x:c r="H23" s="7"/>
      <x:c r="I23" s="7"/>
      <x:c r="J23" s="13"/>
      <x:c r="K23" s="16"/>
      <x:c r="L23" s="10"/>
      <x:c r="M23" s="10"/>
      <x:c r="N23" s="10"/>
      <x:c r="O23" s="10"/>
      <x:c r="P23" s="9"/>
      <x:c r="Q23" s="9"/>
      <x:c r="R23" s="7"/>
      <x:c r="S23" s="7"/>
      <x:c r="T23" s="7"/>
      <x:c r="U23" s="7"/>
      <x:c r="V23" s="7"/>
      <x:c r="W23" s="9"/>
      <x:c r="X23" s="7"/>
      <x:c r="Y23" s="9"/>
      <x:c r="Z23" s="8"/>
      <x:c r="AA23" s="8"/>
      <x:c r="AB23" s="7"/>
      <x:c r="AC23" s="7"/>
      <x:c r="AD23" s="13"/>
      <x:c r="AE23" s="7"/>
      <x:c r="AF23" s="7"/>
      <x:c r="AG23" s="7"/>
      <x:c r="AH23" s="7"/>
      <x:c r="AI23" s="7"/>
      <x:c r="AJ23" s="9" t="str">
        <x:f>IF($A23="","",SUMIF(Sales_Items!$A$2:$A$501,$A23,Sales_Items!$O$2:$O$501))</x:f>
      </x:c>
      <x:c r="AK23" s="9" t="str">
        <x:f>IF($A23="","",$AJ23*$L23/100)</x:f>
      </x:c>
      <x:c r="AL23" s="9" t="str">
        <x:f>IF($A23="","",MAX(0,$AJ23-$AK23))</x:f>
      </x:c>
      <x:c r="AM23" s="9" t="str">
        <x:f>IF($A23="","",MAX(0,$AL23*$M23/100))</x:f>
      </x:c>
      <x:c r="AN23" s="9" t="str">
        <x:f>IF($A23="","",MAX(0,$AL23*$N23/100))</x:f>
      </x:c>
      <x:c r="AO23" s="9" t="str">
        <x:f>IF($A23="","",MAX(0,$AL23*$O23/100))</x:f>
      </x:c>
      <x:c r="AP23" s="9" t="str">
        <x:f>IF($A23="","",MAX(0,$AL23+$AM23+$P23+$W23-$AN23-$AO23-$Q23))</x:f>
      </x:c>
    </x:row>
    <x:row r="24">
      <x:c r="A24" s="13"/>
      <x:c r="B24" s="7"/>
      <x:c r="C24" s="13"/>
      <x:c r="D24" s="14"/>
      <x:c r="E24" s="8"/>
      <x:c r="F24" s="13"/>
      <x:c r="G24" s="7"/>
      <x:c r="H24" s="7"/>
      <x:c r="I24" s="7"/>
      <x:c r="J24" s="13"/>
      <x:c r="K24" s="16"/>
      <x:c r="L24" s="10"/>
      <x:c r="M24" s="10"/>
      <x:c r="N24" s="10"/>
      <x:c r="O24" s="10"/>
      <x:c r="P24" s="9"/>
      <x:c r="Q24" s="9"/>
      <x:c r="R24" s="7"/>
      <x:c r="S24" s="7"/>
      <x:c r="T24" s="7"/>
      <x:c r="U24" s="7"/>
      <x:c r="V24" s="7"/>
      <x:c r="W24" s="9"/>
      <x:c r="X24" s="7"/>
      <x:c r="Y24" s="9"/>
      <x:c r="Z24" s="8"/>
      <x:c r="AA24" s="8"/>
      <x:c r="AB24" s="7"/>
      <x:c r="AC24" s="7"/>
      <x:c r="AD24" s="13"/>
      <x:c r="AE24" s="7"/>
      <x:c r="AF24" s="7"/>
      <x:c r="AG24" s="7"/>
      <x:c r="AH24" s="7"/>
      <x:c r="AI24" s="7"/>
      <x:c r="AJ24" s="9" t="str">
        <x:f>IF($A24="","",SUMIF(Sales_Items!$A$2:$A$501,$A24,Sales_Items!$O$2:$O$501))</x:f>
      </x:c>
      <x:c r="AK24" s="9" t="str">
        <x:f>IF($A24="","",$AJ24*$L24/100)</x:f>
      </x:c>
      <x:c r="AL24" s="9" t="str">
        <x:f>IF($A24="","",MAX(0,$AJ24-$AK24))</x:f>
      </x:c>
      <x:c r="AM24" s="9" t="str">
        <x:f>IF($A24="","",MAX(0,$AL24*$M24/100))</x:f>
      </x:c>
      <x:c r="AN24" s="9" t="str">
        <x:f>IF($A24="","",MAX(0,$AL24*$N24/100))</x:f>
      </x:c>
      <x:c r="AO24" s="9" t="str">
        <x:f>IF($A24="","",MAX(0,$AL24*$O24/100))</x:f>
      </x:c>
      <x:c r="AP24" s="9" t="str">
        <x:f>IF($A24="","",MAX(0,$AL24+$AM24+$P24+$W24-$AN24-$AO24-$Q24))</x:f>
      </x:c>
    </x:row>
    <x:row r="25">
      <x:c r="A25" s="13"/>
      <x:c r="B25" s="7"/>
      <x:c r="C25" s="13"/>
      <x:c r="D25" s="14"/>
      <x:c r="E25" s="8"/>
      <x:c r="F25" s="13"/>
      <x:c r="G25" s="7"/>
      <x:c r="H25" s="7"/>
      <x:c r="I25" s="7"/>
      <x:c r="J25" s="13"/>
      <x:c r="K25" s="16"/>
      <x:c r="L25" s="10"/>
      <x:c r="M25" s="10"/>
      <x:c r="N25" s="10"/>
      <x:c r="O25" s="10"/>
      <x:c r="P25" s="9"/>
      <x:c r="Q25" s="9"/>
      <x:c r="R25" s="7"/>
      <x:c r="S25" s="7"/>
      <x:c r="T25" s="7"/>
      <x:c r="U25" s="7"/>
      <x:c r="V25" s="7"/>
      <x:c r="W25" s="9"/>
      <x:c r="X25" s="7"/>
      <x:c r="Y25" s="9"/>
      <x:c r="Z25" s="8"/>
      <x:c r="AA25" s="8"/>
      <x:c r="AB25" s="7"/>
      <x:c r="AC25" s="7"/>
      <x:c r="AD25" s="13"/>
      <x:c r="AE25" s="7"/>
      <x:c r="AF25" s="7"/>
      <x:c r="AG25" s="7"/>
      <x:c r="AH25" s="7"/>
      <x:c r="AI25" s="7"/>
      <x:c r="AJ25" s="9" t="str">
        <x:f>IF($A25="","",SUMIF(Sales_Items!$A$2:$A$501,$A25,Sales_Items!$O$2:$O$501))</x:f>
      </x:c>
      <x:c r="AK25" s="9" t="str">
        <x:f>IF($A25="","",$AJ25*$L25/100)</x:f>
      </x:c>
      <x:c r="AL25" s="9" t="str">
        <x:f>IF($A25="","",MAX(0,$AJ25-$AK25))</x:f>
      </x:c>
      <x:c r="AM25" s="9" t="str">
        <x:f>IF($A25="","",MAX(0,$AL25*$M25/100))</x:f>
      </x:c>
      <x:c r="AN25" s="9" t="str">
        <x:f>IF($A25="","",MAX(0,$AL25*$N25/100))</x:f>
      </x:c>
      <x:c r="AO25" s="9" t="str">
        <x:f>IF($A25="","",MAX(0,$AL25*$O25/100))</x:f>
      </x:c>
      <x:c r="AP25" s="9" t="str">
        <x:f>IF($A25="","",MAX(0,$AL25+$AM25+$P25+$W25-$AN25-$AO25-$Q25))</x:f>
      </x:c>
    </x:row>
    <x:row r="26">
      <x:c r="A26" s="13"/>
      <x:c r="B26" s="7"/>
      <x:c r="C26" s="13"/>
      <x:c r="D26" s="14"/>
      <x:c r="E26" s="8"/>
      <x:c r="F26" s="13"/>
      <x:c r="G26" s="7"/>
      <x:c r="H26" s="7"/>
      <x:c r="I26" s="7"/>
      <x:c r="J26" s="13"/>
      <x:c r="K26" s="16"/>
      <x:c r="L26" s="10"/>
      <x:c r="M26" s="10"/>
      <x:c r="N26" s="10"/>
      <x:c r="O26" s="10"/>
      <x:c r="P26" s="9"/>
      <x:c r="Q26" s="9"/>
      <x:c r="R26" s="7"/>
      <x:c r="S26" s="7"/>
      <x:c r="T26" s="7"/>
      <x:c r="U26" s="7"/>
      <x:c r="V26" s="7"/>
      <x:c r="W26" s="9"/>
      <x:c r="X26" s="7"/>
      <x:c r="Y26" s="9"/>
      <x:c r="Z26" s="8"/>
      <x:c r="AA26" s="8"/>
      <x:c r="AB26" s="7"/>
      <x:c r="AC26" s="7"/>
      <x:c r="AD26" s="13"/>
      <x:c r="AE26" s="7"/>
      <x:c r="AF26" s="7"/>
      <x:c r="AG26" s="7"/>
      <x:c r="AH26" s="7"/>
      <x:c r="AI26" s="7"/>
      <x:c r="AJ26" s="9" t="str">
        <x:f>IF($A26="","",SUMIF(Sales_Items!$A$2:$A$501,$A26,Sales_Items!$O$2:$O$501))</x:f>
      </x:c>
      <x:c r="AK26" s="9" t="str">
        <x:f>IF($A26="","",$AJ26*$L26/100)</x:f>
      </x:c>
      <x:c r="AL26" s="9" t="str">
        <x:f>IF($A26="","",MAX(0,$AJ26-$AK26))</x:f>
      </x:c>
      <x:c r="AM26" s="9" t="str">
        <x:f>IF($A26="","",MAX(0,$AL26*$M26/100))</x:f>
      </x:c>
      <x:c r="AN26" s="9" t="str">
        <x:f>IF($A26="","",MAX(0,$AL26*$N26/100))</x:f>
      </x:c>
      <x:c r="AO26" s="9" t="str">
        <x:f>IF($A26="","",MAX(0,$AL26*$O26/100))</x:f>
      </x:c>
      <x:c r="AP26" s="9" t="str">
        <x:f>IF($A26="","",MAX(0,$AL26+$AM26+$P26+$W26-$AN26-$AO26-$Q26))</x:f>
      </x:c>
    </x:row>
    <x:row r="27">
      <x:c r="A27" s="13"/>
      <x:c r="B27" s="7"/>
      <x:c r="C27" s="13"/>
      <x:c r="D27" s="14"/>
      <x:c r="E27" s="8"/>
      <x:c r="F27" s="13"/>
      <x:c r="G27" s="7"/>
      <x:c r="H27" s="7"/>
      <x:c r="I27" s="7"/>
      <x:c r="J27" s="13"/>
      <x:c r="K27" s="16"/>
      <x:c r="L27" s="10"/>
      <x:c r="M27" s="10"/>
      <x:c r="N27" s="10"/>
      <x:c r="O27" s="10"/>
      <x:c r="P27" s="9"/>
      <x:c r="Q27" s="9"/>
      <x:c r="R27" s="7"/>
      <x:c r="S27" s="7"/>
      <x:c r="T27" s="7"/>
      <x:c r="U27" s="7"/>
      <x:c r="V27" s="7"/>
      <x:c r="W27" s="9"/>
      <x:c r="X27" s="7"/>
      <x:c r="Y27" s="9"/>
      <x:c r="Z27" s="8"/>
      <x:c r="AA27" s="8"/>
      <x:c r="AB27" s="7"/>
      <x:c r="AC27" s="7"/>
      <x:c r="AD27" s="13"/>
      <x:c r="AE27" s="7"/>
      <x:c r="AF27" s="7"/>
      <x:c r="AG27" s="7"/>
      <x:c r="AH27" s="7"/>
      <x:c r="AI27" s="7"/>
      <x:c r="AJ27" s="9" t="str">
        <x:f>IF($A27="","",SUMIF(Sales_Items!$A$2:$A$501,$A27,Sales_Items!$O$2:$O$501))</x:f>
      </x:c>
      <x:c r="AK27" s="9" t="str">
        <x:f>IF($A27="","",$AJ27*$L27/100)</x:f>
      </x:c>
      <x:c r="AL27" s="9" t="str">
        <x:f>IF($A27="","",MAX(0,$AJ27-$AK27))</x:f>
      </x:c>
      <x:c r="AM27" s="9" t="str">
        <x:f>IF($A27="","",MAX(0,$AL27*$M27/100))</x:f>
      </x:c>
      <x:c r="AN27" s="9" t="str">
        <x:f>IF($A27="","",MAX(0,$AL27*$N27/100))</x:f>
      </x:c>
      <x:c r="AO27" s="9" t="str">
        <x:f>IF($A27="","",MAX(0,$AL27*$O27/100))</x:f>
      </x:c>
      <x:c r="AP27" s="9" t="str">
        <x:f>IF($A27="","",MAX(0,$AL27+$AM27+$P27+$W27-$AN27-$AO27-$Q27))</x:f>
      </x:c>
    </x:row>
    <x:row r="28">
      <x:c r="A28" s="13"/>
      <x:c r="B28" s="7"/>
      <x:c r="C28" s="13"/>
      <x:c r="D28" s="14"/>
      <x:c r="E28" s="8"/>
      <x:c r="F28" s="13"/>
      <x:c r="G28" s="7"/>
      <x:c r="H28" s="7"/>
      <x:c r="I28" s="7"/>
      <x:c r="J28" s="13"/>
      <x:c r="K28" s="16"/>
      <x:c r="L28" s="10"/>
      <x:c r="M28" s="10"/>
      <x:c r="N28" s="10"/>
      <x:c r="O28" s="10"/>
      <x:c r="P28" s="9"/>
      <x:c r="Q28" s="9"/>
      <x:c r="R28" s="7"/>
      <x:c r="S28" s="7"/>
      <x:c r="T28" s="7"/>
      <x:c r="U28" s="7"/>
      <x:c r="V28" s="7"/>
      <x:c r="W28" s="9"/>
      <x:c r="X28" s="7"/>
      <x:c r="Y28" s="9"/>
      <x:c r="Z28" s="8"/>
      <x:c r="AA28" s="8"/>
      <x:c r="AB28" s="7"/>
      <x:c r="AC28" s="7"/>
      <x:c r="AD28" s="13"/>
      <x:c r="AE28" s="7"/>
      <x:c r="AF28" s="7"/>
      <x:c r="AG28" s="7"/>
      <x:c r="AH28" s="7"/>
      <x:c r="AI28" s="7"/>
      <x:c r="AJ28" s="9" t="str">
        <x:f>IF($A28="","",SUMIF(Sales_Items!$A$2:$A$501,$A28,Sales_Items!$O$2:$O$501))</x:f>
      </x:c>
      <x:c r="AK28" s="9" t="str">
        <x:f>IF($A28="","",$AJ28*$L28/100)</x:f>
      </x:c>
      <x:c r="AL28" s="9" t="str">
        <x:f>IF($A28="","",MAX(0,$AJ28-$AK28))</x:f>
      </x:c>
      <x:c r="AM28" s="9" t="str">
        <x:f>IF($A28="","",MAX(0,$AL28*$M28/100))</x:f>
      </x:c>
      <x:c r="AN28" s="9" t="str">
        <x:f>IF($A28="","",MAX(0,$AL28*$N28/100))</x:f>
      </x:c>
      <x:c r="AO28" s="9" t="str">
        <x:f>IF($A28="","",MAX(0,$AL28*$O28/100))</x:f>
      </x:c>
      <x:c r="AP28" s="9" t="str">
        <x:f>IF($A28="","",MAX(0,$AL28+$AM28+$P28+$W28-$AN28-$AO28-$Q28))</x:f>
      </x:c>
    </x:row>
    <x:row r="29">
      <x:c r="A29" s="13"/>
      <x:c r="B29" s="7"/>
      <x:c r="C29" s="13"/>
      <x:c r="D29" s="14"/>
      <x:c r="E29" s="8"/>
      <x:c r="F29" s="13"/>
      <x:c r="G29" s="7"/>
      <x:c r="H29" s="7"/>
      <x:c r="I29" s="7"/>
      <x:c r="J29" s="13"/>
      <x:c r="K29" s="16"/>
      <x:c r="L29" s="10"/>
      <x:c r="M29" s="10"/>
      <x:c r="N29" s="10"/>
      <x:c r="O29" s="10"/>
      <x:c r="P29" s="9"/>
      <x:c r="Q29" s="9"/>
      <x:c r="R29" s="7"/>
      <x:c r="S29" s="7"/>
      <x:c r="T29" s="7"/>
      <x:c r="U29" s="7"/>
      <x:c r="V29" s="7"/>
      <x:c r="W29" s="9"/>
      <x:c r="X29" s="7"/>
      <x:c r="Y29" s="9"/>
      <x:c r="Z29" s="8"/>
      <x:c r="AA29" s="8"/>
      <x:c r="AB29" s="7"/>
      <x:c r="AC29" s="7"/>
      <x:c r="AD29" s="13"/>
      <x:c r="AE29" s="7"/>
      <x:c r="AF29" s="7"/>
      <x:c r="AG29" s="7"/>
      <x:c r="AH29" s="7"/>
      <x:c r="AI29" s="7"/>
      <x:c r="AJ29" s="9" t="str">
        <x:f>IF($A29="","",SUMIF(Sales_Items!$A$2:$A$501,$A29,Sales_Items!$O$2:$O$501))</x:f>
      </x:c>
      <x:c r="AK29" s="9" t="str">
        <x:f>IF($A29="","",$AJ29*$L29/100)</x:f>
      </x:c>
      <x:c r="AL29" s="9" t="str">
        <x:f>IF($A29="","",MAX(0,$AJ29-$AK29))</x:f>
      </x:c>
      <x:c r="AM29" s="9" t="str">
        <x:f>IF($A29="","",MAX(0,$AL29*$M29/100))</x:f>
      </x:c>
      <x:c r="AN29" s="9" t="str">
        <x:f>IF($A29="","",MAX(0,$AL29*$N29/100))</x:f>
      </x:c>
      <x:c r="AO29" s="9" t="str">
        <x:f>IF($A29="","",MAX(0,$AL29*$O29/100))</x:f>
      </x:c>
      <x:c r="AP29" s="9" t="str">
        <x:f>IF($A29="","",MAX(0,$AL29+$AM29+$P29+$W29-$AN29-$AO29-$Q29))</x:f>
      </x:c>
    </x:row>
    <x:row r="30">
      <x:c r="A30" s="13"/>
      <x:c r="B30" s="7"/>
      <x:c r="C30" s="13"/>
      <x:c r="D30" s="14"/>
      <x:c r="E30" s="8"/>
      <x:c r="F30" s="13"/>
      <x:c r="G30" s="7"/>
      <x:c r="H30" s="7"/>
      <x:c r="I30" s="7"/>
      <x:c r="J30" s="13"/>
      <x:c r="K30" s="16"/>
      <x:c r="L30" s="10"/>
      <x:c r="M30" s="10"/>
      <x:c r="N30" s="10"/>
      <x:c r="O30" s="10"/>
      <x:c r="P30" s="9"/>
      <x:c r="Q30" s="9"/>
      <x:c r="R30" s="7"/>
      <x:c r="S30" s="7"/>
      <x:c r="T30" s="7"/>
      <x:c r="U30" s="7"/>
      <x:c r="V30" s="7"/>
      <x:c r="W30" s="9"/>
      <x:c r="X30" s="7"/>
      <x:c r="Y30" s="9"/>
      <x:c r="Z30" s="8"/>
      <x:c r="AA30" s="8"/>
      <x:c r="AB30" s="7"/>
      <x:c r="AC30" s="7"/>
      <x:c r="AD30" s="13"/>
      <x:c r="AE30" s="7"/>
      <x:c r="AF30" s="7"/>
      <x:c r="AG30" s="7"/>
      <x:c r="AH30" s="7"/>
      <x:c r="AI30" s="7"/>
      <x:c r="AJ30" s="9" t="str">
        <x:f>IF($A30="","",SUMIF(Sales_Items!$A$2:$A$501,$A30,Sales_Items!$O$2:$O$501))</x:f>
      </x:c>
      <x:c r="AK30" s="9" t="str">
        <x:f>IF($A30="","",$AJ30*$L30/100)</x:f>
      </x:c>
      <x:c r="AL30" s="9" t="str">
        <x:f>IF($A30="","",MAX(0,$AJ30-$AK30))</x:f>
      </x:c>
      <x:c r="AM30" s="9" t="str">
        <x:f>IF($A30="","",MAX(0,$AL30*$M30/100))</x:f>
      </x:c>
      <x:c r="AN30" s="9" t="str">
        <x:f>IF($A30="","",MAX(0,$AL30*$N30/100))</x:f>
      </x:c>
      <x:c r="AO30" s="9" t="str">
        <x:f>IF($A30="","",MAX(0,$AL30*$O30/100))</x:f>
      </x:c>
      <x:c r="AP30" s="9" t="str">
        <x:f>IF($A30="","",MAX(0,$AL30+$AM30+$P30+$W30-$AN30-$AO30-$Q30))</x:f>
      </x:c>
    </x:row>
    <x:row r="31">
      <x:c r="A31" s="13"/>
      <x:c r="B31" s="7"/>
      <x:c r="C31" s="13"/>
      <x:c r="D31" s="14"/>
      <x:c r="E31" s="8"/>
      <x:c r="F31" s="13"/>
      <x:c r="G31" s="7"/>
      <x:c r="H31" s="7"/>
      <x:c r="I31" s="7"/>
      <x:c r="J31" s="13"/>
      <x:c r="K31" s="16"/>
      <x:c r="L31" s="10"/>
      <x:c r="M31" s="10"/>
      <x:c r="N31" s="10"/>
      <x:c r="O31" s="10"/>
      <x:c r="P31" s="9"/>
      <x:c r="Q31" s="9"/>
      <x:c r="R31" s="7"/>
      <x:c r="S31" s="7"/>
      <x:c r="T31" s="7"/>
      <x:c r="U31" s="7"/>
      <x:c r="V31" s="7"/>
      <x:c r="W31" s="9"/>
      <x:c r="X31" s="7"/>
      <x:c r="Y31" s="9"/>
      <x:c r="Z31" s="8"/>
      <x:c r="AA31" s="8"/>
      <x:c r="AB31" s="7"/>
      <x:c r="AC31" s="7"/>
      <x:c r="AD31" s="13"/>
      <x:c r="AE31" s="7"/>
      <x:c r="AF31" s="7"/>
      <x:c r="AG31" s="7"/>
      <x:c r="AH31" s="7"/>
      <x:c r="AI31" s="7"/>
      <x:c r="AJ31" s="9" t="str">
        <x:f>IF($A31="","",SUMIF(Sales_Items!$A$2:$A$501,$A31,Sales_Items!$O$2:$O$501))</x:f>
      </x:c>
      <x:c r="AK31" s="9" t="str">
        <x:f>IF($A31="","",$AJ31*$L31/100)</x:f>
      </x:c>
      <x:c r="AL31" s="9" t="str">
        <x:f>IF($A31="","",MAX(0,$AJ31-$AK31))</x:f>
      </x:c>
      <x:c r="AM31" s="9" t="str">
        <x:f>IF($A31="","",MAX(0,$AL31*$M31/100))</x:f>
      </x:c>
      <x:c r="AN31" s="9" t="str">
        <x:f>IF($A31="","",MAX(0,$AL31*$N31/100))</x:f>
      </x:c>
      <x:c r="AO31" s="9" t="str">
        <x:f>IF($A31="","",MAX(0,$AL31*$O31/100))</x:f>
      </x:c>
      <x:c r="AP31" s="9" t="str">
        <x:f>IF($A31="","",MAX(0,$AL31+$AM31+$P31+$W31-$AN31-$AO31-$Q31))</x:f>
      </x:c>
    </x:row>
    <x:row r="32">
      <x:c r="A32" s="13"/>
      <x:c r="B32" s="7"/>
      <x:c r="C32" s="13"/>
      <x:c r="D32" s="14"/>
      <x:c r="E32" s="8"/>
      <x:c r="F32" s="13"/>
      <x:c r="G32" s="7"/>
      <x:c r="H32" s="7"/>
      <x:c r="I32" s="7"/>
      <x:c r="J32" s="13"/>
      <x:c r="K32" s="16"/>
      <x:c r="L32" s="10"/>
      <x:c r="M32" s="10"/>
      <x:c r="N32" s="10"/>
      <x:c r="O32" s="10"/>
      <x:c r="P32" s="9"/>
      <x:c r="Q32" s="9"/>
      <x:c r="R32" s="7"/>
      <x:c r="S32" s="7"/>
      <x:c r="T32" s="7"/>
      <x:c r="U32" s="7"/>
      <x:c r="V32" s="7"/>
      <x:c r="W32" s="9"/>
      <x:c r="X32" s="7"/>
      <x:c r="Y32" s="9"/>
      <x:c r="Z32" s="8"/>
      <x:c r="AA32" s="8"/>
      <x:c r="AB32" s="7"/>
      <x:c r="AC32" s="7"/>
      <x:c r="AD32" s="13"/>
      <x:c r="AE32" s="7"/>
      <x:c r="AF32" s="7"/>
      <x:c r="AG32" s="7"/>
      <x:c r="AH32" s="7"/>
      <x:c r="AI32" s="7"/>
      <x:c r="AJ32" s="9" t="str">
        <x:f>IF($A32="","",SUMIF(Sales_Items!$A$2:$A$501,$A32,Sales_Items!$O$2:$O$501))</x:f>
      </x:c>
      <x:c r="AK32" s="9" t="str">
        <x:f>IF($A32="","",$AJ32*$L32/100)</x:f>
      </x:c>
      <x:c r="AL32" s="9" t="str">
        <x:f>IF($A32="","",MAX(0,$AJ32-$AK32))</x:f>
      </x:c>
      <x:c r="AM32" s="9" t="str">
        <x:f>IF($A32="","",MAX(0,$AL32*$M32/100))</x:f>
      </x:c>
      <x:c r="AN32" s="9" t="str">
        <x:f>IF($A32="","",MAX(0,$AL32*$N32/100))</x:f>
      </x:c>
      <x:c r="AO32" s="9" t="str">
        <x:f>IF($A32="","",MAX(0,$AL32*$O32/100))</x:f>
      </x:c>
      <x:c r="AP32" s="9" t="str">
        <x:f>IF($A32="","",MAX(0,$AL32+$AM32+$P32+$W32-$AN32-$AO32-$Q32))</x:f>
      </x:c>
    </x:row>
    <x:row r="33">
      <x:c r="A33" s="13"/>
      <x:c r="B33" s="7"/>
      <x:c r="C33" s="13"/>
      <x:c r="D33" s="14"/>
      <x:c r="E33" s="8"/>
      <x:c r="F33" s="13"/>
      <x:c r="G33" s="7"/>
      <x:c r="H33" s="7"/>
      <x:c r="I33" s="7"/>
      <x:c r="J33" s="13"/>
      <x:c r="K33" s="16"/>
      <x:c r="L33" s="10"/>
      <x:c r="M33" s="10"/>
      <x:c r="N33" s="10"/>
      <x:c r="O33" s="10"/>
      <x:c r="P33" s="9"/>
      <x:c r="Q33" s="9"/>
      <x:c r="R33" s="7"/>
      <x:c r="S33" s="7"/>
      <x:c r="T33" s="7"/>
      <x:c r="U33" s="7"/>
      <x:c r="V33" s="7"/>
      <x:c r="W33" s="9"/>
      <x:c r="X33" s="7"/>
      <x:c r="Y33" s="9"/>
      <x:c r="Z33" s="8"/>
      <x:c r="AA33" s="8"/>
      <x:c r="AB33" s="7"/>
      <x:c r="AC33" s="7"/>
      <x:c r="AD33" s="13"/>
      <x:c r="AE33" s="7"/>
      <x:c r="AF33" s="7"/>
      <x:c r="AG33" s="7"/>
      <x:c r="AH33" s="7"/>
      <x:c r="AI33" s="7"/>
      <x:c r="AJ33" s="9" t="str">
        <x:f>IF($A33="","",SUMIF(Sales_Items!$A$2:$A$501,$A33,Sales_Items!$O$2:$O$501))</x:f>
      </x:c>
      <x:c r="AK33" s="9" t="str">
        <x:f>IF($A33="","",$AJ33*$L33/100)</x:f>
      </x:c>
      <x:c r="AL33" s="9" t="str">
        <x:f>IF($A33="","",MAX(0,$AJ33-$AK33))</x:f>
      </x:c>
      <x:c r="AM33" s="9" t="str">
        <x:f>IF($A33="","",MAX(0,$AL33*$M33/100))</x:f>
      </x:c>
      <x:c r="AN33" s="9" t="str">
        <x:f>IF($A33="","",MAX(0,$AL33*$N33/100))</x:f>
      </x:c>
      <x:c r="AO33" s="9" t="str">
        <x:f>IF($A33="","",MAX(0,$AL33*$O33/100))</x:f>
      </x:c>
      <x:c r="AP33" s="9" t="str">
        <x:f>IF($A33="","",MAX(0,$AL33+$AM33+$P33+$W33-$AN33-$AO33-$Q33))</x:f>
      </x:c>
    </x:row>
    <x:row r="34">
      <x:c r="A34" s="13"/>
      <x:c r="B34" s="7"/>
      <x:c r="C34" s="13"/>
      <x:c r="D34" s="14"/>
      <x:c r="E34" s="8"/>
      <x:c r="F34" s="13"/>
      <x:c r="G34" s="7"/>
      <x:c r="H34" s="7"/>
      <x:c r="I34" s="7"/>
      <x:c r="J34" s="13"/>
      <x:c r="K34" s="16"/>
      <x:c r="L34" s="10"/>
      <x:c r="M34" s="10"/>
      <x:c r="N34" s="10"/>
      <x:c r="O34" s="10"/>
      <x:c r="P34" s="9"/>
      <x:c r="Q34" s="9"/>
      <x:c r="R34" s="7"/>
      <x:c r="S34" s="7"/>
      <x:c r="T34" s="7"/>
      <x:c r="U34" s="7"/>
      <x:c r="V34" s="7"/>
      <x:c r="W34" s="9"/>
      <x:c r="X34" s="7"/>
      <x:c r="Y34" s="9"/>
      <x:c r="Z34" s="8"/>
      <x:c r="AA34" s="8"/>
      <x:c r="AB34" s="7"/>
      <x:c r="AC34" s="7"/>
      <x:c r="AD34" s="13"/>
      <x:c r="AE34" s="7"/>
      <x:c r="AF34" s="7"/>
      <x:c r="AG34" s="7"/>
      <x:c r="AH34" s="7"/>
      <x:c r="AI34" s="7"/>
      <x:c r="AJ34" s="9" t="str">
        <x:f>IF($A34="","",SUMIF(Sales_Items!$A$2:$A$501,$A34,Sales_Items!$O$2:$O$501))</x:f>
      </x:c>
      <x:c r="AK34" s="9" t="str">
        <x:f>IF($A34="","",$AJ34*$L34/100)</x:f>
      </x:c>
      <x:c r="AL34" s="9" t="str">
        <x:f>IF($A34="","",MAX(0,$AJ34-$AK34))</x:f>
      </x:c>
      <x:c r="AM34" s="9" t="str">
        <x:f>IF($A34="","",MAX(0,$AL34*$M34/100))</x:f>
      </x:c>
      <x:c r="AN34" s="9" t="str">
        <x:f>IF($A34="","",MAX(0,$AL34*$N34/100))</x:f>
      </x:c>
      <x:c r="AO34" s="9" t="str">
        <x:f>IF($A34="","",MAX(0,$AL34*$O34/100))</x:f>
      </x:c>
      <x:c r="AP34" s="9" t="str">
        <x:f>IF($A34="","",MAX(0,$AL34+$AM34+$P34+$W34-$AN34-$AO34-$Q34))</x:f>
      </x:c>
    </x:row>
    <x:row r="35">
      <x:c r="A35" s="13"/>
      <x:c r="B35" s="7"/>
      <x:c r="C35" s="13"/>
      <x:c r="D35" s="14"/>
      <x:c r="E35" s="8"/>
      <x:c r="F35" s="13"/>
      <x:c r="G35" s="7"/>
      <x:c r="H35" s="7"/>
      <x:c r="I35" s="7"/>
      <x:c r="J35" s="13"/>
      <x:c r="K35" s="16"/>
      <x:c r="L35" s="10"/>
      <x:c r="M35" s="10"/>
      <x:c r="N35" s="10"/>
      <x:c r="O35" s="10"/>
      <x:c r="P35" s="9"/>
      <x:c r="Q35" s="9"/>
      <x:c r="R35" s="7"/>
      <x:c r="S35" s="7"/>
      <x:c r="T35" s="7"/>
      <x:c r="U35" s="7"/>
      <x:c r="V35" s="7"/>
      <x:c r="W35" s="9"/>
      <x:c r="X35" s="7"/>
      <x:c r="Y35" s="9"/>
      <x:c r="Z35" s="8"/>
      <x:c r="AA35" s="8"/>
      <x:c r="AB35" s="7"/>
      <x:c r="AC35" s="7"/>
      <x:c r="AD35" s="13"/>
      <x:c r="AE35" s="7"/>
      <x:c r="AF35" s="7"/>
      <x:c r="AG35" s="7"/>
      <x:c r="AH35" s="7"/>
      <x:c r="AI35" s="7"/>
      <x:c r="AJ35" s="9" t="str">
        <x:f>IF($A35="","",SUMIF(Sales_Items!$A$2:$A$501,$A35,Sales_Items!$O$2:$O$501))</x:f>
      </x:c>
      <x:c r="AK35" s="9" t="str">
        <x:f>IF($A35="","",$AJ35*$L35/100)</x:f>
      </x:c>
      <x:c r="AL35" s="9" t="str">
        <x:f>IF($A35="","",MAX(0,$AJ35-$AK35))</x:f>
      </x:c>
      <x:c r="AM35" s="9" t="str">
        <x:f>IF($A35="","",MAX(0,$AL35*$M35/100))</x:f>
      </x:c>
      <x:c r="AN35" s="9" t="str">
        <x:f>IF($A35="","",MAX(0,$AL35*$N35/100))</x:f>
      </x:c>
      <x:c r="AO35" s="9" t="str">
        <x:f>IF($A35="","",MAX(0,$AL35*$O35/100))</x:f>
      </x:c>
      <x:c r="AP35" s="9" t="str">
        <x:f>IF($A35="","",MAX(0,$AL35+$AM35+$P35+$W35-$AN35-$AO35-$Q35))</x:f>
      </x:c>
    </x:row>
    <x:row r="36">
      <x:c r="A36" s="13"/>
      <x:c r="B36" s="7"/>
      <x:c r="C36" s="13"/>
      <x:c r="D36" s="14"/>
      <x:c r="E36" s="8"/>
      <x:c r="F36" s="13"/>
      <x:c r="G36" s="7"/>
      <x:c r="H36" s="7"/>
      <x:c r="I36" s="7"/>
      <x:c r="J36" s="13"/>
      <x:c r="K36" s="16"/>
      <x:c r="L36" s="10"/>
      <x:c r="M36" s="10"/>
      <x:c r="N36" s="10"/>
      <x:c r="O36" s="10"/>
      <x:c r="P36" s="9"/>
      <x:c r="Q36" s="9"/>
      <x:c r="R36" s="7"/>
      <x:c r="S36" s="7"/>
      <x:c r="T36" s="7"/>
      <x:c r="U36" s="7"/>
      <x:c r="V36" s="7"/>
      <x:c r="W36" s="9"/>
      <x:c r="X36" s="7"/>
      <x:c r="Y36" s="9"/>
      <x:c r="Z36" s="8"/>
      <x:c r="AA36" s="8"/>
      <x:c r="AB36" s="7"/>
      <x:c r="AC36" s="7"/>
      <x:c r="AD36" s="13"/>
      <x:c r="AE36" s="7"/>
      <x:c r="AF36" s="7"/>
      <x:c r="AG36" s="7"/>
      <x:c r="AH36" s="7"/>
      <x:c r="AI36" s="7"/>
      <x:c r="AJ36" s="9" t="str">
        <x:f>IF($A36="","",SUMIF(Sales_Items!$A$2:$A$501,$A36,Sales_Items!$O$2:$O$501))</x:f>
      </x:c>
      <x:c r="AK36" s="9" t="str">
        <x:f>IF($A36="","",$AJ36*$L36/100)</x:f>
      </x:c>
      <x:c r="AL36" s="9" t="str">
        <x:f>IF($A36="","",MAX(0,$AJ36-$AK36))</x:f>
      </x:c>
      <x:c r="AM36" s="9" t="str">
        <x:f>IF($A36="","",MAX(0,$AL36*$M36/100))</x:f>
      </x:c>
      <x:c r="AN36" s="9" t="str">
        <x:f>IF($A36="","",MAX(0,$AL36*$N36/100))</x:f>
      </x:c>
      <x:c r="AO36" s="9" t="str">
        <x:f>IF($A36="","",MAX(0,$AL36*$O36/100))</x:f>
      </x:c>
      <x:c r="AP36" s="9" t="str">
        <x:f>IF($A36="","",MAX(0,$AL36+$AM36+$P36+$W36-$AN36-$AO36-$Q36))</x:f>
      </x:c>
    </x:row>
    <x:row r="37">
      <x:c r="A37" s="13"/>
      <x:c r="B37" s="7"/>
      <x:c r="C37" s="13"/>
      <x:c r="D37" s="14"/>
      <x:c r="E37" s="8"/>
      <x:c r="F37" s="13"/>
      <x:c r="G37" s="7"/>
      <x:c r="H37" s="7"/>
      <x:c r="I37" s="7"/>
      <x:c r="J37" s="13"/>
      <x:c r="K37" s="16"/>
      <x:c r="L37" s="10"/>
      <x:c r="M37" s="10"/>
      <x:c r="N37" s="10"/>
      <x:c r="O37" s="10"/>
      <x:c r="P37" s="9"/>
      <x:c r="Q37" s="9"/>
      <x:c r="R37" s="7"/>
      <x:c r="S37" s="7"/>
      <x:c r="T37" s="7"/>
      <x:c r="U37" s="7"/>
      <x:c r="V37" s="7"/>
      <x:c r="W37" s="9"/>
      <x:c r="X37" s="7"/>
      <x:c r="Y37" s="9"/>
      <x:c r="Z37" s="8"/>
      <x:c r="AA37" s="8"/>
      <x:c r="AB37" s="7"/>
      <x:c r="AC37" s="7"/>
      <x:c r="AD37" s="13"/>
      <x:c r="AE37" s="7"/>
      <x:c r="AF37" s="7"/>
      <x:c r="AG37" s="7"/>
      <x:c r="AH37" s="7"/>
      <x:c r="AI37" s="7"/>
      <x:c r="AJ37" s="9" t="str">
        <x:f>IF($A37="","",SUMIF(Sales_Items!$A$2:$A$501,$A37,Sales_Items!$O$2:$O$501))</x:f>
      </x:c>
      <x:c r="AK37" s="9" t="str">
        <x:f>IF($A37="","",$AJ37*$L37/100)</x:f>
      </x:c>
      <x:c r="AL37" s="9" t="str">
        <x:f>IF($A37="","",MAX(0,$AJ37-$AK37))</x:f>
      </x:c>
      <x:c r="AM37" s="9" t="str">
        <x:f>IF($A37="","",MAX(0,$AL37*$M37/100))</x:f>
      </x:c>
      <x:c r="AN37" s="9" t="str">
        <x:f>IF($A37="","",MAX(0,$AL37*$N37/100))</x:f>
      </x:c>
      <x:c r="AO37" s="9" t="str">
        <x:f>IF($A37="","",MAX(0,$AL37*$O37/100))</x:f>
      </x:c>
      <x:c r="AP37" s="9" t="str">
        <x:f>IF($A37="","",MAX(0,$AL37+$AM37+$P37+$W37-$AN37-$AO37-$Q37))</x:f>
      </x:c>
    </x:row>
    <x:row r="38">
      <x:c r="A38" s="13"/>
      <x:c r="B38" s="7"/>
      <x:c r="C38" s="13"/>
      <x:c r="D38" s="14"/>
      <x:c r="E38" s="8"/>
      <x:c r="F38" s="13"/>
      <x:c r="G38" s="7"/>
      <x:c r="H38" s="7"/>
      <x:c r="I38" s="7"/>
      <x:c r="J38" s="13"/>
      <x:c r="K38" s="16"/>
      <x:c r="L38" s="10"/>
      <x:c r="M38" s="10"/>
      <x:c r="N38" s="10"/>
      <x:c r="O38" s="10"/>
      <x:c r="P38" s="9"/>
      <x:c r="Q38" s="9"/>
      <x:c r="R38" s="7"/>
      <x:c r="S38" s="7"/>
      <x:c r="T38" s="7"/>
      <x:c r="U38" s="7"/>
      <x:c r="V38" s="7"/>
      <x:c r="W38" s="9"/>
      <x:c r="X38" s="7"/>
      <x:c r="Y38" s="9"/>
      <x:c r="Z38" s="8"/>
      <x:c r="AA38" s="8"/>
      <x:c r="AB38" s="7"/>
      <x:c r="AC38" s="7"/>
      <x:c r="AD38" s="13"/>
      <x:c r="AE38" s="7"/>
      <x:c r="AF38" s="7"/>
      <x:c r="AG38" s="7"/>
      <x:c r="AH38" s="7"/>
      <x:c r="AI38" s="7"/>
      <x:c r="AJ38" s="9" t="str">
        <x:f>IF($A38="","",SUMIF(Sales_Items!$A$2:$A$501,$A38,Sales_Items!$O$2:$O$501))</x:f>
      </x:c>
      <x:c r="AK38" s="9" t="str">
        <x:f>IF($A38="","",$AJ38*$L38/100)</x:f>
      </x:c>
      <x:c r="AL38" s="9" t="str">
        <x:f>IF($A38="","",MAX(0,$AJ38-$AK38))</x:f>
      </x:c>
      <x:c r="AM38" s="9" t="str">
        <x:f>IF($A38="","",MAX(0,$AL38*$M38/100))</x:f>
      </x:c>
      <x:c r="AN38" s="9" t="str">
        <x:f>IF($A38="","",MAX(0,$AL38*$N38/100))</x:f>
      </x:c>
      <x:c r="AO38" s="9" t="str">
        <x:f>IF($A38="","",MAX(0,$AL38*$O38/100))</x:f>
      </x:c>
      <x:c r="AP38" s="9" t="str">
        <x:f>IF($A38="","",MAX(0,$AL38+$AM38+$P38+$W38-$AN38-$AO38-$Q38))</x:f>
      </x:c>
    </x:row>
    <x:row r="39">
      <x:c r="A39" s="13"/>
      <x:c r="B39" s="7"/>
      <x:c r="C39" s="13"/>
      <x:c r="D39" s="14"/>
      <x:c r="E39" s="8"/>
      <x:c r="F39" s="13"/>
      <x:c r="G39" s="7"/>
      <x:c r="H39" s="7"/>
      <x:c r="I39" s="7"/>
      <x:c r="J39" s="13"/>
      <x:c r="K39" s="16"/>
      <x:c r="L39" s="10"/>
      <x:c r="M39" s="10"/>
      <x:c r="N39" s="10"/>
      <x:c r="O39" s="10"/>
      <x:c r="P39" s="9"/>
      <x:c r="Q39" s="9"/>
      <x:c r="R39" s="7"/>
      <x:c r="S39" s="7"/>
      <x:c r="T39" s="7"/>
      <x:c r="U39" s="7"/>
      <x:c r="V39" s="7"/>
      <x:c r="W39" s="9"/>
      <x:c r="X39" s="7"/>
      <x:c r="Y39" s="9"/>
      <x:c r="Z39" s="8"/>
      <x:c r="AA39" s="8"/>
      <x:c r="AB39" s="7"/>
      <x:c r="AC39" s="7"/>
      <x:c r="AD39" s="13"/>
      <x:c r="AE39" s="7"/>
      <x:c r="AF39" s="7"/>
      <x:c r="AG39" s="7"/>
      <x:c r="AH39" s="7"/>
      <x:c r="AI39" s="7"/>
      <x:c r="AJ39" s="9" t="str">
        <x:f>IF($A39="","",SUMIF(Sales_Items!$A$2:$A$501,$A39,Sales_Items!$O$2:$O$501))</x:f>
      </x:c>
      <x:c r="AK39" s="9" t="str">
        <x:f>IF($A39="","",$AJ39*$L39/100)</x:f>
      </x:c>
      <x:c r="AL39" s="9" t="str">
        <x:f>IF($A39="","",MAX(0,$AJ39-$AK39))</x:f>
      </x:c>
      <x:c r="AM39" s="9" t="str">
        <x:f>IF($A39="","",MAX(0,$AL39*$M39/100))</x:f>
      </x:c>
      <x:c r="AN39" s="9" t="str">
        <x:f>IF($A39="","",MAX(0,$AL39*$N39/100))</x:f>
      </x:c>
      <x:c r="AO39" s="9" t="str">
        <x:f>IF($A39="","",MAX(0,$AL39*$O39/100))</x:f>
      </x:c>
      <x:c r="AP39" s="9" t="str">
        <x:f>IF($A39="","",MAX(0,$AL39+$AM39+$P39+$W39-$AN39-$AO39-$Q39))</x:f>
      </x:c>
    </x:row>
    <x:row r="40">
      <x:c r="A40" s="13"/>
      <x:c r="B40" s="7"/>
      <x:c r="C40" s="13"/>
      <x:c r="D40" s="14"/>
      <x:c r="E40" s="8"/>
      <x:c r="F40" s="13"/>
      <x:c r="G40" s="7"/>
      <x:c r="H40" s="7"/>
      <x:c r="I40" s="7"/>
      <x:c r="J40" s="13"/>
      <x:c r="K40" s="16"/>
      <x:c r="L40" s="10"/>
      <x:c r="M40" s="10"/>
      <x:c r="N40" s="10"/>
      <x:c r="O40" s="10"/>
      <x:c r="P40" s="9"/>
      <x:c r="Q40" s="9"/>
      <x:c r="R40" s="7"/>
      <x:c r="S40" s="7"/>
      <x:c r="T40" s="7"/>
      <x:c r="U40" s="7"/>
      <x:c r="V40" s="7"/>
      <x:c r="W40" s="9"/>
      <x:c r="X40" s="7"/>
      <x:c r="Y40" s="9"/>
      <x:c r="Z40" s="8"/>
      <x:c r="AA40" s="8"/>
      <x:c r="AB40" s="7"/>
      <x:c r="AC40" s="7"/>
      <x:c r="AD40" s="13"/>
      <x:c r="AE40" s="7"/>
      <x:c r="AF40" s="7"/>
      <x:c r="AG40" s="7"/>
      <x:c r="AH40" s="7"/>
      <x:c r="AI40" s="7"/>
      <x:c r="AJ40" s="9" t="str">
        <x:f>IF($A40="","",SUMIF(Sales_Items!$A$2:$A$501,$A40,Sales_Items!$O$2:$O$501))</x:f>
      </x:c>
      <x:c r="AK40" s="9" t="str">
        <x:f>IF($A40="","",$AJ40*$L40/100)</x:f>
      </x:c>
      <x:c r="AL40" s="9" t="str">
        <x:f>IF($A40="","",MAX(0,$AJ40-$AK40))</x:f>
      </x:c>
      <x:c r="AM40" s="9" t="str">
        <x:f>IF($A40="","",MAX(0,$AL40*$M40/100))</x:f>
      </x:c>
      <x:c r="AN40" s="9" t="str">
        <x:f>IF($A40="","",MAX(0,$AL40*$N40/100))</x:f>
      </x:c>
      <x:c r="AO40" s="9" t="str">
        <x:f>IF($A40="","",MAX(0,$AL40*$O40/100))</x:f>
      </x:c>
      <x:c r="AP40" s="9" t="str">
        <x:f>IF($A40="","",MAX(0,$AL40+$AM40+$P40+$W40-$AN40-$AO40-$Q40))</x:f>
      </x:c>
    </x:row>
    <x:row r="41">
      <x:c r="A41" s="13"/>
      <x:c r="B41" s="7"/>
      <x:c r="C41" s="13"/>
      <x:c r="D41" s="14"/>
      <x:c r="E41" s="8"/>
      <x:c r="F41" s="13"/>
      <x:c r="G41" s="7"/>
      <x:c r="H41" s="7"/>
      <x:c r="I41" s="7"/>
      <x:c r="J41" s="13"/>
      <x:c r="K41" s="16"/>
      <x:c r="L41" s="10"/>
      <x:c r="M41" s="10"/>
      <x:c r="N41" s="10"/>
      <x:c r="O41" s="10"/>
      <x:c r="P41" s="9"/>
      <x:c r="Q41" s="9"/>
      <x:c r="R41" s="7"/>
      <x:c r="S41" s="7"/>
      <x:c r="T41" s="7"/>
      <x:c r="U41" s="7"/>
      <x:c r="V41" s="7"/>
      <x:c r="W41" s="9"/>
      <x:c r="X41" s="7"/>
      <x:c r="Y41" s="9"/>
      <x:c r="Z41" s="8"/>
      <x:c r="AA41" s="8"/>
      <x:c r="AB41" s="7"/>
      <x:c r="AC41" s="7"/>
      <x:c r="AD41" s="13"/>
      <x:c r="AE41" s="7"/>
      <x:c r="AF41" s="7"/>
      <x:c r="AG41" s="7"/>
      <x:c r="AH41" s="7"/>
      <x:c r="AI41" s="7"/>
      <x:c r="AJ41" s="9" t="str">
        <x:f>IF($A41="","",SUMIF(Sales_Items!$A$2:$A$501,$A41,Sales_Items!$O$2:$O$501))</x:f>
      </x:c>
      <x:c r="AK41" s="9" t="str">
        <x:f>IF($A41="","",$AJ41*$L41/100)</x:f>
      </x:c>
      <x:c r="AL41" s="9" t="str">
        <x:f>IF($A41="","",MAX(0,$AJ41-$AK41))</x:f>
      </x:c>
      <x:c r="AM41" s="9" t="str">
        <x:f>IF($A41="","",MAX(0,$AL41*$M41/100))</x:f>
      </x:c>
      <x:c r="AN41" s="9" t="str">
        <x:f>IF($A41="","",MAX(0,$AL41*$N41/100))</x:f>
      </x:c>
      <x:c r="AO41" s="9" t="str">
        <x:f>IF($A41="","",MAX(0,$AL41*$O41/100))</x:f>
      </x:c>
      <x:c r="AP41" s="9" t="str">
        <x:f>IF($A41="","",MAX(0,$AL41+$AM41+$P41+$W41-$AN41-$AO41-$Q41))</x:f>
      </x:c>
    </x:row>
    <x:row r="42">
      <x:c r="A42" s="13"/>
      <x:c r="B42" s="7"/>
      <x:c r="C42" s="13"/>
      <x:c r="D42" s="14"/>
      <x:c r="E42" s="8"/>
      <x:c r="F42" s="13"/>
      <x:c r="G42" s="7"/>
      <x:c r="H42" s="7"/>
      <x:c r="I42" s="7"/>
      <x:c r="J42" s="13"/>
      <x:c r="K42" s="16"/>
      <x:c r="L42" s="10"/>
      <x:c r="M42" s="10"/>
      <x:c r="N42" s="10"/>
      <x:c r="O42" s="10"/>
      <x:c r="P42" s="9"/>
      <x:c r="Q42" s="9"/>
      <x:c r="R42" s="7"/>
      <x:c r="S42" s="7"/>
      <x:c r="T42" s="7"/>
      <x:c r="U42" s="7"/>
      <x:c r="V42" s="7"/>
      <x:c r="W42" s="9"/>
      <x:c r="X42" s="7"/>
      <x:c r="Y42" s="9"/>
      <x:c r="Z42" s="8"/>
      <x:c r="AA42" s="8"/>
      <x:c r="AB42" s="7"/>
      <x:c r="AC42" s="7"/>
      <x:c r="AD42" s="13"/>
      <x:c r="AE42" s="7"/>
      <x:c r="AF42" s="7"/>
      <x:c r="AG42" s="7"/>
      <x:c r="AH42" s="7"/>
      <x:c r="AI42" s="7"/>
      <x:c r="AJ42" s="9" t="str">
        <x:f>IF($A42="","",SUMIF(Sales_Items!$A$2:$A$501,$A42,Sales_Items!$O$2:$O$501))</x:f>
      </x:c>
      <x:c r="AK42" s="9" t="str">
        <x:f>IF($A42="","",$AJ42*$L42/100)</x:f>
      </x:c>
      <x:c r="AL42" s="9" t="str">
        <x:f>IF($A42="","",MAX(0,$AJ42-$AK42))</x:f>
      </x:c>
      <x:c r="AM42" s="9" t="str">
        <x:f>IF($A42="","",MAX(0,$AL42*$M42/100))</x:f>
      </x:c>
      <x:c r="AN42" s="9" t="str">
        <x:f>IF($A42="","",MAX(0,$AL42*$N42/100))</x:f>
      </x:c>
      <x:c r="AO42" s="9" t="str">
        <x:f>IF($A42="","",MAX(0,$AL42*$O42/100))</x:f>
      </x:c>
      <x:c r="AP42" s="9" t="str">
        <x:f>IF($A42="","",MAX(0,$AL42+$AM42+$P42+$W42-$AN42-$AO42-$Q42))</x:f>
      </x:c>
    </x:row>
    <x:row r="43">
      <x:c r="A43" s="13"/>
      <x:c r="B43" s="7"/>
      <x:c r="C43" s="13"/>
      <x:c r="D43" s="14"/>
      <x:c r="E43" s="8"/>
      <x:c r="F43" s="13"/>
      <x:c r="G43" s="7"/>
      <x:c r="H43" s="7"/>
      <x:c r="I43" s="7"/>
      <x:c r="J43" s="13"/>
      <x:c r="K43" s="16"/>
      <x:c r="L43" s="10"/>
      <x:c r="M43" s="10"/>
      <x:c r="N43" s="10"/>
      <x:c r="O43" s="10"/>
      <x:c r="P43" s="9"/>
      <x:c r="Q43" s="9"/>
      <x:c r="R43" s="7"/>
      <x:c r="S43" s="7"/>
      <x:c r="T43" s="7"/>
      <x:c r="U43" s="7"/>
      <x:c r="V43" s="7"/>
      <x:c r="W43" s="9"/>
      <x:c r="X43" s="7"/>
      <x:c r="Y43" s="9"/>
      <x:c r="Z43" s="8"/>
      <x:c r="AA43" s="8"/>
      <x:c r="AB43" s="7"/>
      <x:c r="AC43" s="7"/>
      <x:c r="AD43" s="13"/>
      <x:c r="AE43" s="7"/>
      <x:c r="AF43" s="7"/>
      <x:c r="AG43" s="7"/>
      <x:c r="AH43" s="7"/>
      <x:c r="AI43" s="7"/>
      <x:c r="AJ43" s="9" t="str">
        <x:f>IF($A43="","",SUMIF(Sales_Items!$A$2:$A$501,$A43,Sales_Items!$O$2:$O$501))</x:f>
      </x:c>
      <x:c r="AK43" s="9" t="str">
        <x:f>IF($A43="","",$AJ43*$L43/100)</x:f>
      </x:c>
      <x:c r="AL43" s="9" t="str">
        <x:f>IF($A43="","",MAX(0,$AJ43-$AK43))</x:f>
      </x:c>
      <x:c r="AM43" s="9" t="str">
        <x:f>IF($A43="","",MAX(0,$AL43*$M43/100))</x:f>
      </x:c>
      <x:c r="AN43" s="9" t="str">
        <x:f>IF($A43="","",MAX(0,$AL43*$N43/100))</x:f>
      </x:c>
      <x:c r="AO43" s="9" t="str">
        <x:f>IF($A43="","",MAX(0,$AL43*$O43/100))</x:f>
      </x:c>
      <x:c r="AP43" s="9" t="str">
        <x:f>IF($A43="","",MAX(0,$AL43+$AM43+$P43+$W43-$AN43-$AO43-$Q43))</x:f>
      </x:c>
    </x:row>
    <x:row r="44">
      <x:c r="A44" s="13"/>
      <x:c r="B44" s="7"/>
      <x:c r="C44" s="13"/>
      <x:c r="D44" s="14"/>
      <x:c r="E44" s="8"/>
      <x:c r="F44" s="13"/>
      <x:c r="G44" s="7"/>
      <x:c r="H44" s="7"/>
      <x:c r="I44" s="7"/>
      <x:c r="J44" s="13"/>
      <x:c r="K44" s="16"/>
      <x:c r="L44" s="10"/>
      <x:c r="M44" s="10"/>
      <x:c r="N44" s="10"/>
      <x:c r="O44" s="10"/>
      <x:c r="P44" s="9"/>
      <x:c r="Q44" s="9"/>
      <x:c r="R44" s="7"/>
      <x:c r="S44" s="7"/>
      <x:c r="T44" s="7"/>
      <x:c r="U44" s="7"/>
      <x:c r="V44" s="7"/>
      <x:c r="W44" s="9"/>
      <x:c r="X44" s="7"/>
      <x:c r="Y44" s="9"/>
      <x:c r="Z44" s="8"/>
      <x:c r="AA44" s="8"/>
      <x:c r="AB44" s="7"/>
      <x:c r="AC44" s="7"/>
      <x:c r="AD44" s="13"/>
      <x:c r="AE44" s="7"/>
      <x:c r="AF44" s="7"/>
      <x:c r="AG44" s="7"/>
      <x:c r="AH44" s="7"/>
      <x:c r="AI44" s="7"/>
      <x:c r="AJ44" s="9" t="str">
        <x:f>IF($A44="","",SUMIF(Sales_Items!$A$2:$A$501,$A44,Sales_Items!$O$2:$O$501))</x:f>
      </x:c>
      <x:c r="AK44" s="9" t="str">
        <x:f>IF($A44="","",$AJ44*$L44/100)</x:f>
      </x:c>
      <x:c r="AL44" s="9" t="str">
        <x:f>IF($A44="","",MAX(0,$AJ44-$AK44))</x:f>
      </x:c>
      <x:c r="AM44" s="9" t="str">
        <x:f>IF($A44="","",MAX(0,$AL44*$M44/100))</x:f>
      </x:c>
      <x:c r="AN44" s="9" t="str">
        <x:f>IF($A44="","",MAX(0,$AL44*$N44/100))</x:f>
      </x:c>
      <x:c r="AO44" s="9" t="str">
        <x:f>IF($A44="","",MAX(0,$AL44*$O44/100))</x:f>
      </x:c>
      <x:c r="AP44" s="9" t="str">
        <x:f>IF($A44="","",MAX(0,$AL44+$AM44+$P44+$W44-$AN44-$AO44-$Q44))</x:f>
      </x:c>
    </x:row>
    <x:row r="45">
      <x:c r="A45" s="13"/>
      <x:c r="B45" s="7"/>
      <x:c r="C45" s="13"/>
      <x:c r="D45" s="14"/>
      <x:c r="E45" s="8"/>
      <x:c r="F45" s="13"/>
      <x:c r="G45" s="7"/>
      <x:c r="H45" s="7"/>
      <x:c r="I45" s="7"/>
      <x:c r="J45" s="13"/>
      <x:c r="K45" s="16"/>
      <x:c r="L45" s="10"/>
      <x:c r="M45" s="10"/>
      <x:c r="N45" s="10"/>
      <x:c r="O45" s="10"/>
      <x:c r="P45" s="9"/>
      <x:c r="Q45" s="9"/>
      <x:c r="R45" s="7"/>
      <x:c r="S45" s="7"/>
      <x:c r="T45" s="7"/>
      <x:c r="U45" s="7"/>
      <x:c r="V45" s="7"/>
      <x:c r="W45" s="9"/>
      <x:c r="X45" s="7"/>
      <x:c r="Y45" s="9"/>
      <x:c r="Z45" s="8"/>
      <x:c r="AA45" s="8"/>
      <x:c r="AB45" s="7"/>
      <x:c r="AC45" s="7"/>
      <x:c r="AD45" s="13"/>
      <x:c r="AE45" s="7"/>
      <x:c r="AF45" s="7"/>
      <x:c r="AG45" s="7"/>
      <x:c r="AH45" s="7"/>
      <x:c r="AI45" s="7"/>
      <x:c r="AJ45" s="9" t="str">
        <x:f>IF($A45="","",SUMIF(Sales_Items!$A$2:$A$501,$A45,Sales_Items!$O$2:$O$501))</x:f>
      </x:c>
      <x:c r="AK45" s="9" t="str">
        <x:f>IF($A45="","",$AJ45*$L45/100)</x:f>
      </x:c>
      <x:c r="AL45" s="9" t="str">
        <x:f>IF($A45="","",MAX(0,$AJ45-$AK45))</x:f>
      </x:c>
      <x:c r="AM45" s="9" t="str">
        <x:f>IF($A45="","",MAX(0,$AL45*$M45/100))</x:f>
      </x:c>
      <x:c r="AN45" s="9" t="str">
        <x:f>IF($A45="","",MAX(0,$AL45*$N45/100))</x:f>
      </x:c>
      <x:c r="AO45" s="9" t="str">
        <x:f>IF($A45="","",MAX(0,$AL45*$O45/100))</x:f>
      </x:c>
      <x:c r="AP45" s="9" t="str">
        <x:f>IF($A45="","",MAX(0,$AL45+$AM45+$P45+$W45-$AN45-$AO45-$Q45))</x:f>
      </x:c>
    </x:row>
    <x:row r="46">
      <x:c r="A46" s="13"/>
      <x:c r="B46" s="7"/>
      <x:c r="C46" s="13"/>
      <x:c r="D46" s="14"/>
      <x:c r="E46" s="8"/>
      <x:c r="F46" s="13"/>
      <x:c r="G46" s="7"/>
      <x:c r="H46" s="7"/>
      <x:c r="I46" s="7"/>
      <x:c r="J46" s="13"/>
      <x:c r="K46" s="16"/>
      <x:c r="L46" s="10"/>
      <x:c r="M46" s="10"/>
      <x:c r="N46" s="10"/>
      <x:c r="O46" s="10"/>
      <x:c r="P46" s="9"/>
      <x:c r="Q46" s="9"/>
      <x:c r="R46" s="7"/>
      <x:c r="S46" s="7"/>
      <x:c r="T46" s="7"/>
      <x:c r="U46" s="7"/>
      <x:c r="V46" s="7"/>
      <x:c r="W46" s="9"/>
      <x:c r="X46" s="7"/>
      <x:c r="Y46" s="9"/>
      <x:c r="Z46" s="8"/>
      <x:c r="AA46" s="8"/>
      <x:c r="AB46" s="7"/>
      <x:c r="AC46" s="7"/>
      <x:c r="AD46" s="13"/>
      <x:c r="AE46" s="7"/>
      <x:c r="AF46" s="7"/>
      <x:c r="AG46" s="7"/>
      <x:c r="AH46" s="7"/>
      <x:c r="AI46" s="7"/>
      <x:c r="AJ46" s="9" t="str">
        <x:f>IF($A46="","",SUMIF(Sales_Items!$A$2:$A$501,$A46,Sales_Items!$O$2:$O$501))</x:f>
      </x:c>
      <x:c r="AK46" s="9" t="str">
        <x:f>IF($A46="","",$AJ46*$L46/100)</x:f>
      </x:c>
      <x:c r="AL46" s="9" t="str">
        <x:f>IF($A46="","",MAX(0,$AJ46-$AK46))</x:f>
      </x:c>
      <x:c r="AM46" s="9" t="str">
        <x:f>IF($A46="","",MAX(0,$AL46*$M46/100))</x:f>
      </x:c>
      <x:c r="AN46" s="9" t="str">
        <x:f>IF($A46="","",MAX(0,$AL46*$N46/100))</x:f>
      </x:c>
      <x:c r="AO46" s="9" t="str">
        <x:f>IF($A46="","",MAX(0,$AL46*$O46/100))</x:f>
      </x:c>
      <x:c r="AP46" s="9" t="str">
        <x:f>IF($A46="","",MAX(0,$AL46+$AM46+$P46+$W46-$AN46-$AO46-$Q46))</x:f>
      </x:c>
    </x:row>
    <x:row r="47">
      <x:c r="A47" s="13"/>
      <x:c r="B47" s="7"/>
      <x:c r="C47" s="13"/>
      <x:c r="D47" s="14"/>
      <x:c r="E47" s="8"/>
      <x:c r="F47" s="13"/>
      <x:c r="G47" s="7"/>
      <x:c r="H47" s="7"/>
      <x:c r="I47" s="7"/>
      <x:c r="J47" s="13"/>
      <x:c r="K47" s="16"/>
      <x:c r="L47" s="10"/>
      <x:c r="M47" s="10"/>
      <x:c r="N47" s="10"/>
      <x:c r="O47" s="10"/>
      <x:c r="P47" s="9"/>
      <x:c r="Q47" s="9"/>
      <x:c r="R47" s="7"/>
      <x:c r="S47" s="7"/>
      <x:c r="T47" s="7"/>
      <x:c r="U47" s="7"/>
      <x:c r="V47" s="7"/>
      <x:c r="W47" s="9"/>
      <x:c r="X47" s="7"/>
      <x:c r="Y47" s="9"/>
      <x:c r="Z47" s="8"/>
      <x:c r="AA47" s="8"/>
      <x:c r="AB47" s="7"/>
      <x:c r="AC47" s="7"/>
      <x:c r="AD47" s="13"/>
      <x:c r="AE47" s="7"/>
      <x:c r="AF47" s="7"/>
      <x:c r="AG47" s="7"/>
      <x:c r="AH47" s="7"/>
      <x:c r="AI47" s="7"/>
      <x:c r="AJ47" s="9" t="str">
        <x:f>IF($A47="","",SUMIF(Sales_Items!$A$2:$A$501,$A47,Sales_Items!$O$2:$O$501))</x:f>
      </x:c>
      <x:c r="AK47" s="9" t="str">
        <x:f>IF($A47="","",$AJ47*$L47/100)</x:f>
      </x:c>
      <x:c r="AL47" s="9" t="str">
        <x:f>IF($A47="","",MAX(0,$AJ47-$AK47))</x:f>
      </x:c>
      <x:c r="AM47" s="9" t="str">
        <x:f>IF($A47="","",MAX(0,$AL47*$M47/100))</x:f>
      </x:c>
      <x:c r="AN47" s="9" t="str">
        <x:f>IF($A47="","",MAX(0,$AL47*$N47/100))</x:f>
      </x:c>
      <x:c r="AO47" s="9" t="str">
        <x:f>IF($A47="","",MAX(0,$AL47*$O47/100))</x:f>
      </x:c>
      <x:c r="AP47" s="9" t="str">
        <x:f>IF($A47="","",MAX(0,$AL47+$AM47+$P47+$W47-$AN47-$AO47-$Q47))</x:f>
      </x:c>
    </x:row>
    <x:row r="48">
      <x:c r="A48" s="13"/>
      <x:c r="B48" s="7"/>
      <x:c r="C48" s="13"/>
      <x:c r="D48" s="14"/>
      <x:c r="E48" s="8"/>
      <x:c r="F48" s="13"/>
      <x:c r="G48" s="7"/>
      <x:c r="H48" s="7"/>
      <x:c r="I48" s="7"/>
      <x:c r="J48" s="13"/>
      <x:c r="K48" s="16"/>
      <x:c r="L48" s="10"/>
      <x:c r="M48" s="10"/>
      <x:c r="N48" s="10"/>
      <x:c r="O48" s="10"/>
      <x:c r="P48" s="9"/>
      <x:c r="Q48" s="9"/>
      <x:c r="R48" s="7"/>
      <x:c r="S48" s="7"/>
      <x:c r="T48" s="7"/>
      <x:c r="U48" s="7"/>
      <x:c r="V48" s="7"/>
      <x:c r="W48" s="9"/>
      <x:c r="X48" s="7"/>
      <x:c r="Y48" s="9"/>
      <x:c r="Z48" s="8"/>
      <x:c r="AA48" s="8"/>
      <x:c r="AB48" s="7"/>
      <x:c r="AC48" s="7"/>
      <x:c r="AD48" s="13"/>
      <x:c r="AE48" s="7"/>
      <x:c r="AF48" s="7"/>
      <x:c r="AG48" s="7"/>
      <x:c r="AH48" s="7"/>
      <x:c r="AI48" s="7"/>
      <x:c r="AJ48" s="9" t="str">
        <x:f>IF($A48="","",SUMIF(Sales_Items!$A$2:$A$501,$A48,Sales_Items!$O$2:$O$501))</x:f>
      </x:c>
      <x:c r="AK48" s="9" t="str">
        <x:f>IF($A48="","",$AJ48*$L48/100)</x:f>
      </x:c>
      <x:c r="AL48" s="9" t="str">
        <x:f>IF($A48="","",MAX(0,$AJ48-$AK48))</x:f>
      </x:c>
      <x:c r="AM48" s="9" t="str">
        <x:f>IF($A48="","",MAX(0,$AL48*$M48/100))</x:f>
      </x:c>
      <x:c r="AN48" s="9" t="str">
        <x:f>IF($A48="","",MAX(0,$AL48*$N48/100))</x:f>
      </x:c>
      <x:c r="AO48" s="9" t="str">
        <x:f>IF($A48="","",MAX(0,$AL48*$O48/100))</x:f>
      </x:c>
      <x:c r="AP48" s="9" t="str">
        <x:f>IF($A48="","",MAX(0,$AL48+$AM48+$P48+$W48-$AN48-$AO48-$Q48))</x:f>
      </x:c>
    </x:row>
    <x:row r="49">
      <x:c r="A49" s="13"/>
      <x:c r="B49" s="7"/>
      <x:c r="C49" s="13"/>
      <x:c r="D49" s="14"/>
      <x:c r="E49" s="8"/>
      <x:c r="F49" s="13"/>
      <x:c r="G49" s="7"/>
      <x:c r="H49" s="7"/>
      <x:c r="I49" s="7"/>
      <x:c r="J49" s="13"/>
      <x:c r="K49" s="16"/>
      <x:c r="L49" s="10"/>
      <x:c r="M49" s="10"/>
      <x:c r="N49" s="10"/>
      <x:c r="O49" s="10"/>
      <x:c r="P49" s="9"/>
      <x:c r="Q49" s="9"/>
      <x:c r="R49" s="7"/>
      <x:c r="S49" s="7"/>
      <x:c r="T49" s="7"/>
      <x:c r="U49" s="7"/>
      <x:c r="V49" s="7"/>
      <x:c r="W49" s="9"/>
      <x:c r="X49" s="7"/>
      <x:c r="Y49" s="9"/>
      <x:c r="Z49" s="8"/>
      <x:c r="AA49" s="8"/>
      <x:c r="AB49" s="7"/>
      <x:c r="AC49" s="7"/>
      <x:c r="AD49" s="13"/>
      <x:c r="AE49" s="7"/>
      <x:c r="AF49" s="7"/>
      <x:c r="AG49" s="7"/>
      <x:c r="AH49" s="7"/>
      <x:c r="AI49" s="7"/>
      <x:c r="AJ49" s="9" t="str">
        <x:f>IF($A49="","",SUMIF(Sales_Items!$A$2:$A$501,$A49,Sales_Items!$O$2:$O$501))</x:f>
      </x:c>
      <x:c r="AK49" s="9" t="str">
        <x:f>IF($A49="","",$AJ49*$L49/100)</x:f>
      </x:c>
      <x:c r="AL49" s="9" t="str">
        <x:f>IF($A49="","",MAX(0,$AJ49-$AK49))</x:f>
      </x:c>
      <x:c r="AM49" s="9" t="str">
        <x:f>IF($A49="","",MAX(0,$AL49*$M49/100))</x:f>
      </x:c>
      <x:c r="AN49" s="9" t="str">
        <x:f>IF($A49="","",MAX(0,$AL49*$N49/100))</x:f>
      </x:c>
      <x:c r="AO49" s="9" t="str">
        <x:f>IF($A49="","",MAX(0,$AL49*$O49/100))</x:f>
      </x:c>
      <x:c r="AP49" s="9" t="str">
        <x:f>IF($A49="","",MAX(0,$AL49+$AM49+$P49+$W49-$AN49-$AO49-$Q49))</x:f>
      </x:c>
    </x:row>
    <x:row r="50">
      <x:c r="A50" s="13"/>
      <x:c r="B50" s="7"/>
      <x:c r="C50" s="13"/>
      <x:c r="D50" s="14"/>
      <x:c r="E50" s="8"/>
      <x:c r="F50" s="13"/>
      <x:c r="G50" s="7"/>
      <x:c r="H50" s="7"/>
      <x:c r="I50" s="7"/>
      <x:c r="J50" s="13"/>
      <x:c r="K50" s="16"/>
      <x:c r="L50" s="10"/>
      <x:c r="M50" s="10"/>
      <x:c r="N50" s="10"/>
      <x:c r="O50" s="10"/>
      <x:c r="P50" s="9"/>
      <x:c r="Q50" s="9"/>
      <x:c r="R50" s="7"/>
      <x:c r="S50" s="7"/>
      <x:c r="T50" s="7"/>
      <x:c r="U50" s="7"/>
      <x:c r="V50" s="7"/>
      <x:c r="W50" s="9"/>
      <x:c r="X50" s="7"/>
      <x:c r="Y50" s="9"/>
      <x:c r="Z50" s="8"/>
      <x:c r="AA50" s="8"/>
      <x:c r="AB50" s="7"/>
      <x:c r="AC50" s="7"/>
      <x:c r="AD50" s="13"/>
      <x:c r="AE50" s="7"/>
      <x:c r="AF50" s="7"/>
      <x:c r="AG50" s="7"/>
      <x:c r="AH50" s="7"/>
      <x:c r="AI50" s="7"/>
      <x:c r="AJ50" s="9" t="str">
        <x:f>IF($A50="","",SUMIF(Sales_Items!$A$2:$A$501,$A50,Sales_Items!$O$2:$O$501))</x:f>
      </x:c>
      <x:c r="AK50" s="9" t="str">
        <x:f>IF($A50="","",$AJ50*$L50/100)</x:f>
      </x:c>
      <x:c r="AL50" s="9" t="str">
        <x:f>IF($A50="","",MAX(0,$AJ50-$AK50))</x:f>
      </x:c>
      <x:c r="AM50" s="9" t="str">
        <x:f>IF($A50="","",MAX(0,$AL50*$M50/100))</x:f>
      </x:c>
      <x:c r="AN50" s="9" t="str">
        <x:f>IF($A50="","",MAX(0,$AL50*$N50/100))</x:f>
      </x:c>
      <x:c r="AO50" s="9" t="str">
        <x:f>IF($A50="","",MAX(0,$AL50*$O50/100))</x:f>
      </x:c>
      <x:c r="AP50" s="9" t="str">
        <x:f>IF($A50="","",MAX(0,$AL50+$AM50+$P50+$W50-$AN50-$AO50-$Q50))</x:f>
      </x:c>
    </x:row>
    <x:row r="51">
      <x:c r="A51" s="13"/>
      <x:c r="B51" s="7"/>
      <x:c r="C51" s="13"/>
      <x:c r="D51" s="14"/>
      <x:c r="E51" s="8"/>
      <x:c r="F51" s="13"/>
      <x:c r="G51" s="7"/>
      <x:c r="H51" s="7"/>
      <x:c r="I51" s="7"/>
      <x:c r="J51" s="13"/>
      <x:c r="K51" s="16"/>
      <x:c r="L51" s="10"/>
      <x:c r="M51" s="10"/>
      <x:c r="N51" s="10"/>
      <x:c r="O51" s="10"/>
      <x:c r="P51" s="9"/>
      <x:c r="Q51" s="9"/>
      <x:c r="R51" s="7"/>
      <x:c r="S51" s="7"/>
      <x:c r="T51" s="7"/>
      <x:c r="U51" s="7"/>
      <x:c r="V51" s="7"/>
      <x:c r="W51" s="9"/>
      <x:c r="X51" s="7"/>
      <x:c r="Y51" s="9"/>
      <x:c r="Z51" s="8"/>
      <x:c r="AA51" s="8"/>
      <x:c r="AB51" s="7"/>
      <x:c r="AC51" s="7"/>
      <x:c r="AD51" s="13"/>
      <x:c r="AE51" s="7"/>
      <x:c r="AF51" s="7"/>
      <x:c r="AG51" s="7"/>
      <x:c r="AH51" s="7"/>
      <x:c r="AI51" s="7"/>
      <x:c r="AJ51" s="9" t="str">
        <x:f>IF($A51="","",SUMIF(Sales_Items!$A$2:$A$501,$A51,Sales_Items!$O$2:$O$501))</x:f>
      </x:c>
      <x:c r="AK51" s="9" t="str">
        <x:f>IF($A51="","",$AJ51*$L51/100)</x:f>
      </x:c>
      <x:c r="AL51" s="9" t="str">
        <x:f>IF($A51="","",MAX(0,$AJ51-$AK51))</x:f>
      </x:c>
      <x:c r="AM51" s="9" t="str">
        <x:f>IF($A51="","",MAX(0,$AL51*$M51/100))</x:f>
      </x:c>
      <x:c r="AN51" s="9" t="str">
        <x:f>IF($A51="","",MAX(0,$AL51*$N51/100))</x:f>
      </x:c>
      <x:c r="AO51" s="9" t="str">
        <x:f>IF($A51="","",MAX(0,$AL51*$O51/100))</x:f>
      </x:c>
      <x:c r="AP51" s="9" t="str">
        <x:f>IF($A51="","",MAX(0,$AL51+$AM51+$P51+$W51-$AN51-$AO51-$Q51))</x:f>
      </x:c>
    </x:row>
    <x:row r="52">
      <x:c r="A52" s="13"/>
      <x:c r="B52" s="7"/>
      <x:c r="C52" s="13"/>
      <x:c r="D52" s="14"/>
      <x:c r="E52" s="8"/>
      <x:c r="F52" s="13"/>
      <x:c r="G52" s="7"/>
      <x:c r="H52" s="7"/>
      <x:c r="I52" s="7"/>
      <x:c r="J52" s="13"/>
      <x:c r="K52" s="16"/>
      <x:c r="L52" s="10"/>
      <x:c r="M52" s="10"/>
      <x:c r="N52" s="10"/>
      <x:c r="O52" s="10"/>
      <x:c r="P52" s="9"/>
      <x:c r="Q52" s="9"/>
      <x:c r="R52" s="7"/>
      <x:c r="S52" s="7"/>
      <x:c r="T52" s="7"/>
      <x:c r="U52" s="7"/>
      <x:c r="V52" s="7"/>
      <x:c r="W52" s="9"/>
      <x:c r="X52" s="7"/>
      <x:c r="Y52" s="9"/>
      <x:c r="Z52" s="8"/>
      <x:c r="AA52" s="8"/>
      <x:c r="AB52" s="7"/>
      <x:c r="AC52" s="7"/>
      <x:c r="AD52" s="13"/>
      <x:c r="AE52" s="7"/>
      <x:c r="AF52" s="7"/>
      <x:c r="AG52" s="7"/>
      <x:c r="AH52" s="7"/>
      <x:c r="AI52" s="7"/>
      <x:c r="AJ52" s="9" t="str">
        <x:f>IF($A52="","",SUMIF(Sales_Items!$A$2:$A$501,$A52,Sales_Items!$O$2:$O$501))</x:f>
      </x:c>
      <x:c r="AK52" s="9" t="str">
        <x:f>IF($A52="","",$AJ52*$L52/100)</x:f>
      </x:c>
      <x:c r="AL52" s="9" t="str">
        <x:f>IF($A52="","",MAX(0,$AJ52-$AK52))</x:f>
      </x:c>
      <x:c r="AM52" s="9" t="str">
        <x:f>IF($A52="","",MAX(0,$AL52*$M52/100))</x:f>
      </x:c>
      <x:c r="AN52" s="9" t="str">
        <x:f>IF($A52="","",MAX(0,$AL52*$N52/100))</x:f>
      </x:c>
      <x:c r="AO52" s="9" t="str">
        <x:f>IF($A52="","",MAX(0,$AL52*$O52/100))</x:f>
      </x:c>
      <x:c r="AP52" s="9" t="str">
        <x:f>IF($A52="","",MAX(0,$AL52+$AM52+$P52+$W52-$AN52-$AO52-$Q52))</x:f>
      </x:c>
    </x:row>
    <x:row r="53">
      <x:c r="A53" s="13"/>
      <x:c r="B53" s="7"/>
      <x:c r="C53" s="13"/>
      <x:c r="D53" s="14"/>
      <x:c r="E53" s="8"/>
      <x:c r="F53" s="13"/>
      <x:c r="G53" s="7"/>
      <x:c r="H53" s="7"/>
      <x:c r="I53" s="7"/>
      <x:c r="J53" s="13"/>
      <x:c r="K53" s="16"/>
      <x:c r="L53" s="10"/>
      <x:c r="M53" s="10"/>
      <x:c r="N53" s="10"/>
      <x:c r="O53" s="10"/>
      <x:c r="P53" s="9"/>
      <x:c r="Q53" s="9"/>
      <x:c r="R53" s="7"/>
      <x:c r="S53" s="7"/>
      <x:c r="T53" s="7"/>
      <x:c r="U53" s="7"/>
      <x:c r="V53" s="7"/>
      <x:c r="W53" s="9"/>
      <x:c r="X53" s="7"/>
      <x:c r="Y53" s="9"/>
      <x:c r="Z53" s="8"/>
      <x:c r="AA53" s="8"/>
      <x:c r="AB53" s="7"/>
      <x:c r="AC53" s="7"/>
      <x:c r="AD53" s="13"/>
      <x:c r="AE53" s="7"/>
      <x:c r="AF53" s="7"/>
      <x:c r="AG53" s="7"/>
      <x:c r="AH53" s="7"/>
      <x:c r="AI53" s="7"/>
      <x:c r="AJ53" s="9" t="str">
        <x:f>IF($A53="","",SUMIF(Sales_Items!$A$2:$A$501,$A53,Sales_Items!$O$2:$O$501))</x:f>
      </x:c>
      <x:c r="AK53" s="9" t="str">
        <x:f>IF($A53="","",$AJ53*$L53/100)</x:f>
      </x:c>
      <x:c r="AL53" s="9" t="str">
        <x:f>IF($A53="","",MAX(0,$AJ53-$AK53))</x:f>
      </x:c>
      <x:c r="AM53" s="9" t="str">
        <x:f>IF($A53="","",MAX(0,$AL53*$M53/100))</x:f>
      </x:c>
      <x:c r="AN53" s="9" t="str">
        <x:f>IF($A53="","",MAX(0,$AL53*$N53/100))</x:f>
      </x:c>
      <x:c r="AO53" s="9" t="str">
        <x:f>IF($A53="","",MAX(0,$AL53*$O53/100))</x:f>
      </x:c>
      <x:c r="AP53" s="9" t="str">
        <x:f>IF($A53="","",MAX(0,$AL53+$AM53+$P53+$W53-$AN53-$AO53-$Q53))</x:f>
      </x:c>
    </x:row>
    <x:row r="54">
      <x:c r="A54" s="13"/>
      <x:c r="B54" s="7"/>
      <x:c r="C54" s="13"/>
      <x:c r="D54" s="14"/>
      <x:c r="E54" s="8"/>
      <x:c r="F54" s="13"/>
      <x:c r="G54" s="7"/>
      <x:c r="H54" s="7"/>
      <x:c r="I54" s="7"/>
      <x:c r="J54" s="13"/>
      <x:c r="K54" s="16"/>
      <x:c r="L54" s="10"/>
      <x:c r="M54" s="10"/>
      <x:c r="N54" s="10"/>
      <x:c r="O54" s="10"/>
      <x:c r="P54" s="9"/>
      <x:c r="Q54" s="9"/>
      <x:c r="R54" s="7"/>
      <x:c r="S54" s="7"/>
      <x:c r="T54" s="7"/>
      <x:c r="U54" s="7"/>
      <x:c r="V54" s="7"/>
      <x:c r="W54" s="9"/>
      <x:c r="X54" s="7"/>
      <x:c r="Y54" s="9"/>
      <x:c r="Z54" s="8"/>
      <x:c r="AA54" s="8"/>
      <x:c r="AB54" s="7"/>
      <x:c r="AC54" s="7"/>
      <x:c r="AD54" s="13"/>
      <x:c r="AE54" s="7"/>
      <x:c r="AF54" s="7"/>
      <x:c r="AG54" s="7"/>
      <x:c r="AH54" s="7"/>
      <x:c r="AI54" s="7"/>
      <x:c r="AJ54" s="9" t="str">
        <x:f>IF($A54="","",SUMIF(Sales_Items!$A$2:$A$501,$A54,Sales_Items!$O$2:$O$501))</x:f>
      </x:c>
      <x:c r="AK54" s="9" t="str">
        <x:f>IF($A54="","",$AJ54*$L54/100)</x:f>
      </x:c>
      <x:c r="AL54" s="9" t="str">
        <x:f>IF($A54="","",MAX(0,$AJ54-$AK54))</x:f>
      </x:c>
      <x:c r="AM54" s="9" t="str">
        <x:f>IF($A54="","",MAX(0,$AL54*$M54/100))</x:f>
      </x:c>
      <x:c r="AN54" s="9" t="str">
        <x:f>IF($A54="","",MAX(0,$AL54*$N54/100))</x:f>
      </x:c>
      <x:c r="AO54" s="9" t="str">
        <x:f>IF($A54="","",MAX(0,$AL54*$O54/100))</x:f>
      </x:c>
      <x:c r="AP54" s="9" t="str">
        <x:f>IF($A54="","",MAX(0,$AL54+$AM54+$P54+$W54-$AN54-$AO54-$Q54))</x:f>
      </x:c>
    </x:row>
    <x:row r="55">
      <x:c r="A55" s="13"/>
      <x:c r="B55" s="7"/>
      <x:c r="C55" s="13"/>
      <x:c r="D55" s="14"/>
      <x:c r="E55" s="8"/>
      <x:c r="F55" s="13"/>
      <x:c r="G55" s="7"/>
      <x:c r="H55" s="7"/>
      <x:c r="I55" s="7"/>
      <x:c r="J55" s="13"/>
      <x:c r="K55" s="16"/>
      <x:c r="L55" s="10"/>
      <x:c r="M55" s="10"/>
      <x:c r="N55" s="10"/>
      <x:c r="O55" s="10"/>
      <x:c r="P55" s="9"/>
      <x:c r="Q55" s="9"/>
      <x:c r="R55" s="7"/>
      <x:c r="S55" s="7"/>
      <x:c r="T55" s="7"/>
      <x:c r="U55" s="7"/>
      <x:c r="V55" s="7"/>
      <x:c r="W55" s="9"/>
      <x:c r="X55" s="7"/>
      <x:c r="Y55" s="9"/>
      <x:c r="Z55" s="8"/>
      <x:c r="AA55" s="8"/>
      <x:c r="AB55" s="7"/>
      <x:c r="AC55" s="7"/>
      <x:c r="AD55" s="13"/>
      <x:c r="AE55" s="7"/>
      <x:c r="AF55" s="7"/>
      <x:c r="AG55" s="7"/>
      <x:c r="AH55" s="7"/>
      <x:c r="AI55" s="7"/>
      <x:c r="AJ55" s="9" t="str">
        <x:f>IF($A55="","",SUMIF(Sales_Items!$A$2:$A$501,$A55,Sales_Items!$O$2:$O$501))</x:f>
      </x:c>
      <x:c r="AK55" s="9" t="str">
        <x:f>IF($A55="","",$AJ55*$L55/100)</x:f>
      </x:c>
      <x:c r="AL55" s="9" t="str">
        <x:f>IF($A55="","",MAX(0,$AJ55-$AK55))</x:f>
      </x:c>
      <x:c r="AM55" s="9" t="str">
        <x:f>IF($A55="","",MAX(0,$AL55*$M55/100))</x:f>
      </x:c>
      <x:c r="AN55" s="9" t="str">
        <x:f>IF($A55="","",MAX(0,$AL55*$N55/100))</x:f>
      </x:c>
      <x:c r="AO55" s="9" t="str">
        <x:f>IF($A55="","",MAX(0,$AL55*$O55/100))</x:f>
      </x:c>
      <x:c r="AP55" s="9" t="str">
        <x:f>IF($A55="","",MAX(0,$AL55+$AM55+$P55+$W55-$AN55-$AO55-$Q55))</x:f>
      </x:c>
    </x:row>
    <x:row r="56">
      <x:c r="A56" s="13"/>
      <x:c r="B56" s="7"/>
      <x:c r="C56" s="13"/>
      <x:c r="D56" s="14"/>
      <x:c r="E56" s="8"/>
      <x:c r="F56" s="13"/>
      <x:c r="G56" s="7"/>
      <x:c r="H56" s="7"/>
      <x:c r="I56" s="7"/>
      <x:c r="J56" s="13"/>
      <x:c r="K56" s="16"/>
      <x:c r="L56" s="10"/>
      <x:c r="M56" s="10"/>
      <x:c r="N56" s="10"/>
      <x:c r="O56" s="10"/>
      <x:c r="P56" s="9"/>
      <x:c r="Q56" s="9"/>
      <x:c r="R56" s="7"/>
      <x:c r="S56" s="7"/>
      <x:c r="T56" s="7"/>
      <x:c r="U56" s="7"/>
      <x:c r="V56" s="7"/>
      <x:c r="W56" s="9"/>
      <x:c r="X56" s="7"/>
      <x:c r="Y56" s="9"/>
      <x:c r="Z56" s="8"/>
      <x:c r="AA56" s="8"/>
      <x:c r="AB56" s="7"/>
      <x:c r="AC56" s="7"/>
      <x:c r="AD56" s="13"/>
      <x:c r="AE56" s="7"/>
      <x:c r="AF56" s="7"/>
      <x:c r="AG56" s="7"/>
      <x:c r="AH56" s="7"/>
      <x:c r="AI56" s="7"/>
      <x:c r="AJ56" s="9" t="str">
        <x:f>IF($A56="","",SUMIF(Sales_Items!$A$2:$A$501,$A56,Sales_Items!$O$2:$O$501))</x:f>
      </x:c>
      <x:c r="AK56" s="9" t="str">
        <x:f>IF($A56="","",$AJ56*$L56/100)</x:f>
      </x:c>
      <x:c r="AL56" s="9" t="str">
        <x:f>IF($A56="","",MAX(0,$AJ56-$AK56))</x:f>
      </x:c>
      <x:c r="AM56" s="9" t="str">
        <x:f>IF($A56="","",MAX(0,$AL56*$M56/100))</x:f>
      </x:c>
      <x:c r="AN56" s="9" t="str">
        <x:f>IF($A56="","",MAX(0,$AL56*$N56/100))</x:f>
      </x:c>
      <x:c r="AO56" s="9" t="str">
        <x:f>IF($A56="","",MAX(0,$AL56*$O56/100))</x:f>
      </x:c>
      <x:c r="AP56" s="9" t="str">
        <x:f>IF($A56="","",MAX(0,$AL56+$AM56+$P56+$W56-$AN56-$AO56-$Q56))</x:f>
      </x:c>
    </x:row>
    <x:row r="57">
      <x:c r="A57" s="13"/>
      <x:c r="B57" s="7"/>
      <x:c r="C57" s="13"/>
      <x:c r="D57" s="14"/>
      <x:c r="E57" s="8"/>
      <x:c r="F57" s="13"/>
      <x:c r="G57" s="7"/>
      <x:c r="H57" s="7"/>
      <x:c r="I57" s="7"/>
      <x:c r="J57" s="13"/>
      <x:c r="K57" s="16"/>
      <x:c r="L57" s="10"/>
      <x:c r="M57" s="10"/>
      <x:c r="N57" s="10"/>
      <x:c r="O57" s="10"/>
      <x:c r="P57" s="9"/>
      <x:c r="Q57" s="9"/>
      <x:c r="R57" s="7"/>
      <x:c r="S57" s="7"/>
      <x:c r="T57" s="7"/>
      <x:c r="U57" s="7"/>
      <x:c r="V57" s="7"/>
      <x:c r="W57" s="9"/>
      <x:c r="X57" s="7"/>
      <x:c r="Y57" s="9"/>
      <x:c r="Z57" s="8"/>
      <x:c r="AA57" s="8"/>
      <x:c r="AB57" s="7"/>
      <x:c r="AC57" s="7"/>
      <x:c r="AD57" s="13"/>
      <x:c r="AE57" s="7"/>
      <x:c r="AF57" s="7"/>
      <x:c r="AG57" s="7"/>
      <x:c r="AH57" s="7"/>
      <x:c r="AI57" s="7"/>
      <x:c r="AJ57" s="9" t="str">
        <x:f>IF($A57="","",SUMIF(Sales_Items!$A$2:$A$501,$A57,Sales_Items!$O$2:$O$501))</x:f>
      </x:c>
      <x:c r="AK57" s="9" t="str">
        <x:f>IF($A57="","",$AJ57*$L57/100)</x:f>
      </x:c>
      <x:c r="AL57" s="9" t="str">
        <x:f>IF($A57="","",MAX(0,$AJ57-$AK57))</x:f>
      </x:c>
      <x:c r="AM57" s="9" t="str">
        <x:f>IF($A57="","",MAX(0,$AL57*$M57/100))</x:f>
      </x:c>
      <x:c r="AN57" s="9" t="str">
        <x:f>IF($A57="","",MAX(0,$AL57*$N57/100))</x:f>
      </x:c>
      <x:c r="AO57" s="9" t="str">
        <x:f>IF($A57="","",MAX(0,$AL57*$O57/100))</x:f>
      </x:c>
      <x:c r="AP57" s="9" t="str">
        <x:f>IF($A57="","",MAX(0,$AL57+$AM57+$P57+$W57-$AN57-$AO57-$Q57))</x:f>
      </x:c>
    </x:row>
    <x:row r="58">
      <x:c r="A58" s="13"/>
      <x:c r="B58" s="7"/>
      <x:c r="C58" s="13"/>
      <x:c r="D58" s="14"/>
      <x:c r="E58" s="8"/>
      <x:c r="F58" s="13"/>
      <x:c r="G58" s="7"/>
      <x:c r="H58" s="7"/>
      <x:c r="I58" s="7"/>
      <x:c r="J58" s="13"/>
      <x:c r="K58" s="16"/>
      <x:c r="L58" s="10"/>
      <x:c r="M58" s="10"/>
      <x:c r="N58" s="10"/>
      <x:c r="O58" s="10"/>
      <x:c r="P58" s="9"/>
      <x:c r="Q58" s="9"/>
      <x:c r="R58" s="7"/>
      <x:c r="S58" s="7"/>
      <x:c r="T58" s="7"/>
      <x:c r="U58" s="7"/>
      <x:c r="V58" s="7"/>
      <x:c r="W58" s="9"/>
      <x:c r="X58" s="7"/>
      <x:c r="Y58" s="9"/>
      <x:c r="Z58" s="8"/>
      <x:c r="AA58" s="8"/>
      <x:c r="AB58" s="7"/>
      <x:c r="AC58" s="7"/>
      <x:c r="AD58" s="13"/>
      <x:c r="AE58" s="7"/>
      <x:c r="AF58" s="7"/>
      <x:c r="AG58" s="7"/>
      <x:c r="AH58" s="7"/>
      <x:c r="AI58" s="7"/>
      <x:c r="AJ58" s="9" t="str">
        <x:f>IF($A58="","",SUMIF(Sales_Items!$A$2:$A$501,$A58,Sales_Items!$O$2:$O$501))</x:f>
      </x:c>
      <x:c r="AK58" s="9" t="str">
        <x:f>IF($A58="","",$AJ58*$L58/100)</x:f>
      </x:c>
      <x:c r="AL58" s="9" t="str">
        <x:f>IF($A58="","",MAX(0,$AJ58-$AK58))</x:f>
      </x:c>
      <x:c r="AM58" s="9" t="str">
        <x:f>IF($A58="","",MAX(0,$AL58*$M58/100))</x:f>
      </x:c>
      <x:c r="AN58" s="9" t="str">
        <x:f>IF($A58="","",MAX(0,$AL58*$N58/100))</x:f>
      </x:c>
      <x:c r="AO58" s="9" t="str">
        <x:f>IF($A58="","",MAX(0,$AL58*$O58/100))</x:f>
      </x:c>
      <x:c r="AP58" s="9" t="str">
        <x:f>IF($A58="","",MAX(0,$AL58+$AM58+$P58+$W58-$AN58-$AO58-$Q58))</x:f>
      </x:c>
    </x:row>
    <x:row r="59">
      <x:c r="A59" s="13"/>
      <x:c r="B59" s="7"/>
      <x:c r="C59" s="13"/>
      <x:c r="D59" s="14"/>
      <x:c r="E59" s="8"/>
      <x:c r="F59" s="13"/>
      <x:c r="G59" s="7"/>
      <x:c r="H59" s="7"/>
      <x:c r="I59" s="7"/>
      <x:c r="J59" s="13"/>
      <x:c r="K59" s="16"/>
      <x:c r="L59" s="10"/>
      <x:c r="M59" s="10"/>
      <x:c r="N59" s="10"/>
      <x:c r="O59" s="10"/>
      <x:c r="P59" s="9"/>
      <x:c r="Q59" s="9"/>
      <x:c r="R59" s="7"/>
      <x:c r="S59" s="7"/>
      <x:c r="T59" s="7"/>
      <x:c r="U59" s="7"/>
      <x:c r="V59" s="7"/>
      <x:c r="W59" s="9"/>
      <x:c r="X59" s="7"/>
      <x:c r="Y59" s="9"/>
      <x:c r="Z59" s="8"/>
      <x:c r="AA59" s="8"/>
      <x:c r="AB59" s="7"/>
      <x:c r="AC59" s="7"/>
      <x:c r="AD59" s="13"/>
      <x:c r="AE59" s="7"/>
      <x:c r="AF59" s="7"/>
      <x:c r="AG59" s="7"/>
      <x:c r="AH59" s="7"/>
      <x:c r="AI59" s="7"/>
      <x:c r="AJ59" s="9" t="str">
        <x:f>IF($A59="","",SUMIF(Sales_Items!$A$2:$A$501,$A59,Sales_Items!$O$2:$O$501))</x:f>
      </x:c>
      <x:c r="AK59" s="9" t="str">
        <x:f>IF($A59="","",$AJ59*$L59/100)</x:f>
      </x:c>
      <x:c r="AL59" s="9" t="str">
        <x:f>IF($A59="","",MAX(0,$AJ59-$AK59))</x:f>
      </x:c>
      <x:c r="AM59" s="9" t="str">
        <x:f>IF($A59="","",MAX(0,$AL59*$M59/100))</x:f>
      </x:c>
      <x:c r="AN59" s="9" t="str">
        <x:f>IF($A59="","",MAX(0,$AL59*$N59/100))</x:f>
      </x:c>
      <x:c r="AO59" s="9" t="str">
        <x:f>IF($A59="","",MAX(0,$AL59*$O59/100))</x:f>
      </x:c>
      <x:c r="AP59" s="9" t="str">
        <x:f>IF($A59="","",MAX(0,$AL59+$AM59+$P59+$W59-$AN59-$AO59-$Q59))</x:f>
      </x:c>
    </x:row>
    <x:row r="60">
      <x:c r="A60" s="13"/>
      <x:c r="B60" s="7"/>
      <x:c r="C60" s="13"/>
      <x:c r="D60" s="14"/>
      <x:c r="E60" s="8"/>
      <x:c r="F60" s="13"/>
      <x:c r="G60" s="7"/>
      <x:c r="H60" s="7"/>
      <x:c r="I60" s="7"/>
      <x:c r="J60" s="13"/>
      <x:c r="K60" s="16"/>
      <x:c r="L60" s="10"/>
      <x:c r="M60" s="10"/>
      <x:c r="N60" s="10"/>
      <x:c r="O60" s="10"/>
      <x:c r="P60" s="9"/>
      <x:c r="Q60" s="9"/>
      <x:c r="R60" s="7"/>
      <x:c r="S60" s="7"/>
      <x:c r="T60" s="7"/>
      <x:c r="U60" s="7"/>
      <x:c r="V60" s="7"/>
      <x:c r="W60" s="9"/>
      <x:c r="X60" s="7"/>
      <x:c r="Y60" s="9"/>
      <x:c r="Z60" s="8"/>
      <x:c r="AA60" s="8"/>
      <x:c r="AB60" s="7"/>
      <x:c r="AC60" s="7"/>
      <x:c r="AD60" s="13"/>
      <x:c r="AE60" s="7"/>
      <x:c r="AF60" s="7"/>
      <x:c r="AG60" s="7"/>
      <x:c r="AH60" s="7"/>
      <x:c r="AI60" s="7"/>
      <x:c r="AJ60" s="9" t="str">
        <x:f>IF($A60="","",SUMIF(Sales_Items!$A$2:$A$501,$A60,Sales_Items!$O$2:$O$501))</x:f>
      </x:c>
      <x:c r="AK60" s="9" t="str">
        <x:f>IF($A60="","",$AJ60*$L60/100)</x:f>
      </x:c>
      <x:c r="AL60" s="9" t="str">
        <x:f>IF($A60="","",MAX(0,$AJ60-$AK60))</x:f>
      </x:c>
      <x:c r="AM60" s="9" t="str">
        <x:f>IF($A60="","",MAX(0,$AL60*$M60/100))</x:f>
      </x:c>
      <x:c r="AN60" s="9" t="str">
        <x:f>IF($A60="","",MAX(0,$AL60*$N60/100))</x:f>
      </x:c>
      <x:c r="AO60" s="9" t="str">
        <x:f>IF($A60="","",MAX(0,$AL60*$O60/100))</x:f>
      </x:c>
      <x:c r="AP60" s="9" t="str">
        <x:f>IF($A60="","",MAX(0,$AL60+$AM60+$P60+$W60-$AN60-$AO60-$Q60))</x:f>
      </x:c>
    </x:row>
    <x:row r="61">
      <x:c r="A61" s="13"/>
      <x:c r="B61" s="7"/>
      <x:c r="C61" s="13"/>
      <x:c r="D61" s="14"/>
      <x:c r="E61" s="8"/>
      <x:c r="F61" s="13"/>
      <x:c r="G61" s="7"/>
      <x:c r="H61" s="7"/>
      <x:c r="I61" s="7"/>
      <x:c r="J61" s="13"/>
      <x:c r="K61" s="16"/>
      <x:c r="L61" s="10"/>
      <x:c r="M61" s="10"/>
      <x:c r="N61" s="10"/>
      <x:c r="O61" s="10"/>
      <x:c r="P61" s="9"/>
      <x:c r="Q61" s="9"/>
      <x:c r="R61" s="7"/>
      <x:c r="S61" s="7"/>
      <x:c r="T61" s="7"/>
      <x:c r="U61" s="7"/>
      <x:c r="V61" s="7"/>
      <x:c r="W61" s="9"/>
      <x:c r="X61" s="7"/>
      <x:c r="Y61" s="9"/>
      <x:c r="Z61" s="8"/>
      <x:c r="AA61" s="8"/>
      <x:c r="AB61" s="7"/>
      <x:c r="AC61" s="7"/>
      <x:c r="AD61" s="13"/>
      <x:c r="AE61" s="7"/>
      <x:c r="AF61" s="7"/>
      <x:c r="AG61" s="7"/>
      <x:c r="AH61" s="7"/>
      <x:c r="AI61" s="7"/>
      <x:c r="AJ61" s="9" t="str">
        <x:f>IF($A61="","",SUMIF(Sales_Items!$A$2:$A$501,$A61,Sales_Items!$O$2:$O$501))</x:f>
      </x:c>
      <x:c r="AK61" s="9" t="str">
        <x:f>IF($A61="","",$AJ61*$L61/100)</x:f>
      </x:c>
      <x:c r="AL61" s="9" t="str">
        <x:f>IF($A61="","",MAX(0,$AJ61-$AK61))</x:f>
      </x:c>
      <x:c r="AM61" s="9" t="str">
        <x:f>IF($A61="","",MAX(0,$AL61*$M61/100))</x:f>
      </x:c>
      <x:c r="AN61" s="9" t="str">
        <x:f>IF($A61="","",MAX(0,$AL61*$N61/100))</x:f>
      </x:c>
      <x:c r="AO61" s="9" t="str">
        <x:f>IF($A61="","",MAX(0,$AL61*$O61/100))</x:f>
      </x:c>
      <x:c r="AP61" s="9" t="str">
        <x:f>IF($A61="","",MAX(0,$AL61+$AM61+$P61+$W61-$AN61-$AO61-$Q61))</x:f>
      </x:c>
    </x:row>
    <x:row r="62">
      <x:c r="A62" s="13"/>
      <x:c r="B62" s="7"/>
      <x:c r="C62" s="13"/>
      <x:c r="D62" s="14"/>
      <x:c r="E62" s="8"/>
      <x:c r="F62" s="13"/>
      <x:c r="G62" s="7"/>
      <x:c r="H62" s="7"/>
      <x:c r="I62" s="7"/>
      <x:c r="J62" s="13"/>
      <x:c r="K62" s="16"/>
      <x:c r="L62" s="10"/>
      <x:c r="M62" s="10"/>
      <x:c r="N62" s="10"/>
      <x:c r="O62" s="10"/>
      <x:c r="P62" s="9"/>
      <x:c r="Q62" s="9"/>
      <x:c r="R62" s="7"/>
      <x:c r="S62" s="7"/>
      <x:c r="T62" s="7"/>
      <x:c r="U62" s="7"/>
      <x:c r="V62" s="7"/>
      <x:c r="W62" s="9"/>
      <x:c r="X62" s="7"/>
      <x:c r="Y62" s="9"/>
      <x:c r="Z62" s="8"/>
      <x:c r="AA62" s="8"/>
      <x:c r="AB62" s="7"/>
      <x:c r="AC62" s="7"/>
      <x:c r="AD62" s="13"/>
      <x:c r="AE62" s="7"/>
      <x:c r="AF62" s="7"/>
      <x:c r="AG62" s="7"/>
      <x:c r="AH62" s="7"/>
      <x:c r="AI62" s="7"/>
      <x:c r="AJ62" s="9" t="str">
        <x:f>IF($A62="","",SUMIF(Sales_Items!$A$2:$A$501,$A62,Sales_Items!$O$2:$O$501))</x:f>
      </x:c>
      <x:c r="AK62" s="9" t="str">
        <x:f>IF($A62="","",$AJ62*$L62/100)</x:f>
      </x:c>
      <x:c r="AL62" s="9" t="str">
        <x:f>IF($A62="","",MAX(0,$AJ62-$AK62))</x:f>
      </x:c>
      <x:c r="AM62" s="9" t="str">
        <x:f>IF($A62="","",MAX(0,$AL62*$M62/100))</x:f>
      </x:c>
      <x:c r="AN62" s="9" t="str">
        <x:f>IF($A62="","",MAX(0,$AL62*$N62/100))</x:f>
      </x:c>
      <x:c r="AO62" s="9" t="str">
        <x:f>IF($A62="","",MAX(0,$AL62*$O62/100))</x:f>
      </x:c>
      <x:c r="AP62" s="9" t="str">
        <x:f>IF($A62="","",MAX(0,$AL62+$AM62+$P62+$W62-$AN62-$AO62-$Q62))</x:f>
      </x:c>
    </x:row>
    <x:row r="63">
      <x:c r="A63" s="13"/>
      <x:c r="B63" s="7"/>
      <x:c r="C63" s="13"/>
      <x:c r="D63" s="14"/>
      <x:c r="E63" s="8"/>
      <x:c r="F63" s="13"/>
      <x:c r="G63" s="7"/>
      <x:c r="H63" s="7"/>
      <x:c r="I63" s="7"/>
      <x:c r="J63" s="13"/>
      <x:c r="K63" s="16"/>
      <x:c r="L63" s="10"/>
      <x:c r="M63" s="10"/>
      <x:c r="N63" s="10"/>
      <x:c r="O63" s="10"/>
      <x:c r="P63" s="9"/>
      <x:c r="Q63" s="9"/>
      <x:c r="R63" s="7"/>
      <x:c r="S63" s="7"/>
      <x:c r="T63" s="7"/>
      <x:c r="U63" s="7"/>
      <x:c r="V63" s="7"/>
      <x:c r="W63" s="9"/>
      <x:c r="X63" s="7"/>
      <x:c r="Y63" s="9"/>
      <x:c r="Z63" s="8"/>
      <x:c r="AA63" s="8"/>
      <x:c r="AB63" s="7"/>
      <x:c r="AC63" s="7"/>
      <x:c r="AD63" s="13"/>
      <x:c r="AE63" s="7"/>
      <x:c r="AF63" s="7"/>
      <x:c r="AG63" s="7"/>
      <x:c r="AH63" s="7"/>
      <x:c r="AI63" s="7"/>
      <x:c r="AJ63" s="9" t="str">
        <x:f>IF($A63="","",SUMIF(Sales_Items!$A$2:$A$501,$A63,Sales_Items!$O$2:$O$501))</x:f>
      </x:c>
      <x:c r="AK63" s="9" t="str">
        <x:f>IF($A63="","",$AJ63*$L63/100)</x:f>
      </x:c>
      <x:c r="AL63" s="9" t="str">
        <x:f>IF($A63="","",MAX(0,$AJ63-$AK63))</x:f>
      </x:c>
      <x:c r="AM63" s="9" t="str">
        <x:f>IF($A63="","",MAX(0,$AL63*$M63/100))</x:f>
      </x:c>
      <x:c r="AN63" s="9" t="str">
        <x:f>IF($A63="","",MAX(0,$AL63*$N63/100))</x:f>
      </x:c>
      <x:c r="AO63" s="9" t="str">
        <x:f>IF($A63="","",MAX(0,$AL63*$O63/100))</x:f>
      </x:c>
      <x:c r="AP63" s="9" t="str">
        <x:f>IF($A63="","",MAX(0,$AL63+$AM63+$P63+$W63-$AN63-$AO63-$Q63))</x:f>
      </x:c>
    </x:row>
    <x:row r="64">
      <x:c r="A64" s="13"/>
      <x:c r="B64" s="7"/>
      <x:c r="C64" s="13"/>
      <x:c r="D64" s="14"/>
      <x:c r="E64" s="8"/>
      <x:c r="F64" s="13"/>
      <x:c r="G64" s="7"/>
      <x:c r="H64" s="7"/>
      <x:c r="I64" s="7"/>
      <x:c r="J64" s="13"/>
      <x:c r="K64" s="16"/>
      <x:c r="L64" s="10"/>
      <x:c r="M64" s="10"/>
      <x:c r="N64" s="10"/>
      <x:c r="O64" s="10"/>
      <x:c r="P64" s="9"/>
      <x:c r="Q64" s="9"/>
      <x:c r="R64" s="7"/>
      <x:c r="S64" s="7"/>
      <x:c r="T64" s="7"/>
      <x:c r="U64" s="7"/>
      <x:c r="V64" s="7"/>
      <x:c r="W64" s="9"/>
      <x:c r="X64" s="7"/>
      <x:c r="Y64" s="9"/>
      <x:c r="Z64" s="8"/>
      <x:c r="AA64" s="8"/>
      <x:c r="AB64" s="7"/>
      <x:c r="AC64" s="7"/>
      <x:c r="AD64" s="13"/>
      <x:c r="AE64" s="7"/>
      <x:c r="AF64" s="7"/>
      <x:c r="AG64" s="7"/>
      <x:c r="AH64" s="7"/>
      <x:c r="AI64" s="7"/>
      <x:c r="AJ64" s="9" t="str">
        <x:f>IF($A64="","",SUMIF(Sales_Items!$A$2:$A$501,$A64,Sales_Items!$O$2:$O$501))</x:f>
      </x:c>
      <x:c r="AK64" s="9" t="str">
        <x:f>IF($A64="","",$AJ64*$L64/100)</x:f>
      </x:c>
      <x:c r="AL64" s="9" t="str">
        <x:f>IF($A64="","",MAX(0,$AJ64-$AK64))</x:f>
      </x:c>
      <x:c r="AM64" s="9" t="str">
        <x:f>IF($A64="","",MAX(0,$AL64*$M64/100))</x:f>
      </x:c>
      <x:c r="AN64" s="9" t="str">
        <x:f>IF($A64="","",MAX(0,$AL64*$N64/100))</x:f>
      </x:c>
      <x:c r="AO64" s="9" t="str">
        <x:f>IF($A64="","",MAX(0,$AL64*$O64/100))</x:f>
      </x:c>
      <x:c r="AP64" s="9" t="str">
        <x:f>IF($A64="","",MAX(0,$AL64+$AM64+$P64+$W64-$AN64-$AO64-$Q64))</x:f>
      </x:c>
    </x:row>
    <x:row r="65">
      <x:c r="A65" s="13"/>
      <x:c r="B65" s="7"/>
      <x:c r="C65" s="13"/>
      <x:c r="D65" s="14"/>
      <x:c r="E65" s="8"/>
      <x:c r="F65" s="13"/>
      <x:c r="G65" s="7"/>
      <x:c r="H65" s="7"/>
      <x:c r="I65" s="7"/>
      <x:c r="J65" s="13"/>
      <x:c r="K65" s="16"/>
      <x:c r="L65" s="10"/>
      <x:c r="M65" s="10"/>
      <x:c r="N65" s="10"/>
      <x:c r="O65" s="10"/>
      <x:c r="P65" s="9"/>
      <x:c r="Q65" s="9"/>
      <x:c r="R65" s="7"/>
      <x:c r="S65" s="7"/>
      <x:c r="T65" s="7"/>
      <x:c r="U65" s="7"/>
      <x:c r="V65" s="7"/>
      <x:c r="W65" s="9"/>
      <x:c r="X65" s="7"/>
      <x:c r="Y65" s="9"/>
      <x:c r="Z65" s="8"/>
      <x:c r="AA65" s="8"/>
      <x:c r="AB65" s="7"/>
      <x:c r="AC65" s="7"/>
      <x:c r="AD65" s="13"/>
      <x:c r="AE65" s="7"/>
      <x:c r="AF65" s="7"/>
      <x:c r="AG65" s="7"/>
      <x:c r="AH65" s="7"/>
      <x:c r="AI65" s="7"/>
      <x:c r="AJ65" s="9" t="str">
        <x:f>IF($A65="","",SUMIF(Sales_Items!$A$2:$A$501,$A65,Sales_Items!$O$2:$O$501))</x:f>
      </x:c>
      <x:c r="AK65" s="9" t="str">
        <x:f>IF($A65="","",$AJ65*$L65/100)</x:f>
      </x:c>
      <x:c r="AL65" s="9" t="str">
        <x:f>IF($A65="","",MAX(0,$AJ65-$AK65))</x:f>
      </x:c>
      <x:c r="AM65" s="9" t="str">
        <x:f>IF($A65="","",MAX(0,$AL65*$M65/100))</x:f>
      </x:c>
      <x:c r="AN65" s="9" t="str">
        <x:f>IF($A65="","",MAX(0,$AL65*$N65/100))</x:f>
      </x:c>
      <x:c r="AO65" s="9" t="str">
        <x:f>IF($A65="","",MAX(0,$AL65*$O65/100))</x:f>
      </x:c>
      <x:c r="AP65" s="9" t="str">
        <x:f>IF($A65="","",MAX(0,$AL65+$AM65+$P65+$W65-$AN65-$AO65-$Q65))</x:f>
      </x:c>
    </x:row>
    <x:row r="66">
      <x:c r="A66" s="13"/>
      <x:c r="B66" s="7"/>
      <x:c r="C66" s="13"/>
      <x:c r="D66" s="14"/>
      <x:c r="E66" s="8"/>
      <x:c r="F66" s="13"/>
      <x:c r="G66" s="7"/>
      <x:c r="H66" s="7"/>
      <x:c r="I66" s="7"/>
      <x:c r="J66" s="13"/>
      <x:c r="K66" s="16"/>
      <x:c r="L66" s="10"/>
      <x:c r="M66" s="10"/>
      <x:c r="N66" s="10"/>
      <x:c r="O66" s="10"/>
      <x:c r="P66" s="9"/>
      <x:c r="Q66" s="9"/>
      <x:c r="R66" s="7"/>
      <x:c r="S66" s="7"/>
      <x:c r="T66" s="7"/>
      <x:c r="U66" s="7"/>
      <x:c r="V66" s="7"/>
      <x:c r="W66" s="9"/>
      <x:c r="X66" s="7"/>
      <x:c r="Y66" s="9"/>
      <x:c r="Z66" s="8"/>
      <x:c r="AA66" s="8"/>
      <x:c r="AB66" s="7"/>
      <x:c r="AC66" s="7"/>
      <x:c r="AD66" s="13"/>
      <x:c r="AE66" s="7"/>
      <x:c r="AF66" s="7"/>
      <x:c r="AG66" s="7"/>
      <x:c r="AH66" s="7"/>
      <x:c r="AI66" s="7"/>
      <x:c r="AJ66" s="9" t="str">
        <x:f>IF($A66="","",SUMIF(Sales_Items!$A$2:$A$501,$A66,Sales_Items!$O$2:$O$501))</x:f>
      </x:c>
      <x:c r="AK66" s="9" t="str">
        <x:f>IF($A66="","",$AJ66*$L66/100)</x:f>
      </x:c>
      <x:c r="AL66" s="9" t="str">
        <x:f>IF($A66="","",MAX(0,$AJ66-$AK66))</x:f>
      </x:c>
      <x:c r="AM66" s="9" t="str">
        <x:f>IF($A66="","",MAX(0,$AL66*$M66/100))</x:f>
      </x:c>
      <x:c r="AN66" s="9" t="str">
        <x:f>IF($A66="","",MAX(0,$AL66*$N66/100))</x:f>
      </x:c>
      <x:c r="AO66" s="9" t="str">
        <x:f>IF($A66="","",MAX(0,$AL66*$O66/100))</x:f>
      </x:c>
      <x:c r="AP66" s="9" t="str">
        <x:f>IF($A66="","",MAX(0,$AL66+$AM66+$P66+$W66-$AN66-$AO66-$Q66))</x:f>
      </x:c>
    </x:row>
    <x:row r="67">
      <x:c r="A67" s="13"/>
      <x:c r="B67" s="7"/>
      <x:c r="C67" s="13"/>
      <x:c r="D67" s="14"/>
      <x:c r="E67" s="8"/>
      <x:c r="F67" s="13"/>
      <x:c r="G67" s="7"/>
      <x:c r="H67" s="7"/>
      <x:c r="I67" s="7"/>
      <x:c r="J67" s="13"/>
      <x:c r="K67" s="16"/>
      <x:c r="L67" s="10"/>
      <x:c r="M67" s="10"/>
      <x:c r="N67" s="10"/>
      <x:c r="O67" s="10"/>
      <x:c r="P67" s="9"/>
      <x:c r="Q67" s="9"/>
      <x:c r="R67" s="7"/>
      <x:c r="S67" s="7"/>
      <x:c r="T67" s="7"/>
      <x:c r="U67" s="7"/>
      <x:c r="V67" s="7"/>
      <x:c r="W67" s="9"/>
      <x:c r="X67" s="7"/>
      <x:c r="Y67" s="9"/>
      <x:c r="Z67" s="8"/>
      <x:c r="AA67" s="8"/>
      <x:c r="AB67" s="7"/>
      <x:c r="AC67" s="7"/>
      <x:c r="AD67" s="13"/>
      <x:c r="AE67" s="7"/>
      <x:c r="AF67" s="7"/>
      <x:c r="AG67" s="7"/>
      <x:c r="AH67" s="7"/>
      <x:c r="AI67" s="7"/>
      <x:c r="AJ67" s="9" t="str">
        <x:f>IF($A67="","",SUMIF(Sales_Items!$A$2:$A$501,$A67,Sales_Items!$O$2:$O$501))</x:f>
      </x:c>
      <x:c r="AK67" s="9" t="str">
        <x:f>IF($A67="","",$AJ67*$L67/100)</x:f>
      </x:c>
      <x:c r="AL67" s="9" t="str">
        <x:f>IF($A67="","",MAX(0,$AJ67-$AK67))</x:f>
      </x:c>
      <x:c r="AM67" s="9" t="str">
        <x:f>IF($A67="","",MAX(0,$AL67*$M67/100))</x:f>
      </x:c>
      <x:c r="AN67" s="9" t="str">
        <x:f>IF($A67="","",MAX(0,$AL67*$N67/100))</x:f>
      </x:c>
      <x:c r="AO67" s="9" t="str">
        <x:f>IF($A67="","",MAX(0,$AL67*$O67/100))</x:f>
      </x:c>
      <x:c r="AP67" s="9" t="str">
        <x:f>IF($A67="","",MAX(0,$AL67+$AM67+$P67+$W67-$AN67-$AO67-$Q67))</x:f>
      </x:c>
    </x:row>
    <x:row r="68">
      <x:c r="A68" s="13"/>
      <x:c r="B68" s="7"/>
      <x:c r="C68" s="13"/>
      <x:c r="D68" s="14"/>
      <x:c r="E68" s="8"/>
      <x:c r="F68" s="13"/>
      <x:c r="G68" s="7"/>
      <x:c r="H68" s="7"/>
      <x:c r="I68" s="7"/>
      <x:c r="J68" s="13"/>
      <x:c r="K68" s="16"/>
      <x:c r="L68" s="10"/>
      <x:c r="M68" s="10"/>
      <x:c r="N68" s="10"/>
      <x:c r="O68" s="10"/>
      <x:c r="P68" s="9"/>
      <x:c r="Q68" s="9"/>
      <x:c r="R68" s="7"/>
      <x:c r="S68" s="7"/>
      <x:c r="T68" s="7"/>
      <x:c r="U68" s="7"/>
      <x:c r="V68" s="7"/>
      <x:c r="W68" s="9"/>
      <x:c r="X68" s="7"/>
      <x:c r="Y68" s="9"/>
      <x:c r="Z68" s="8"/>
      <x:c r="AA68" s="8"/>
      <x:c r="AB68" s="7"/>
      <x:c r="AC68" s="7"/>
      <x:c r="AD68" s="13"/>
      <x:c r="AE68" s="7"/>
      <x:c r="AF68" s="7"/>
      <x:c r="AG68" s="7"/>
      <x:c r="AH68" s="7"/>
      <x:c r="AI68" s="7"/>
      <x:c r="AJ68" s="9" t="str">
        <x:f>IF($A68="","",SUMIF(Sales_Items!$A$2:$A$501,$A68,Sales_Items!$O$2:$O$501))</x:f>
      </x:c>
      <x:c r="AK68" s="9" t="str">
        <x:f>IF($A68="","",$AJ68*$L68/100)</x:f>
      </x:c>
      <x:c r="AL68" s="9" t="str">
        <x:f>IF($A68="","",MAX(0,$AJ68-$AK68))</x:f>
      </x:c>
      <x:c r="AM68" s="9" t="str">
        <x:f>IF($A68="","",MAX(0,$AL68*$M68/100))</x:f>
      </x:c>
      <x:c r="AN68" s="9" t="str">
        <x:f>IF($A68="","",MAX(0,$AL68*$N68/100))</x:f>
      </x:c>
      <x:c r="AO68" s="9" t="str">
        <x:f>IF($A68="","",MAX(0,$AL68*$O68/100))</x:f>
      </x:c>
      <x:c r="AP68" s="9" t="str">
        <x:f>IF($A68="","",MAX(0,$AL68+$AM68+$P68+$W68-$AN68-$AO68-$Q68))</x:f>
      </x:c>
    </x:row>
    <x:row r="69">
      <x:c r="A69" s="13"/>
      <x:c r="B69" s="7"/>
      <x:c r="C69" s="13"/>
      <x:c r="D69" s="14"/>
      <x:c r="E69" s="8"/>
      <x:c r="F69" s="13"/>
      <x:c r="G69" s="7"/>
      <x:c r="H69" s="7"/>
      <x:c r="I69" s="7"/>
      <x:c r="J69" s="13"/>
      <x:c r="K69" s="16"/>
      <x:c r="L69" s="10"/>
      <x:c r="M69" s="10"/>
      <x:c r="N69" s="10"/>
      <x:c r="O69" s="10"/>
      <x:c r="P69" s="9"/>
      <x:c r="Q69" s="9"/>
      <x:c r="R69" s="7"/>
      <x:c r="S69" s="7"/>
      <x:c r="T69" s="7"/>
      <x:c r="U69" s="7"/>
      <x:c r="V69" s="7"/>
      <x:c r="W69" s="9"/>
      <x:c r="X69" s="7"/>
      <x:c r="Y69" s="9"/>
      <x:c r="Z69" s="8"/>
      <x:c r="AA69" s="8"/>
      <x:c r="AB69" s="7"/>
      <x:c r="AC69" s="7"/>
      <x:c r="AD69" s="13"/>
      <x:c r="AE69" s="7"/>
      <x:c r="AF69" s="7"/>
      <x:c r="AG69" s="7"/>
      <x:c r="AH69" s="7"/>
      <x:c r="AI69" s="7"/>
      <x:c r="AJ69" s="9" t="str">
        <x:f>IF($A69="","",SUMIF(Sales_Items!$A$2:$A$501,$A69,Sales_Items!$O$2:$O$501))</x:f>
      </x:c>
      <x:c r="AK69" s="9" t="str">
        <x:f>IF($A69="","",$AJ69*$L69/100)</x:f>
      </x:c>
      <x:c r="AL69" s="9" t="str">
        <x:f>IF($A69="","",MAX(0,$AJ69-$AK69))</x:f>
      </x:c>
      <x:c r="AM69" s="9" t="str">
        <x:f>IF($A69="","",MAX(0,$AL69*$M69/100))</x:f>
      </x:c>
      <x:c r="AN69" s="9" t="str">
        <x:f>IF($A69="","",MAX(0,$AL69*$N69/100))</x:f>
      </x:c>
      <x:c r="AO69" s="9" t="str">
        <x:f>IF($A69="","",MAX(0,$AL69*$O69/100))</x:f>
      </x:c>
      <x:c r="AP69" s="9" t="str">
        <x:f>IF($A69="","",MAX(0,$AL69+$AM69+$P69+$W69-$AN69-$AO69-$Q69))</x:f>
      </x:c>
    </x:row>
    <x:row r="70">
      <x:c r="A70" s="13"/>
      <x:c r="B70" s="7"/>
      <x:c r="C70" s="13"/>
      <x:c r="D70" s="14"/>
      <x:c r="E70" s="8"/>
      <x:c r="F70" s="13"/>
      <x:c r="G70" s="7"/>
      <x:c r="H70" s="7"/>
      <x:c r="I70" s="7"/>
      <x:c r="J70" s="13"/>
      <x:c r="K70" s="16"/>
      <x:c r="L70" s="10"/>
      <x:c r="M70" s="10"/>
      <x:c r="N70" s="10"/>
      <x:c r="O70" s="10"/>
      <x:c r="P70" s="9"/>
      <x:c r="Q70" s="9"/>
      <x:c r="R70" s="7"/>
      <x:c r="S70" s="7"/>
      <x:c r="T70" s="7"/>
      <x:c r="U70" s="7"/>
      <x:c r="V70" s="7"/>
      <x:c r="W70" s="9"/>
      <x:c r="X70" s="7"/>
      <x:c r="Y70" s="9"/>
      <x:c r="Z70" s="8"/>
      <x:c r="AA70" s="8"/>
      <x:c r="AB70" s="7"/>
      <x:c r="AC70" s="7"/>
      <x:c r="AD70" s="13"/>
      <x:c r="AE70" s="7"/>
      <x:c r="AF70" s="7"/>
      <x:c r="AG70" s="7"/>
      <x:c r="AH70" s="7"/>
      <x:c r="AI70" s="7"/>
      <x:c r="AJ70" s="9" t="str">
        <x:f>IF($A70="","",SUMIF(Sales_Items!$A$2:$A$501,$A70,Sales_Items!$O$2:$O$501))</x:f>
      </x:c>
      <x:c r="AK70" s="9" t="str">
        <x:f>IF($A70="","",$AJ70*$L70/100)</x:f>
      </x:c>
      <x:c r="AL70" s="9" t="str">
        <x:f>IF($A70="","",MAX(0,$AJ70-$AK70))</x:f>
      </x:c>
      <x:c r="AM70" s="9" t="str">
        <x:f>IF($A70="","",MAX(0,$AL70*$M70/100))</x:f>
      </x:c>
      <x:c r="AN70" s="9" t="str">
        <x:f>IF($A70="","",MAX(0,$AL70*$N70/100))</x:f>
      </x:c>
      <x:c r="AO70" s="9" t="str">
        <x:f>IF($A70="","",MAX(0,$AL70*$O70/100))</x:f>
      </x:c>
      <x:c r="AP70" s="9" t="str">
        <x:f>IF($A70="","",MAX(0,$AL70+$AM70+$P70+$W70-$AN70-$AO70-$Q70))</x:f>
      </x:c>
    </x:row>
    <x:row r="71">
      <x:c r="A71" s="13"/>
      <x:c r="B71" s="7"/>
      <x:c r="C71" s="13"/>
      <x:c r="D71" s="14"/>
      <x:c r="E71" s="8"/>
      <x:c r="F71" s="13"/>
      <x:c r="G71" s="7"/>
      <x:c r="H71" s="7"/>
      <x:c r="I71" s="7"/>
      <x:c r="J71" s="13"/>
      <x:c r="K71" s="16"/>
      <x:c r="L71" s="10"/>
      <x:c r="M71" s="10"/>
      <x:c r="N71" s="10"/>
      <x:c r="O71" s="10"/>
      <x:c r="P71" s="9"/>
      <x:c r="Q71" s="9"/>
      <x:c r="R71" s="7"/>
      <x:c r="S71" s="7"/>
      <x:c r="T71" s="7"/>
      <x:c r="U71" s="7"/>
      <x:c r="V71" s="7"/>
      <x:c r="W71" s="9"/>
      <x:c r="X71" s="7"/>
      <x:c r="Y71" s="9"/>
      <x:c r="Z71" s="8"/>
      <x:c r="AA71" s="8"/>
      <x:c r="AB71" s="7"/>
      <x:c r="AC71" s="7"/>
      <x:c r="AD71" s="13"/>
      <x:c r="AE71" s="7"/>
      <x:c r="AF71" s="7"/>
      <x:c r="AG71" s="7"/>
      <x:c r="AH71" s="7"/>
      <x:c r="AI71" s="7"/>
      <x:c r="AJ71" s="9" t="str">
        <x:f>IF($A71="","",SUMIF(Sales_Items!$A$2:$A$501,$A71,Sales_Items!$O$2:$O$501))</x:f>
      </x:c>
      <x:c r="AK71" s="9" t="str">
        <x:f>IF($A71="","",$AJ71*$L71/100)</x:f>
      </x:c>
      <x:c r="AL71" s="9" t="str">
        <x:f>IF($A71="","",MAX(0,$AJ71-$AK71))</x:f>
      </x:c>
      <x:c r="AM71" s="9" t="str">
        <x:f>IF($A71="","",MAX(0,$AL71*$M71/100))</x:f>
      </x:c>
      <x:c r="AN71" s="9" t="str">
        <x:f>IF($A71="","",MAX(0,$AL71*$N71/100))</x:f>
      </x:c>
      <x:c r="AO71" s="9" t="str">
        <x:f>IF($A71="","",MAX(0,$AL71*$O71/100))</x:f>
      </x:c>
      <x:c r="AP71" s="9" t="str">
        <x:f>IF($A71="","",MAX(0,$AL71+$AM71+$P71+$W71-$AN71-$AO71-$Q71))</x:f>
      </x:c>
    </x:row>
    <x:row r="72">
      <x:c r="A72" s="13"/>
      <x:c r="B72" s="7"/>
      <x:c r="C72" s="13"/>
      <x:c r="D72" s="14"/>
      <x:c r="E72" s="8"/>
      <x:c r="F72" s="13"/>
      <x:c r="G72" s="7"/>
      <x:c r="H72" s="7"/>
      <x:c r="I72" s="7"/>
      <x:c r="J72" s="13"/>
      <x:c r="K72" s="16"/>
      <x:c r="L72" s="10"/>
      <x:c r="M72" s="10"/>
      <x:c r="N72" s="10"/>
      <x:c r="O72" s="10"/>
      <x:c r="P72" s="9"/>
      <x:c r="Q72" s="9"/>
      <x:c r="R72" s="7"/>
      <x:c r="S72" s="7"/>
      <x:c r="T72" s="7"/>
      <x:c r="U72" s="7"/>
      <x:c r="V72" s="7"/>
      <x:c r="W72" s="9"/>
      <x:c r="X72" s="7"/>
      <x:c r="Y72" s="9"/>
      <x:c r="Z72" s="8"/>
      <x:c r="AA72" s="8"/>
      <x:c r="AB72" s="7"/>
      <x:c r="AC72" s="7"/>
      <x:c r="AD72" s="13"/>
      <x:c r="AE72" s="7"/>
      <x:c r="AF72" s="7"/>
      <x:c r="AG72" s="7"/>
      <x:c r="AH72" s="7"/>
      <x:c r="AI72" s="7"/>
      <x:c r="AJ72" s="9" t="str">
        <x:f>IF($A72="","",SUMIF(Sales_Items!$A$2:$A$501,$A72,Sales_Items!$O$2:$O$501))</x:f>
      </x:c>
      <x:c r="AK72" s="9" t="str">
        <x:f>IF($A72="","",$AJ72*$L72/100)</x:f>
      </x:c>
      <x:c r="AL72" s="9" t="str">
        <x:f>IF($A72="","",MAX(0,$AJ72-$AK72))</x:f>
      </x:c>
      <x:c r="AM72" s="9" t="str">
        <x:f>IF($A72="","",MAX(0,$AL72*$M72/100))</x:f>
      </x:c>
      <x:c r="AN72" s="9" t="str">
        <x:f>IF($A72="","",MAX(0,$AL72*$N72/100))</x:f>
      </x:c>
      <x:c r="AO72" s="9" t="str">
        <x:f>IF($A72="","",MAX(0,$AL72*$O72/100))</x:f>
      </x:c>
      <x:c r="AP72" s="9" t="str">
        <x:f>IF($A72="","",MAX(0,$AL72+$AM72+$P72+$W72-$AN72-$AO72-$Q72))</x:f>
      </x:c>
    </x:row>
    <x:row r="73">
      <x:c r="A73" s="13"/>
      <x:c r="B73" s="7"/>
      <x:c r="C73" s="13"/>
      <x:c r="D73" s="14"/>
      <x:c r="E73" s="8"/>
      <x:c r="F73" s="13"/>
      <x:c r="G73" s="7"/>
      <x:c r="H73" s="7"/>
      <x:c r="I73" s="7"/>
      <x:c r="J73" s="13"/>
      <x:c r="K73" s="16"/>
      <x:c r="L73" s="10"/>
      <x:c r="M73" s="10"/>
      <x:c r="N73" s="10"/>
      <x:c r="O73" s="10"/>
      <x:c r="P73" s="9"/>
      <x:c r="Q73" s="9"/>
      <x:c r="R73" s="7"/>
      <x:c r="S73" s="7"/>
      <x:c r="T73" s="7"/>
      <x:c r="U73" s="7"/>
      <x:c r="V73" s="7"/>
      <x:c r="W73" s="9"/>
      <x:c r="X73" s="7"/>
      <x:c r="Y73" s="9"/>
      <x:c r="Z73" s="8"/>
      <x:c r="AA73" s="8"/>
      <x:c r="AB73" s="7"/>
      <x:c r="AC73" s="7"/>
      <x:c r="AD73" s="13"/>
      <x:c r="AE73" s="7"/>
      <x:c r="AF73" s="7"/>
      <x:c r="AG73" s="7"/>
      <x:c r="AH73" s="7"/>
      <x:c r="AI73" s="7"/>
      <x:c r="AJ73" s="9" t="str">
        <x:f>IF($A73="","",SUMIF(Sales_Items!$A$2:$A$501,$A73,Sales_Items!$O$2:$O$501))</x:f>
      </x:c>
      <x:c r="AK73" s="9" t="str">
        <x:f>IF($A73="","",$AJ73*$L73/100)</x:f>
      </x:c>
      <x:c r="AL73" s="9" t="str">
        <x:f>IF($A73="","",MAX(0,$AJ73-$AK73))</x:f>
      </x:c>
      <x:c r="AM73" s="9" t="str">
        <x:f>IF($A73="","",MAX(0,$AL73*$M73/100))</x:f>
      </x:c>
      <x:c r="AN73" s="9" t="str">
        <x:f>IF($A73="","",MAX(0,$AL73*$N73/100))</x:f>
      </x:c>
      <x:c r="AO73" s="9" t="str">
        <x:f>IF($A73="","",MAX(0,$AL73*$O73/100))</x:f>
      </x:c>
      <x:c r="AP73" s="9" t="str">
        <x:f>IF($A73="","",MAX(0,$AL73+$AM73+$P73+$W73-$AN73-$AO73-$Q73))</x:f>
      </x:c>
    </x:row>
    <x:row r="74">
      <x:c r="A74" s="13"/>
      <x:c r="B74" s="7"/>
      <x:c r="C74" s="13"/>
      <x:c r="D74" s="14"/>
      <x:c r="E74" s="8"/>
      <x:c r="F74" s="13"/>
      <x:c r="G74" s="7"/>
      <x:c r="H74" s="7"/>
      <x:c r="I74" s="7"/>
      <x:c r="J74" s="13"/>
      <x:c r="K74" s="16"/>
      <x:c r="L74" s="10"/>
      <x:c r="M74" s="10"/>
      <x:c r="N74" s="10"/>
      <x:c r="O74" s="10"/>
      <x:c r="P74" s="9"/>
      <x:c r="Q74" s="9"/>
      <x:c r="R74" s="7"/>
      <x:c r="S74" s="7"/>
      <x:c r="T74" s="7"/>
      <x:c r="U74" s="7"/>
      <x:c r="V74" s="7"/>
      <x:c r="W74" s="9"/>
      <x:c r="X74" s="7"/>
      <x:c r="Y74" s="9"/>
      <x:c r="Z74" s="8"/>
      <x:c r="AA74" s="8"/>
      <x:c r="AB74" s="7"/>
      <x:c r="AC74" s="7"/>
      <x:c r="AD74" s="13"/>
      <x:c r="AE74" s="7"/>
      <x:c r="AF74" s="7"/>
      <x:c r="AG74" s="7"/>
      <x:c r="AH74" s="7"/>
      <x:c r="AI74" s="7"/>
      <x:c r="AJ74" s="9" t="str">
        <x:f>IF($A74="","",SUMIF(Sales_Items!$A$2:$A$501,$A74,Sales_Items!$O$2:$O$501))</x:f>
      </x:c>
      <x:c r="AK74" s="9" t="str">
        <x:f>IF($A74="","",$AJ74*$L74/100)</x:f>
      </x:c>
      <x:c r="AL74" s="9" t="str">
        <x:f>IF($A74="","",MAX(0,$AJ74-$AK74))</x:f>
      </x:c>
      <x:c r="AM74" s="9" t="str">
        <x:f>IF($A74="","",MAX(0,$AL74*$M74/100))</x:f>
      </x:c>
      <x:c r="AN74" s="9" t="str">
        <x:f>IF($A74="","",MAX(0,$AL74*$N74/100))</x:f>
      </x:c>
      <x:c r="AO74" s="9" t="str">
        <x:f>IF($A74="","",MAX(0,$AL74*$O74/100))</x:f>
      </x:c>
      <x:c r="AP74" s="9" t="str">
        <x:f>IF($A74="","",MAX(0,$AL74+$AM74+$P74+$W74-$AN74-$AO74-$Q74))</x:f>
      </x:c>
    </x:row>
    <x:row r="75">
      <x:c r="A75" s="13"/>
      <x:c r="B75" s="7"/>
      <x:c r="C75" s="13"/>
      <x:c r="D75" s="14"/>
      <x:c r="E75" s="8"/>
      <x:c r="F75" s="13"/>
      <x:c r="G75" s="7"/>
      <x:c r="H75" s="7"/>
      <x:c r="I75" s="7"/>
      <x:c r="J75" s="13"/>
      <x:c r="K75" s="16"/>
      <x:c r="L75" s="10"/>
      <x:c r="M75" s="10"/>
      <x:c r="N75" s="10"/>
      <x:c r="O75" s="10"/>
      <x:c r="P75" s="9"/>
      <x:c r="Q75" s="9"/>
      <x:c r="R75" s="7"/>
      <x:c r="S75" s="7"/>
      <x:c r="T75" s="7"/>
      <x:c r="U75" s="7"/>
      <x:c r="V75" s="7"/>
      <x:c r="W75" s="9"/>
      <x:c r="X75" s="7"/>
      <x:c r="Y75" s="9"/>
      <x:c r="Z75" s="8"/>
      <x:c r="AA75" s="8"/>
      <x:c r="AB75" s="7"/>
      <x:c r="AC75" s="7"/>
      <x:c r="AD75" s="13"/>
      <x:c r="AE75" s="7"/>
      <x:c r="AF75" s="7"/>
      <x:c r="AG75" s="7"/>
      <x:c r="AH75" s="7"/>
      <x:c r="AI75" s="7"/>
      <x:c r="AJ75" s="9" t="str">
        <x:f>IF($A75="","",SUMIF(Sales_Items!$A$2:$A$501,$A75,Sales_Items!$O$2:$O$501))</x:f>
      </x:c>
      <x:c r="AK75" s="9" t="str">
        <x:f>IF($A75="","",$AJ75*$L75/100)</x:f>
      </x:c>
      <x:c r="AL75" s="9" t="str">
        <x:f>IF($A75="","",MAX(0,$AJ75-$AK75))</x:f>
      </x:c>
      <x:c r="AM75" s="9" t="str">
        <x:f>IF($A75="","",MAX(0,$AL75*$M75/100))</x:f>
      </x:c>
      <x:c r="AN75" s="9" t="str">
        <x:f>IF($A75="","",MAX(0,$AL75*$N75/100))</x:f>
      </x:c>
      <x:c r="AO75" s="9" t="str">
        <x:f>IF($A75="","",MAX(0,$AL75*$O75/100))</x:f>
      </x:c>
      <x:c r="AP75" s="9" t="str">
        <x:f>IF($A75="","",MAX(0,$AL75+$AM75+$P75+$W75-$AN75-$AO75-$Q75))</x:f>
      </x:c>
    </x:row>
    <x:row r="76">
      <x:c r="A76" s="13"/>
      <x:c r="B76" s="7"/>
      <x:c r="C76" s="13"/>
      <x:c r="D76" s="14"/>
      <x:c r="E76" s="8"/>
      <x:c r="F76" s="13"/>
      <x:c r="G76" s="7"/>
      <x:c r="H76" s="7"/>
      <x:c r="I76" s="7"/>
      <x:c r="J76" s="13"/>
      <x:c r="K76" s="16"/>
      <x:c r="L76" s="10"/>
      <x:c r="M76" s="10"/>
      <x:c r="N76" s="10"/>
      <x:c r="O76" s="10"/>
      <x:c r="P76" s="9"/>
      <x:c r="Q76" s="9"/>
      <x:c r="R76" s="7"/>
      <x:c r="S76" s="7"/>
      <x:c r="T76" s="7"/>
      <x:c r="U76" s="7"/>
      <x:c r="V76" s="7"/>
      <x:c r="W76" s="9"/>
      <x:c r="X76" s="7"/>
      <x:c r="Y76" s="9"/>
      <x:c r="Z76" s="8"/>
      <x:c r="AA76" s="8"/>
      <x:c r="AB76" s="7"/>
      <x:c r="AC76" s="7"/>
      <x:c r="AD76" s="13"/>
      <x:c r="AE76" s="7"/>
      <x:c r="AF76" s="7"/>
      <x:c r="AG76" s="7"/>
      <x:c r="AH76" s="7"/>
      <x:c r="AI76" s="7"/>
      <x:c r="AJ76" s="9" t="str">
        <x:f>IF($A76="","",SUMIF(Sales_Items!$A$2:$A$501,$A76,Sales_Items!$O$2:$O$501))</x:f>
      </x:c>
      <x:c r="AK76" s="9" t="str">
        <x:f>IF($A76="","",$AJ76*$L76/100)</x:f>
      </x:c>
      <x:c r="AL76" s="9" t="str">
        <x:f>IF($A76="","",MAX(0,$AJ76-$AK76))</x:f>
      </x:c>
      <x:c r="AM76" s="9" t="str">
        <x:f>IF($A76="","",MAX(0,$AL76*$M76/100))</x:f>
      </x:c>
      <x:c r="AN76" s="9" t="str">
        <x:f>IF($A76="","",MAX(0,$AL76*$N76/100))</x:f>
      </x:c>
      <x:c r="AO76" s="9" t="str">
        <x:f>IF($A76="","",MAX(0,$AL76*$O76/100))</x:f>
      </x:c>
      <x:c r="AP76" s="9" t="str">
        <x:f>IF($A76="","",MAX(0,$AL76+$AM76+$P76+$W76-$AN76-$AO76-$Q76))</x:f>
      </x:c>
    </x:row>
    <x:row r="77">
      <x:c r="A77" s="13"/>
      <x:c r="B77" s="7"/>
      <x:c r="C77" s="13"/>
      <x:c r="D77" s="14"/>
      <x:c r="E77" s="8"/>
      <x:c r="F77" s="13"/>
      <x:c r="G77" s="7"/>
      <x:c r="H77" s="7"/>
      <x:c r="I77" s="7"/>
      <x:c r="J77" s="13"/>
      <x:c r="K77" s="16"/>
      <x:c r="L77" s="10"/>
      <x:c r="M77" s="10"/>
      <x:c r="N77" s="10"/>
      <x:c r="O77" s="10"/>
      <x:c r="P77" s="9"/>
      <x:c r="Q77" s="9"/>
      <x:c r="R77" s="7"/>
      <x:c r="S77" s="7"/>
      <x:c r="T77" s="7"/>
      <x:c r="U77" s="7"/>
      <x:c r="V77" s="7"/>
      <x:c r="W77" s="9"/>
      <x:c r="X77" s="7"/>
      <x:c r="Y77" s="9"/>
      <x:c r="Z77" s="8"/>
      <x:c r="AA77" s="8"/>
      <x:c r="AB77" s="7"/>
      <x:c r="AC77" s="7"/>
      <x:c r="AD77" s="13"/>
      <x:c r="AE77" s="7"/>
      <x:c r="AF77" s="7"/>
      <x:c r="AG77" s="7"/>
      <x:c r="AH77" s="7"/>
      <x:c r="AI77" s="7"/>
      <x:c r="AJ77" s="9" t="str">
        <x:f>IF($A77="","",SUMIF(Sales_Items!$A$2:$A$501,$A77,Sales_Items!$O$2:$O$501))</x:f>
      </x:c>
      <x:c r="AK77" s="9" t="str">
        <x:f>IF($A77="","",$AJ77*$L77/100)</x:f>
      </x:c>
      <x:c r="AL77" s="9" t="str">
        <x:f>IF($A77="","",MAX(0,$AJ77-$AK77))</x:f>
      </x:c>
      <x:c r="AM77" s="9" t="str">
        <x:f>IF($A77="","",MAX(0,$AL77*$M77/100))</x:f>
      </x:c>
      <x:c r="AN77" s="9" t="str">
        <x:f>IF($A77="","",MAX(0,$AL77*$N77/100))</x:f>
      </x:c>
      <x:c r="AO77" s="9" t="str">
        <x:f>IF($A77="","",MAX(0,$AL77*$O77/100))</x:f>
      </x:c>
      <x:c r="AP77" s="9" t="str">
        <x:f>IF($A77="","",MAX(0,$AL77+$AM77+$P77+$W77-$AN77-$AO77-$Q77))</x:f>
      </x:c>
    </x:row>
    <x:row r="78">
      <x:c r="A78" s="13"/>
      <x:c r="B78" s="7"/>
      <x:c r="C78" s="13"/>
      <x:c r="D78" s="14"/>
      <x:c r="E78" s="8"/>
      <x:c r="F78" s="13"/>
      <x:c r="G78" s="7"/>
      <x:c r="H78" s="7"/>
      <x:c r="I78" s="7"/>
      <x:c r="J78" s="13"/>
      <x:c r="K78" s="16"/>
      <x:c r="L78" s="10"/>
      <x:c r="M78" s="10"/>
      <x:c r="N78" s="10"/>
      <x:c r="O78" s="10"/>
      <x:c r="P78" s="9"/>
      <x:c r="Q78" s="9"/>
      <x:c r="R78" s="7"/>
      <x:c r="S78" s="7"/>
      <x:c r="T78" s="7"/>
      <x:c r="U78" s="7"/>
      <x:c r="V78" s="7"/>
      <x:c r="W78" s="9"/>
      <x:c r="X78" s="7"/>
      <x:c r="Y78" s="9"/>
      <x:c r="Z78" s="8"/>
      <x:c r="AA78" s="8"/>
      <x:c r="AB78" s="7"/>
      <x:c r="AC78" s="7"/>
      <x:c r="AD78" s="13"/>
      <x:c r="AE78" s="7"/>
      <x:c r="AF78" s="7"/>
      <x:c r="AG78" s="7"/>
      <x:c r="AH78" s="7"/>
      <x:c r="AI78" s="7"/>
      <x:c r="AJ78" s="9" t="str">
        <x:f>IF($A78="","",SUMIF(Sales_Items!$A$2:$A$501,$A78,Sales_Items!$O$2:$O$501))</x:f>
      </x:c>
      <x:c r="AK78" s="9" t="str">
        <x:f>IF($A78="","",$AJ78*$L78/100)</x:f>
      </x:c>
      <x:c r="AL78" s="9" t="str">
        <x:f>IF($A78="","",MAX(0,$AJ78-$AK78))</x:f>
      </x:c>
      <x:c r="AM78" s="9" t="str">
        <x:f>IF($A78="","",MAX(0,$AL78*$M78/100))</x:f>
      </x:c>
      <x:c r="AN78" s="9" t="str">
        <x:f>IF($A78="","",MAX(0,$AL78*$N78/100))</x:f>
      </x:c>
      <x:c r="AO78" s="9" t="str">
        <x:f>IF($A78="","",MAX(0,$AL78*$O78/100))</x:f>
      </x:c>
      <x:c r="AP78" s="9" t="str">
        <x:f>IF($A78="","",MAX(0,$AL78+$AM78+$P78+$W78-$AN78-$AO78-$Q78))</x:f>
      </x:c>
    </x:row>
    <x:row r="79">
      <x:c r="A79" s="13"/>
      <x:c r="B79" s="7"/>
      <x:c r="C79" s="13"/>
      <x:c r="D79" s="14"/>
      <x:c r="E79" s="8"/>
      <x:c r="F79" s="13"/>
      <x:c r="G79" s="7"/>
      <x:c r="H79" s="7"/>
      <x:c r="I79" s="7"/>
      <x:c r="J79" s="13"/>
      <x:c r="K79" s="16"/>
      <x:c r="L79" s="10"/>
      <x:c r="M79" s="10"/>
      <x:c r="N79" s="10"/>
      <x:c r="O79" s="10"/>
      <x:c r="P79" s="9"/>
      <x:c r="Q79" s="9"/>
      <x:c r="R79" s="7"/>
      <x:c r="S79" s="7"/>
      <x:c r="T79" s="7"/>
      <x:c r="U79" s="7"/>
      <x:c r="V79" s="7"/>
      <x:c r="W79" s="9"/>
      <x:c r="X79" s="7"/>
      <x:c r="Y79" s="9"/>
      <x:c r="Z79" s="8"/>
      <x:c r="AA79" s="8"/>
      <x:c r="AB79" s="7"/>
      <x:c r="AC79" s="7"/>
      <x:c r="AD79" s="13"/>
      <x:c r="AE79" s="7"/>
      <x:c r="AF79" s="7"/>
      <x:c r="AG79" s="7"/>
      <x:c r="AH79" s="7"/>
      <x:c r="AI79" s="7"/>
      <x:c r="AJ79" s="9" t="str">
        <x:f>IF($A79="","",SUMIF(Sales_Items!$A$2:$A$501,$A79,Sales_Items!$O$2:$O$501))</x:f>
      </x:c>
      <x:c r="AK79" s="9" t="str">
        <x:f>IF($A79="","",$AJ79*$L79/100)</x:f>
      </x:c>
      <x:c r="AL79" s="9" t="str">
        <x:f>IF($A79="","",MAX(0,$AJ79-$AK79))</x:f>
      </x:c>
      <x:c r="AM79" s="9" t="str">
        <x:f>IF($A79="","",MAX(0,$AL79*$M79/100))</x:f>
      </x:c>
      <x:c r="AN79" s="9" t="str">
        <x:f>IF($A79="","",MAX(0,$AL79*$N79/100))</x:f>
      </x:c>
      <x:c r="AO79" s="9" t="str">
        <x:f>IF($A79="","",MAX(0,$AL79*$O79/100))</x:f>
      </x:c>
      <x:c r="AP79" s="9" t="str">
        <x:f>IF($A79="","",MAX(0,$AL79+$AM79+$P79+$W79-$AN79-$AO79-$Q79))</x:f>
      </x:c>
    </x:row>
    <x:row r="80">
      <x:c r="A80" s="13"/>
      <x:c r="B80" s="7"/>
      <x:c r="C80" s="13"/>
      <x:c r="D80" s="14"/>
      <x:c r="E80" s="8"/>
      <x:c r="F80" s="13"/>
      <x:c r="G80" s="7"/>
      <x:c r="H80" s="7"/>
      <x:c r="I80" s="7"/>
      <x:c r="J80" s="13"/>
      <x:c r="K80" s="16"/>
      <x:c r="L80" s="10"/>
      <x:c r="M80" s="10"/>
      <x:c r="N80" s="10"/>
      <x:c r="O80" s="10"/>
      <x:c r="P80" s="9"/>
      <x:c r="Q80" s="9"/>
      <x:c r="R80" s="7"/>
      <x:c r="S80" s="7"/>
      <x:c r="T80" s="7"/>
      <x:c r="U80" s="7"/>
      <x:c r="V80" s="7"/>
      <x:c r="W80" s="9"/>
      <x:c r="X80" s="7"/>
      <x:c r="Y80" s="9"/>
      <x:c r="Z80" s="8"/>
      <x:c r="AA80" s="8"/>
      <x:c r="AB80" s="7"/>
      <x:c r="AC80" s="7"/>
      <x:c r="AD80" s="13"/>
      <x:c r="AE80" s="7"/>
      <x:c r="AF80" s="7"/>
      <x:c r="AG80" s="7"/>
      <x:c r="AH80" s="7"/>
      <x:c r="AI80" s="7"/>
      <x:c r="AJ80" s="9" t="str">
        <x:f>IF($A80="","",SUMIF(Sales_Items!$A$2:$A$501,$A80,Sales_Items!$O$2:$O$501))</x:f>
      </x:c>
      <x:c r="AK80" s="9" t="str">
        <x:f>IF($A80="","",$AJ80*$L80/100)</x:f>
      </x:c>
      <x:c r="AL80" s="9" t="str">
        <x:f>IF($A80="","",MAX(0,$AJ80-$AK80))</x:f>
      </x:c>
      <x:c r="AM80" s="9" t="str">
        <x:f>IF($A80="","",MAX(0,$AL80*$M80/100))</x:f>
      </x:c>
      <x:c r="AN80" s="9" t="str">
        <x:f>IF($A80="","",MAX(0,$AL80*$N80/100))</x:f>
      </x:c>
      <x:c r="AO80" s="9" t="str">
        <x:f>IF($A80="","",MAX(0,$AL80*$O80/100))</x:f>
      </x:c>
      <x:c r="AP80" s="9" t="str">
        <x:f>IF($A80="","",MAX(0,$AL80+$AM80+$P80+$W80-$AN80-$AO80-$Q80))</x:f>
      </x:c>
    </x:row>
    <x:row r="81">
      <x:c r="A81" s="13"/>
      <x:c r="B81" s="7"/>
      <x:c r="C81" s="13"/>
      <x:c r="D81" s="14"/>
      <x:c r="E81" s="8"/>
      <x:c r="F81" s="13"/>
      <x:c r="G81" s="7"/>
      <x:c r="H81" s="7"/>
      <x:c r="I81" s="7"/>
      <x:c r="J81" s="13"/>
      <x:c r="K81" s="16"/>
      <x:c r="L81" s="10"/>
      <x:c r="M81" s="10"/>
      <x:c r="N81" s="10"/>
      <x:c r="O81" s="10"/>
      <x:c r="P81" s="9"/>
      <x:c r="Q81" s="9"/>
      <x:c r="R81" s="7"/>
      <x:c r="S81" s="7"/>
      <x:c r="T81" s="7"/>
      <x:c r="U81" s="7"/>
      <x:c r="V81" s="7"/>
      <x:c r="W81" s="9"/>
      <x:c r="X81" s="7"/>
      <x:c r="Y81" s="9"/>
      <x:c r="Z81" s="8"/>
      <x:c r="AA81" s="8"/>
      <x:c r="AB81" s="7"/>
      <x:c r="AC81" s="7"/>
      <x:c r="AD81" s="13"/>
      <x:c r="AE81" s="7"/>
      <x:c r="AF81" s="7"/>
      <x:c r="AG81" s="7"/>
      <x:c r="AH81" s="7"/>
      <x:c r="AI81" s="7"/>
      <x:c r="AJ81" s="9" t="str">
        <x:f>IF($A81="","",SUMIF(Sales_Items!$A$2:$A$501,$A81,Sales_Items!$O$2:$O$501))</x:f>
      </x:c>
      <x:c r="AK81" s="9" t="str">
        <x:f>IF($A81="","",$AJ81*$L81/100)</x:f>
      </x:c>
      <x:c r="AL81" s="9" t="str">
        <x:f>IF($A81="","",MAX(0,$AJ81-$AK81))</x:f>
      </x:c>
      <x:c r="AM81" s="9" t="str">
        <x:f>IF($A81="","",MAX(0,$AL81*$M81/100))</x:f>
      </x:c>
      <x:c r="AN81" s="9" t="str">
        <x:f>IF($A81="","",MAX(0,$AL81*$N81/100))</x:f>
      </x:c>
      <x:c r="AO81" s="9" t="str">
        <x:f>IF($A81="","",MAX(0,$AL81*$O81/100))</x:f>
      </x:c>
      <x:c r="AP81" s="9" t="str">
        <x:f>IF($A81="","",MAX(0,$AL81+$AM81+$P81+$W81-$AN81-$AO81-$Q81))</x:f>
      </x:c>
    </x:row>
    <x:row r="82">
      <x:c r="A82" s="13"/>
      <x:c r="B82" s="7"/>
      <x:c r="C82" s="13"/>
      <x:c r="D82" s="14"/>
      <x:c r="E82" s="8"/>
      <x:c r="F82" s="13"/>
      <x:c r="G82" s="7"/>
      <x:c r="H82" s="7"/>
      <x:c r="I82" s="7"/>
      <x:c r="J82" s="13"/>
      <x:c r="K82" s="16"/>
      <x:c r="L82" s="10"/>
      <x:c r="M82" s="10"/>
      <x:c r="N82" s="10"/>
      <x:c r="O82" s="10"/>
      <x:c r="P82" s="9"/>
      <x:c r="Q82" s="9"/>
      <x:c r="R82" s="7"/>
      <x:c r="S82" s="7"/>
      <x:c r="T82" s="7"/>
      <x:c r="U82" s="7"/>
      <x:c r="V82" s="7"/>
      <x:c r="W82" s="9"/>
      <x:c r="X82" s="7"/>
      <x:c r="Y82" s="9"/>
      <x:c r="Z82" s="8"/>
      <x:c r="AA82" s="8"/>
      <x:c r="AB82" s="7"/>
      <x:c r="AC82" s="7"/>
      <x:c r="AD82" s="13"/>
      <x:c r="AE82" s="7"/>
      <x:c r="AF82" s="7"/>
      <x:c r="AG82" s="7"/>
      <x:c r="AH82" s="7"/>
      <x:c r="AI82" s="7"/>
      <x:c r="AJ82" s="9" t="str">
        <x:f>IF($A82="","",SUMIF(Sales_Items!$A$2:$A$501,$A82,Sales_Items!$O$2:$O$501))</x:f>
      </x:c>
      <x:c r="AK82" s="9" t="str">
        <x:f>IF($A82="","",$AJ82*$L82/100)</x:f>
      </x:c>
      <x:c r="AL82" s="9" t="str">
        <x:f>IF($A82="","",MAX(0,$AJ82-$AK82))</x:f>
      </x:c>
      <x:c r="AM82" s="9" t="str">
        <x:f>IF($A82="","",MAX(0,$AL82*$M82/100))</x:f>
      </x:c>
      <x:c r="AN82" s="9" t="str">
        <x:f>IF($A82="","",MAX(0,$AL82*$N82/100))</x:f>
      </x:c>
      <x:c r="AO82" s="9" t="str">
        <x:f>IF($A82="","",MAX(0,$AL82*$O82/100))</x:f>
      </x:c>
      <x:c r="AP82" s="9" t="str">
        <x:f>IF($A82="","",MAX(0,$AL82+$AM82+$P82+$W82-$AN82-$AO82-$Q82))</x:f>
      </x:c>
    </x:row>
    <x:row r="83">
      <x:c r="A83" s="13"/>
      <x:c r="B83" s="7"/>
      <x:c r="C83" s="13"/>
      <x:c r="D83" s="14"/>
      <x:c r="E83" s="8"/>
      <x:c r="F83" s="13"/>
      <x:c r="G83" s="7"/>
      <x:c r="H83" s="7"/>
      <x:c r="I83" s="7"/>
      <x:c r="J83" s="13"/>
      <x:c r="K83" s="16"/>
      <x:c r="L83" s="10"/>
      <x:c r="M83" s="10"/>
      <x:c r="N83" s="10"/>
      <x:c r="O83" s="10"/>
      <x:c r="P83" s="9"/>
      <x:c r="Q83" s="9"/>
      <x:c r="R83" s="7"/>
      <x:c r="S83" s="7"/>
      <x:c r="T83" s="7"/>
      <x:c r="U83" s="7"/>
      <x:c r="V83" s="7"/>
      <x:c r="W83" s="9"/>
      <x:c r="X83" s="7"/>
      <x:c r="Y83" s="9"/>
      <x:c r="Z83" s="8"/>
      <x:c r="AA83" s="8"/>
      <x:c r="AB83" s="7"/>
      <x:c r="AC83" s="7"/>
      <x:c r="AD83" s="13"/>
      <x:c r="AE83" s="7"/>
      <x:c r="AF83" s="7"/>
      <x:c r="AG83" s="7"/>
      <x:c r="AH83" s="7"/>
      <x:c r="AI83" s="7"/>
      <x:c r="AJ83" s="9" t="str">
        <x:f>IF($A83="","",SUMIF(Sales_Items!$A$2:$A$501,$A83,Sales_Items!$O$2:$O$501))</x:f>
      </x:c>
      <x:c r="AK83" s="9" t="str">
        <x:f>IF($A83="","",$AJ83*$L83/100)</x:f>
      </x:c>
      <x:c r="AL83" s="9" t="str">
        <x:f>IF($A83="","",MAX(0,$AJ83-$AK83))</x:f>
      </x:c>
      <x:c r="AM83" s="9" t="str">
        <x:f>IF($A83="","",MAX(0,$AL83*$M83/100))</x:f>
      </x:c>
      <x:c r="AN83" s="9" t="str">
        <x:f>IF($A83="","",MAX(0,$AL83*$N83/100))</x:f>
      </x:c>
      <x:c r="AO83" s="9" t="str">
        <x:f>IF($A83="","",MAX(0,$AL83*$O83/100))</x:f>
      </x:c>
      <x:c r="AP83" s="9" t="str">
        <x:f>IF($A83="","",MAX(0,$AL83+$AM83+$P83+$W83-$AN83-$AO83-$Q83))</x:f>
      </x:c>
    </x:row>
    <x:row r="84">
      <x:c r="A84" s="13"/>
      <x:c r="B84" s="7"/>
      <x:c r="C84" s="13"/>
      <x:c r="D84" s="14"/>
      <x:c r="E84" s="8"/>
      <x:c r="F84" s="13"/>
      <x:c r="G84" s="7"/>
      <x:c r="H84" s="7"/>
      <x:c r="I84" s="7"/>
      <x:c r="J84" s="13"/>
      <x:c r="K84" s="16"/>
      <x:c r="L84" s="10"/>
      <x:c r="M84" s="10"/>
      <x:c r="N84" s="10"/>
      <x:c r="O84" s="10"/>
      <x:c r="P84" s="9"/>
      <x:c r="Q84" s="9"/>
      <x:c r="R84" s="7"/>
      <x:c r="S84" s="7"/>
      <x:c r="T84" s="7"/>
      <x:c r="U84" s="7"/>
      <x:c r="V84" s="7"/>
      <x:c r="W84" s="9"/>
      <x:c r="X84" s="7"/>
      <x:c r="Y84" s="9"/>
      <x:c r="Z84" s="8"/>
      <x:c r="AA84" s="8"/>
      <x:c r="AB84" s="7"/>
      <x:c r="AC84" s="7"/>
      <x:c r="AD84" s="13"/>
      <x:c r="AE84" s="7"/>
      <x:c r="AF84" s="7"/>
      <x:c r="AG84" s="7"/>
      <x:c r="AH84" s="7"/>
      <x:c r="AI84" s="7"/>
      <x:c r="AJ84" s="9" t="str">
        <x:f>IF($A84="","",SUMIF(Sales_Items!$A$2:$A$501,$A84,Sales_Items!$O$2:$O$501))</x:f>
      </x:c>
      <x:c r="AK84" s="9" t="str">
        <x:f>IF($A84="","",$AJ84*$L84/100)</x:f>
      </x:c>
      <x:c r="AL84" s="9" t="str">
        <x:f>IF($A84="","",MAX(0,$AJ84-$AK84))</x:f>
      </x:c>
      <x:c r="AM84" s="9" t="str">
        <x:f>IF($A84="","",MAX(0,$AL84*$M84/100))</x:f>
      </x:c>
      <x:c r="AN84" s="9" t="str">
        <x:f>IF($A84="","",MAX(0,$AL84*$N84/100))</x:f>
      </x:c>
      <x:c r="AO84" s="9" t="str">
        <x:f>IF($A84="","",MAX(0,$AL84*$O84/100))</x:f>
      </x:c>
      <x:c r="AP84" s="9" t="str">
        <x:f>IF($A84="","",MAX(0,$AL84+$AM84+$P84+$W84-$AN84-$AO84-$Q84))</x:f>
      </x:c>
    </x:row>
    <x:row r="85">
      <x:c r="A85" s="13"/>
      <x:c r="B85" s="7"/>
      <x:c r="C85" s="13"/>
      <x:c r="D85" s="14"/>
      <x:c r="E85" s="8"/>
      <x:c r="F85" s="13"/>
      <x:c r="G85" s="7"/>
      <x:c r="H85" s="7"/>
      <x:c r="I85" s="7"/>
      <x:c r="J85" s="13"/>
      <x:c r="K85" s="16"/>
      <x:c r="L85" s="10"/>
      <x:c r="M85" s="10"/>
      <x:c r="N85" s="10"/>
      <x:c r="O85" s="10"/>
      <x:c r="P85" s="9"/>
      <x:c r="Q85" s="9"/>
      <x:c r="R85" s="7"/>
      <x:c r="S85" s="7"/>
      <x:c r="T85" s="7"/>
      <x:c r="U85" s="7"/>
      <x:c r="V85" s="7"/>
      <x:c r="W85" s="9"/>
      <x:c r="X85" s="7"/>
      <x:c r="Y85" s="9"/>
      <x:c r="Z85" s="8"/>
      <x:c r="AA85" s="8"/>
      <x:c r="AB85" s="7"/>
      <x:c r="AC85" s="7"/>
      <x:c r="AD85" s="13"/>
      <x:c r="AE85" s="7"/>
      <x:c r="AF85" s="7"/>
      <x:c r="AG85" s="7"/>
      <x:c r="AH85" s="7"/>
      <x:c r="AI85" s="7"/>
      <x:c r="AJ85" s="9" t="str">
        <x:f>IF($A85="","",SUMIF(Sales_Items!$A$2:$A$501,$A85,Sales_Items!$O$2:$O$501))</x:f>
      </x:c>
      <x:c r="AK85" s="9" t="str">
        <x:f>IF($A85="","",$AJ85*$L85/100)</x:f>
      </x:c>
      <x:c r="AL85" s="9" t="str">
        <x:f>IF($A85="","",MAX(0,$AJ85-$AK85))</x:f>
      </x:c>
      <x:c r="AM85" s="9" t="str">
        <x:f>IF($A85="","",MAX(0,$AL85*$M85/100))</x:f>
      </x:c>
      <x:c r="AN85" s="9" t="str">
        <x:f>IF($A85="","",MAX(0,$AL85*$N85/100))</x:f>
      </x:c>
      <x:c r="AO85" s="9" t="str">
        <x:f>IF($A85="","",MAX(0,$AL85*$O85/100))</x:f>
      </x:c>
      <x:c r="AP85" s="9" t="str">
        <x:f>IF($A85="","",MAX(0,$AL85+$AM85+$P85+$W85-$AN85-$AO85-$Q85))</x:f>
      </x:c>
    </x:row>
    <x:row r="86">
      <x:c r="A86" s="13"/>
      <x:c r="B86" s="7"/>
      <x:c r="C86" s="13"/>
      <x:c r="D86" s="14"/>
      <x:c r="E86" s="8"/>
      <x:c r="F86" s="13"/>
      <x:c r="G86" s="7"/>
      <x:c r="H86" s="7"/>
      <x:c r="I86" s="7"/>
      <x:c r="J86" s="13"/>
      <x:c r="K86" s="16"/>
      <x:c r="L86" s="10"/>
      <x:c r="M86" s="10"/>
      <x:c r="N86" s="10"/>
      <x:c r="O86" s="10"/>
      <x:c r="P86" s="9"/>
      <x:c r="Q86" s="9"/>
      <x:c r="R86" s="7"/>
      <x:c r="S86" s="7"/>
      <x:c r="T86" s="7"/>
      <x:c r="U86" s="7"/>
      <x:c r="V86" s="7"/>
      <x:c r="W86" s="9"/>
      <x:c r="X86" s="7"/>
      <x:c r="Y86" s="9"/>
      <x:c r="Z86" s="8"/>
      <x:c r="AA86" s="8"/>
      <x:c r="AB86" s="7"/>
      <x:c r="AC86" s="7"/>
      <x:c r="AD86" s="13"/>
      <x:c r="AE86" s="7"/>
      <x:c r="AF86" s="7"/>
      <x:c r="AG86" s="7"/>
      <x:c r="AH86" s="7"/>
      <x:c r="AI86" s="7"/>
      <x:c r="AJ86" s="9" t="str">
        <x:f>IF($A86="","",SUMIF(Sales_Items!$A$2:$A$501,$A86,Sales_Items!$O$2:$O$501))</x:f>
      </x:c>
      <x:c r="AK86" s="9" t="str">
        <x:f>IF($A86="","",$AJ86*$L86/100)</x:f>
      </x:c>
      <x:c r="AL86" s="9" t="str">
        <x:f>IF($A86="","",MAX(0,$AJ86-$AK86))</x:f>
      </x:c>
      <x:c r="AM86" s="9" t="str">
        <x:f>IF($A86="","",MAX(0,$AL86*$M86/100))</x:f>
      </x:c>
      <x:c r="AN86" s="9" t="str">
        <x:f>IF($A86="","",MAX(0,$AL86*$N86/100))</x:f>
      </x:c>
      <x:c r="AO86" s="9" t="str">
        <x:f>IF($A86="","",MAX(0,$AL86*$O86/100))</x:f>
      </x:c>
      <x:c r="AP86" s="9" t="str">
        <x:f>IF($A86="","",MAX(0,$AL86+$AM86+$P86+$W86-$AN86-$AO86-$Q86))</x:f>
      </x:c>
    </x:row>
    <x:row r="87">
      <x:c r="A87" s="13"/>
      <x:c r="B87" s="7"/>
      <x:c r="C87" s="13"/>
      <x:c r="D87" s="14"/>
      <x:c r="E87" s="8"/>
      <x:c r="F87" s="13"/>
      <x:c r="G87" s="7"/>
      <x:c r="H87" s="7"/>
      <x:c r="I87" s="7"/>
      <x:c r="J87" s="13"/>
      <x:c r="K87" s="16"/>
      <x:c r="L87" s="10"/>
      <x:c r="M87" s="10"/>
      <x:c r="N87" s="10"/>
      <x:c r="O87" s="10"/>
      <x:c r="P87" s="9"/>
      <x:c r="Q87" s="9"/>
      <x:c r="R87" s="7"/>
      <x:c r="S87" s="7"/>
      <x:c r="T87" s="7"/>
      <x:c r="U87" s="7"/>
      <x:c r="V87" s="7"/>
      <x:c r="W87" s="9"/>
      <x:c r="X87" s="7"/>
      <x:c r="Y87" s="9"/>
      <x:c r="Z87" s="8"/>
      <x:c r="AA87" s="8"/>
      <x:c r="AB87" s="7"/>
      <x:c r="AC87" s="7"/>
      <x:c r="AD87" s="13"/>
      <x:c r="AE87" s="7"/>
      <x:c r="AF87" s="7"/>
      <x:c r="AG87" s="7"/>
      <x:c r="AH87" s="7"/>
      <x:c r="AI87" s="7"/>
      <x:c r="AJ87" s="9" t="str">
        <x:f>IF($A87="","",SUMIF(Sales_Items!$A$2:$A$501,$A87,Sales_Items!$O$2:$O$501))</x:f>
      </x:c>
      <x:c r="AK87" s="9" t="str">
        <x:f>IF($A87="","",$AJ87*$L87/100)</x:f>
      </x:c>
      <x:c r="AL87" s="9" t="str">
        <x:f>IF($A87="","",MAX(0,$AJ87-$AK87))</x:f>
      </x:c>
      <x:c r="AM87" s="9" t="str">
        <x:f>IF($A87="","",MAX(0,$AL87*$M87/100))</x:f>
      </x:c>
      <x:c r="AN87" s="9" t="str">
        <x:f>IF($A87="","",MAX(0,$AL87*$N87/100))</x:f>
      </x:c>
      <x:c r="AO87" s="9" t="str">
        <x:f>IF($A87="","",MAX(0,$AL87*$O87/100))</x:f>
      </x:c>
      <x:c r="AP87" s="9" t="str">
        <x:f>IF($A87="","",MAX(0,$AL87+$AM87+$P87+$W87-$AN87-$AO87-$Q87))</x:f>
      </x:c>
    </x:row>
    <x:row r="88">
      <x:c r="A88" s="13"/>
      <x:c r="B88" s="7"/>
      <x:c r="C88" s="13"/>
      <x:c r="D88" s="14"/>
      <x:c r="E88" s="8"/>
      <x:c r="F88" s="13"/>
      <x:c r="G88" s="7"/>
      <x:c r="H88" s="7"/>
      <x:c r="I88" s="7"/>
      <x:c r="J88" s="13"/>
      <x:c r="K88" s="16"/>
      <x:c r="L88" s="10"/>
      <x:c r="M88" s="10"/>
      <x:c r="N88" s="10"/>
      <x:c r="O88" s="10"/>
      <x:c r="P88" s="9"/>
      <x:c r="Q88" s="9"/>
      <x:c r="R88" s="7"/>
      <x:c r="S88" s="7"/>
      <x:c r="T88" s="7"/>
      <x:c r="U88" s="7"/>
      <x:c r="V88" s="7"/>
      <x:c r="W88" s="9"/>
      <x:c r="X88" s="7"/>
      <x:c r="Y88" s="9"/>
      <x:c r="Z88" s="8"/>
      <x:c r="AA88" s="8"/>
      <x:c r="AB88" s="7"/>
      <x:c r="AC88" s="7"/>
      <x:c r="AD88" s="13"/>
      <x:c r="AE88" s="7"/>
      <x:c r="AF88" s="7"/>
      <x:c r="AG88" s="7"/>
      <x:c r="AH88" s="7"/>
      <x:c r="AI88" s="7"/>
      <x:c r="AJ88" s="9" t="str">
        <x:f>IF($A88="","",SUMIF(Sales_Items!$A$2:$A$501,$A88,Sales_Items!$O$2:$O$501))</x:f>
      </x:c>
      <x:c r="AK88" s="9" t="str">
        <x:f>IF($A88="","",$AJ88*$L88/100)</x:f>
      </x:c>
      <x:c r="AL88" s="9" t="str">
        <x:f>IF($A88="","",MAX(0,$AJ88-$AK88))</x:f>
      </x:c>
      <x:c r="AM88" s="9" t="str">
        <x:f>IF($A88="","",MAX(0,$AL88*$M88/100))</x:f>
      </x:c>
      <x:c r="AN88" s="9" t="str">
        <x:f>IF($A88="","",MAX(0,$AL88*$N88/100))</x:f>
      </x:c>
      <x:c r="AO88" s="9" t="str">
        <x:f>IF($A88="","",MAX(0,$AL88*$O88/100))</x:f>
      </x:c>
      <x:c r="AP88" s="9" t="str">
        <x:f>IF($A88="","",MAX(0,$AL88+$AM88+$P88+$W88-$AN88-$AO88-$Q88))</x:f>
      </x:c>
    </x:row>
    <x:row r="89">
      <x:c r="A89" s="13"/>
      <x:c r="B89" s="7"/>
      <x:c r="C89" s="13"/>
      <x:c r="D89" s="14"/>
      <x:c r="E89" s="8"/>
      <x:c r="F89" s="13"/>
      <x:c r="G89" s="7"/>
      <x:c r="H89" s="7"/>
      <x:c r="I89" s="7"/>
      <x:c r="J89" s="13"/>
      <x:c r="K89" s="16"/>
      <x:c r="L89" s="10"/>
      <x:c r="M89" s="10"/>
      <x:c r="N89" s="10"/>
      <x:c r="O89" s="10"/>
      <x:c r="P89" s="9"/>
      <x:c r="Q89" s="9"/>
      <x:c r="R89" s="7"/>
      <x:c r="S89" s="7"/>
      <x:c r="T89" s="7"/>
      <x:c r="U89" s="7"/>
      <x:c r="V89" s="7"/>
      <x:c r="W89" s="9"/>
      <x:c r="X89" s="7"/>
      <x:c r="Y89" s="9"/>
      <x:c r="Z89" s="8"/>
      <x:c r="AA89" s="8"/>
      <x:c r="AB89" s="7"/>
      <x:c r="AC89" s="7"/>
      <x:c r="AD89" s="13"/>
      <x:c r="AE89" s="7"/>
      <x:c r="AF89" s="7"/>
      <x:c r="AG89" s="7"/>
      <x:c r="AH89" s="7"/>
      <x:c r="AI89" s="7"/>
      <x:c r="AJ89" s="9" t="str">
        <x:f>IF($A89="","",SUMIF(Sales_Items!$A$2:$A$501,$A89,Sales_Items!$O$2:$O$501))</x:f>
      </x:c>
      <x:c r="AK89" s="9" t="str">
        <x:f>IF($A89="","",$AJ89*$L89/100)</x:f>
      </x:c>
      <x:c r="AL89" s="9" t="str">
        <x:f>IF($A89="","",MAX(0,$AJ89-$AK89))</x:f>
      </x:c>
      <x:c r="AM89" s="9" t="str">
        <x:f>IF($A89="","",MAX(0,$AL89*$M89/100))</x:f>
      </x:c>
      <x:c r="AN89" s="9" t="str">
        <x:f>IF($A89="","",MAX(0,$AL89*$N89/100))</x:f>
      </x:c>
      <x:c r="AO89" s="9" t="str">
        <x:f>IF($A89="","",MAX(0,$AL89*$O89/100))</x:f>
      </x:c>
      <x:c r="AP89" s="9" t="str">
        <x:f>IF($A89="","",MAX(0,$AL89+$AM89+$P89+$W89-$AN89-$AO89-$Q89))</x:f>
      </x:c>
    </x:row>
    <x:row r="90">
      <x:c r="A90" s="13"/>
      <x:c r="B90" s="7"/>
      <x:c r="C90" s="13"/>
      <x:c r="D90" s="14"/>
      <x:c r="E90" s="8"/>
      <x:c r="F90" s="13"/>
      <x:c r="G90" s="7"/>
      <x:c r="H90" s="7"/>
      <x:c r="I90" s="7"/>
      <x:c r="J90" s="13"/>
      <x:c r="K90" s="16"/>
      <x:c r="L90" s="10"/>
      <x:c r="M90" s="10"/>
      <x:c r="N90" s="10"/>
      <x:c r="O90" s="10"/>
      <x:c r="P90" s="9"/>
      <x:c r="Q90" s="9"/>
      <x:c r="R90" s="7"/>
      <x:c r="S90" s="7"/>
      <x:c r="T90" s="7"/>
      <x:c r="U90" s="7"/>
      <x:c r="V90" s="7"/>
      <x:c r="W90" s="9"/>
      <x:c r="X90" s="7"/>
      <x:c r="Y90" s="9"/>
      <x:c r="Z90" s="8"/>
      <x:c r="AA90" s="8"/>
      <x:c r="AB90" s="7"/>
      <x:c r="AC90" s="7"/>
      <x:c r="AD90" s="13"/>
      <x:c r="AE90" s="7"/>
      <x:c r="AF90" s="7"/>
      <x:c r="AG90" s="7"/>
      <x:c r="AH90" s="7"/>
      <x:c r="AI90" s="7"/>
      <x:c r="AJ90" s="9" t="str">
        <x:f>IF($A90="","",SUMIF(Sales_Items!$A$2:$A$501,$A90,Sales_Items!$O$2:$O$501))</x:f>
      </x:c>
      <x:c r="AK90" s="9" t="str">
        <x:f>IF($A90="","",$AJ90*$L90/100)</x:f>
      </x:c>
      <x:c r="AL90" s="9" t="str">
        <x:f>IF($A90="","",MAX(0,$AJ90-$AK90))</x:f>
      </x:c>
      <x:c r="AM90" s="9" t="str">
        <x:f>IF($A90="","",MAX(0,$AL90*$M90/100))</x:f>
      </x:c>
      <x:c r="AN90" s="9" t="str">
        <x:f>IF($A90="","",MAX(0,$AL90*$N90/100))</x:f>
      </x:c>
      <x:c r="AO90" s="9" t="str">
        <x:f>IF($A90="","",MAX(0,$AL90*$O90/100))</x:f>
      </x:c>
      <x:c r="AP90" s="9" t="str">
        <x:f>IF($A90="","",MAX(0,$AL90+$AM90+$P90+$W90-$AN90-$AO90-$Q90))</x:f>
      </x:c>
    </x:row>
    <x:row r="91">
      <x:c r="A91" s="13"/>
      <x:c r="B91" s="7"/>
      <x:c r="C91" s="13"/>
      <x:c r="D91" s="14"/>
      <x:c r="E91" s="8"/>
      <x:c r="F91" s="13"/>
      <x:c r="G91" s="7"/>
      <x:c r="H91" s="7"/>
      <x:c r="I91" s="7"/>
      <x:c r="J91" s="13"/>
      <x:c r="K91" s="16"/>
      <x:c r="L91" s="10"/>
      <x:c r="M91" s="10"/>
      <x:c r="N91" s="10"/>
      <x:c r="O91" s="10"/>
      <x:c r="P91" s="9"/>
      <x:c r="Q91" s="9"/>
      <x:c r="R91" s="7"/>
      <x:c r="S91" s="7"/>
      <x:c r="T91" s="7"/>
      <x:c r="U91" s="7"/>
      <x:c r="V91" s="7"/>
      <x:c r="W91" s="9"/>
      <x:c r="X91" s="7"/>
      <x:c r="Y91" s="9"/>
      <x:c r="Z91" s="8"/>
      <x:c r="AA91" s="8"/>
      <x:c r="AB91" s="7"/>
      <x:c r="AC91" s="7"/>
      <x:c r="AD91" s="13"/>
      <x:c r="AE91" s="7"/>
      <x:c r="AF91" s="7"/>
      <x:c r="AG91" s="7"/>
      <x:c r="AH91" s="7"/>
      <x:c r="AI91" s="7"/>
      <x:c r="AJ91" s="9" t="str">
        <x:f>IF($A91="","",SUMIF(Sales_Items!$A$2:$A$501,$A91,Sales_Items!$O$2:$O$501))</x:f>
      </x:c>
      <x:c r="AK91" s="9" t="str">
        <x:f>IF($A91="","",$AJ91*$L91/100)</x:f>
      </x:c>
      <x:c r="AL91" s="9" t="str">
        <x:f>IF($A91="","",MAX(0,$AJ91-$AK91))</x:f>
      </x:c>
      <x:c r="AM91" s="9" t="str">
        <x:f>IF($A91="","",MAX(0,$AL91*$M91/100))</x:f>
      </x:c>
      <x:c r="AN91" s="9" t="str">
        <x:f>IF($A91="","",MAX(0,$AL91*$N91/100))</x:f>
      </x:c>
      <x:c r="AO91" s="9" t="str">
        <x:f>IF($A91="","",MAX(0,$AL91*$O91/100))</x:f>
      </x:c>
      <x:c r="AP91" s="9" t="str">
        <x:f>IF($A91="","",MAX(0,$AL91+$AM91+$P91+$W91-$AN91-$AO91-$Q91))</x:f>
      </x:c>
    </x:row>
    <x:row r="92">
      <x:c r="A92" s="13"/>
      <x:c r="B92" s="7"/>
      <x:c r="C92" s="13"/>
      <x:c r="D92" s="14"/>
      <x:c r="E92" s="8"/>
      <x:c r="F92" s="13"/>
      <x:c r="G92" s="7"/>
      <x:c r="H92" s="7"/>
      <x:c r="I92" s="7"/>
      <x:c r="J92" s="13"/>
      <x:c r="K92" s="16"/>
      <x:c r="L92" s="10"/>
      <x:c r="M92" s="10"/>
      <x:c r="N92" s="10"/>
      <x:c r="O92" s="10"/>
      <x:c r="P92" s="9"/>
      <x:c r="Q92" s="9"/>
      <x:c r="R92" s="7"/>
      <x:c r="S92" s="7"/>
      <x:c r="T92" s="7"/>
      <x:c r="U92" s="7"/>
      <x:c r="V92" s="7"/>
      <x:c r="W92" s="9"/>
      <x:c r="X92" s="7"/>
      <x:c r="Y92" s="9"/>
      <x:c r="Z92" s="8"/>
      <x:c r="AA92" s="8"/>
      <x:c r="AB92" s="7"/>
      <x:c r="AC92" s="7"/>
      <x:c r="AD92" s="13"/>
      <x:c r="AE92" s="7"/>
      <x:c r="AF92" s="7"/>
      <x:c r="AG92" s="7"/>
      <x:c r="AH92" s="7"/>
      <x:c r="AI92" s="7"/>
      <x:c r="AJ92" s="9" t="str">
        <x:f>IF($A92="","",SUMIF(Sales_Items!$A$2:$A$501,$A92,Sales_Items!$O$2:$O$501))</x:f>
      </x:c>
      <x:c r="AK92" s="9" t="str">
        <x:f>IF($A92="","",$AJ92*$L92/100)</x:f>
      </x:c>
      <x:c r="AL92" s="9" t="str">
        <x:f>IF($A92="","",MAX(0,$AJ92-$AK92))</x:f>
      </x:c>
      <x:c r="AM92" s="9" t="str">
        <x:f>IF($A92="","",MAX(0,$AL92*$M92/100))</x:f>
      </x:c>
      <x:c r="AN92" s="9" t="str">
        <x:f>IF($A92="","",MAX(0,$AL92*$N92/100))</x:f>
      </x:c>
      <x:c r="AO92" s="9" t="str">
        <x:f>IF($A92="","",MAX(0,$AL92*$O92/100))</x:f>
      </x:c>
      <x:c r="AP92" s="9" t="str">
        <x:f>IF($A92="","",MAX(0,$AL92+$AM92+$P92+$W92-$AN92-$AO92-$Q92))</x:f>
      </x:c>
    </x:row>
    <x:row r="93">
      <x:c r="A93" s="13"/>
      <x:c r="B93" s="7"/>
      <x:c r="C93" s="13"/>
      <x:c r="D93" s="14"/>
      <x:c r="E93" s="8"/>
      <x:c r="F93" s="13"/>
      <x:c r="G93" s="7"/>
      <x:c r="H93" s="7"/>
      <x:c r="I93" s="7"/>
      <x:c r="J93" s="13"/>
      <x:c r="K93" s="16"/>
      <x:c r="L93" s="10"/>
      <x:c r="M93" s="10"/>
      <x:c r="N93" s="10"/>
      <x:c r="O93" s="10"/>
      <x:c r="P93" s="9"/>
      <x:c r="Q93" s="9"/>
      <x:c r="R93" s="7"/>
      <x:c r="S93" s="7"/>
      <x:c r="T93" s="7"/>
      <x:c r="U93" s="7"/>
      <x:c r="V93" s="7"/>
      <x:c r="W93" s="9"/>
      <x:c r="X93" s="7"/>
      <x:c r="Y93" s="9"/>
      <x:c r="Z93" s="8"/>
      <x:c r="AA93" s="8"/>
      <x:c r="AB93" s="7"/>
      <x:c r="AC93" s="7"/>
      <x:c r="AD93" s="13"/>
      <x:c r="AE93" s="7"/>
      <x:c r="AF93" s="7"/>
      <x:c r="AG93" s="7"/>
      <x:c r="AH93" s="7"/>
      <x:c r="AI93" s="7"/>
      <x:c r="AJ93" s="9" t="str">
        <x:f>IF($A93="","",SUMIF(Sales_Items!$A$2:$A$501,$A93,Sales_Items!$O$2:$O$501))</x:f>
      </x:c>
      <x:c r="AK93" s="9" t="str">
        <x:f>IF($A93="","",$AJ93*$L93/100)</x:f>
      </x:c>
      <x:c r="AL93" s="9" t="str">
        <x:f>IF($A93="","",MAX(0,$AJ93-$AK93))</x:f>
      </x:c>
      <x:c r="AM93" s="9" t="str">
        <x:f>IF($A93="","",MAX(0,$AL93*$M93/100))</x:f>
      </x:c>
      <x:c r="AN93" s="9" t="str">
        <x:f>IF($A93="","",MAX(0,$AL93*$N93/100))</x:f>
      </x:c>
      <x:c r="AO93" s="9" t="str">
        <x:f>IF($A93="","",MAX(0,$AL93*$O93/100))</x:f>
      </x:c>
      <x:c r="AP93" s="9" t="str">
        <x:f>IF($A93="","",MAX(0,$AL93+$AM93+$P93+$W93-$AN93-$AO93-$Q93))</x:f>
      </x:c>
    </x:row>
    <x:row r="94">
      <x:c r="A94" s="13"/>
      <x:c r="B94" s="7"/>
      <x:c r="C94" s="13"/>
      <x:c r="D94" s="14"/>
      <x:c r="E94" s="8"/>
      <x:c r="F94" s="13"/>
      <x:c r="G94" s="7"/>
      <x:c r="H94" s="7"/>
      <x:c r="I94" s="7"/>
      <x:c r="J94" s="13"/>
      <x:c r="K94" s="16"/>
      <x:c r="L94" s="10"/>
      <x:c r="M94" s="10"/>
      <x:c r="N94" s="10"/>
      <x:c r="O94" s="10"/>
      <x:c r="P94" s="9"/>
      <x:c r="Q94" s="9"/>
      <x:c r="R94" s="7"/>
      <x:c r="S94" s="7"/>
      <x:c r="T94" s="7"/>
      <x:c r="U94" s="7"/>
      <x:c r="V94" s="7"/>
      <x:c r="W94" s="9"/>
      <x:c r="X94" s="7"/>
      <x:c r="Y94" s="9"/>
      <x:c r="Z94" s="8"/>
      <x:c r="AA94" s="8"/>
      <x:c r="AB94" s="7"/>
      <x:c r="AC94" s="7"/>
      <x:c r="AD94" s="13"/>
      <x:c r="AE94" s="7"/>
      <x:c r="AF94" s="7"/>
      <x:c r="AG94" s="7"/>
      <x:c r="AH94" s="7"/>
      <x:c r="AI94" s="7"/>
      <x:c r="AJ94" s="9" t="str">
        <x:f>IF($A94="","",SUMIF(Sales_Items!$A$2:$A$501,$A94,Sales_Items!$O$2:$O$501))</x:f>
      </x:c>
      <x:c r="AK94" s="9" t="str">
        <x:f>IF($A94="","",$AJ94*$L94/100)</x:f>
      </x:c>
      <x:c r="AL94" s="9" t="str">
        <x:f>IF($A94="","",MAX(0,$AJ94-$AK94))</x:f>
      </x:c>
      <x:c r="AM94" s="9" t="str">
        <x:f>IF($A94="","",MAX(0,$AL94*$M94/100))</x:f>
      </x:c>
      <x:c r="AN94" s="9" t="str">
        <x:f>IF($A94="","",MAX(0,$AL94*$N94/100))</x:f>
      </x:c>
      <x:c r="AO94" s="9" t="str">
        <x:f>IF($A94="","",MAX(0,$AL94*$O94/100))</x:f>
      </x:c>
      <x:c r="AP94" s="9" t="str">
        <x:f>IF($A94="","",MAX(0,$AL94+$AM94+$P94+$W94-$AN94-$AO94-$Q94))</x:f>
      </x:c>
    </x:row>
    <x:row r="95">
      <x:c r="A95" s="13"/>
      <x:c r="B95" s="7"/>
      <x:c r="C95" s="13"/>
      <x:c r="D95" s="14"/>
      <x:c r="E95" s="8"/>
      <x:c r="F95" s="13"/>
      <x:c r="G95" s="7"/>
      <x:c r="H95" s="7"/>
      <x:c r="I95" s="7"/>
      <x:c r="J95" s="13"/>
      <x:c r="K95" s="16"/>
      <x:c r="L95" s="10"/>
      <x:c r="M95" s="10"/>
      <x:c r="N95" s="10"/>
      <x:c r="O95" s="10"/>
      <x:c r="P95" s="9"/>
      <x:c r="Q95" s="9"/>
      <x:c r="R95" s="7"/>
      <x:c r="S95" s="7"/>
      <x:c r="T95" s="7"/>
      <x:c r="U95" s="7"/>
      <x:c r="V95" s="7"/>
      <x:c r="W95" s="9"/>
      <x:c r="X95" s="7"/>
      <x:c r="Y95" s="9"/>
      <x:c r="Z95" s="8"/>
      <x:c r="AA95" s="8"/>
      <x:c r="AB95" s="7"/>
      <x:c r="AC95" s="7"/>
      <x:c r="AD95" s="13"/>
      <x:c r="AE95" s="7"/>
      <x:c r="AF95" s="7"/>
      <x:c r="AG95" s="7"/>
      <x:c r="AH95" s="7"/>
      <x:c r="AI95" s="7"/>
      <x:c r="AJ95" s="9" t="str">
        <x:f>IF($A95="","",SUMIF(Sales_Items!$A$2:$A$501,$A95,Sales_Items!$O$2:$O$501))</x:f>
      </x:c>
      <x:c r="AK95" s="9" t="str">
        <x:f>IF($A95="","",$AJ95*$L95/100)</x:f>
      </x:c>
      <x:c r="AL95" s="9" t="str">
        <x:f>IF($A95="","",MAX(0,$AJ95-$AK95))</x:f>
      </x:c>
      <x:c r="AM95" s="9" t="str">
        <x:f>IF($A95="","",MAX(0,$AL95*$M95/100))</x:f>
      </x:c>
      <x:c r="AN95" s="9" t="str">
        <x:f>IF($A95="","",MAX(0,$AL95*$N95/100))</x:f>
      </x:c>
      <x:c r="AO95" s="9" t="str">
        <x:f>IF($A95="","",MAX(0,$AL95*$O95/100))</x:f>
      </x:c>
      <x:c r="AP95" s="9" t="str">
        <x:f>IF($A95="","",MAX(0,$AL95+$AM95+$P95+$W95-$AN95-$AO95-$Q95))</x:f>
      </x:c>
    </x:row>
    <x:row r="96">
      <x:c r="A96" s="13"/>
      <x:c r="B96" s="7"/>
      <x:c r="C96" s="13"/>
      <x:c r="D96" s="14"/>
      <x:c r="E96" s="8"/>
      <x:c r="F96" s="13"/>
      <x:c r="G96" s="7"/>
      <x:c r="H96" s="7"/>
      <x:c r="I96" s="7"/>
      <x:c r="J96" s="13"/>
      <x:c r="K96" s="16"/>
      <x:c r="L96" s="10"/>
      <x:c r="M96" s="10"/>
      <x:c r="N96" s="10"/>
      <x:c r="O96" s="10"/>
      <x:c r="P96" s="9"/>
      <x:c r="Q96" s="9"/>
      <x:c r="R96" s="7"/>
      <x:c r="S96" s="7"/>
      <x:c r="T96" s="7"/>
      <x:c r="U96" s="7"/>
      <x:c r="V96" s="7"/>
      <x:c r="W96" s="9"/>
      <x:c r="X96" s="7"/>
      <x:c r="Y96" s="9"/>
      <x:c r="Z96" s="8"/>
      <x:c r="AA96" s="8"/>
      <x:c r="AB96" s="7"/>
      <x:c r="AC96" s="7"/>
      <x:c r="AD96" s="13"/>
      <x:c r="AE96" s="7"/>
      <x:c r="AF96" s="7"/>
      <x:c r="AG96" s="7"/>
      <x:c r="AH96" s="7"/>
      <x:c r="AI96" s="7"/>
      <x:c r="AJ96" s="9" t="str">
        <x:f>IF($A96="","",SUMIF(Sales_Items!$A$2:$A$501,$A96,Sales_Items!$O$2:$O$501))</x:f>
      </x:c>
      <x:c r="AK96" s="9" t="str">
        <x:f>IF($A96="","",$AJ96*$L96/100)</x:f>
      </x:c>
      <x:c r="AL96" s="9" t="str">
        <x:f>IF($A96="","",MAX(0,$AJ96-$AK96))</x:f>
      </x:c>
      <x:c r="AM96" s="9" t="str">
        <x:f>IF($A96="","",MAX(0,$AL96*$M96/100))</x:f>
      </x:c>
      <x:c r="AN96" s="9" t="str">
        <x:f>IF($A96="","",MAX(0,$AL96*$N96/100))</x:f>
      </x:c>
      <x:c r="AO96" s="9" t="str">
        <x:f>IF($A96="","",MAX(0,$AL96*$O96/100))</x:f>
      </x:c>
      <x:c r="AP96" s="9" t="str">
        <x:f>IF($A96="","",MAX(0,$AL96+$AM96+$P96+$W96-$AN96-$AO96-$Q96))</x:f>
      </x:c>
    </x:row>
    <x:row r="97">
      <x:c r="A97" s="13"/>
      <x:c r="B97" s="7"/>
      <x:c r="C97" s="13"/>
      <x:c r="D97" s="14"/>
      <x:c r="E97" s="8"/>
      <x:c r="F97" s="13"/>
      <x:c r="G97" s="7"/>
      <x:c r="H97" s="7"/>
      <x:c r="I97" s="7"/>
      <x:c r="J97" s="13"/>
      <x:c r="K97" s="16"/>
      <x:c r="L97" s="10"/>
      <x:c r="M97" s="10"/>
      <x:c r="N97" s="10"/>
      <x:c r="O97" s="10"/>
      <x:c r="P97" s="9"/>
      <x:c r="Q97" s="9"/>
      <x:c r="R97" s="7"/>
      <x:c r="S97" s="7"/>
      <x:c r="T97" s="7"/>
      <x:c r="U97" s="7"/>
      <x:c r="V97" s="7"/>
      <x:c r="W97" s="9"/>
      <x:c r="X97" s="7"/>
      <x:c r="Y97" s="9"/>
      <x:c r="Z97" s="8"/>
      <x:c r="AA97" s="8"/>
      <x:c r="AB97" s="7"/>
      <x:c r="AC97" s="7"/>
      <x:c r="AD97" s="13"/>
      <x:c r="AE97" s="7"/>
      <x:c r="AF97" s="7"/>
      <x:c r="AG97" s="7"/>
      <x:c r="AH97" s="7"/>
      <x:c r="AI97" s="7"/>
      <x:c r="AJ97" s="9" t="str">
        <x:f>IF($A97="","",SUMIF(Sales_Items!$A$2:$A$501,$A97,Sales_Items!$O$2:$O$501))</x:f>
      </x:c>
      <x:c r="AK97" s="9" t="str">
        <x:f>IF($A97="","",$AJ97*$L97/100)</x:f>
      </x:c>
      <x:c r="AL97" s="9" t="str">
        <x:f>IF($A97="","",MAX(0,$AJ97-$AK97))</x:f>
      </x:c>
      <x:c r="AM97" s="9" t="str">
        <x:f>IF($A97="","",MAX(0,$AL97*$M97/100))</x:f>
      </x:c>
      <x:c r="AN97" s="9" t="str">
        <x:f>IF($A97="","",MAX(0,$AL97*$N97/100))</x:f>
      </x:c>
      <x:c r="AO97" s="9" t="str">
        <x:f>IF($A97="","",MAX(0,$AL97*$O97/100))</x:f>
      </x:c>
      <x:c r="AP97" s="9" t="str">
        <x:f>IF($A97="","",MAX(0,$AL97+$AM97+$P97+$W97-$AN97-$AO97-$Q97))</x:f>
      </x:c>
    </x:row>
    <x:row r="98">
      <x:c r="A98" s="13"/>
      <x:c r="B98" s="7"/>
      <x:c r="C98" s="13"/>
      <x:c r="D98" s="14"/>
      <x:c r="E98" s="8"/>
      <x:c r="F98" s="13"/>
      <x:c r="G98" s="7"/>
      <x:c r="H98" s="7"/>
      <x:c r="I98" s="7"/>
      <x:c r="J98" s="13"/>
      <x:c r="K98" s="16"/>
      <x:c r="L98" s="10"/>
      <x:c r="M98" s="10"/>
      <x:c r="N98" s="10"/>
      <x:c r="O98" s="10"/>
      <x:c r="P98" s="9"/>
      <x:c r="Q98" s="9"/>
      <x:c r="R98" s="7"/>
      <x:c r="S98" s="7"/>
      <x:c r="T98" s="7"/>
      <x:c r="U98" s="7"/>
      <x:c r="V98" s="7"/>
      <x:c r="W98" s="9"/>
      <x:c r="X98" s="7"/>
      <x:c r="Y98" s="9"/>
      <x:c r="Z98" s="8"/>
      <x:c r="AA98" s="8"/>
      <x:c r="AB98" s="7"/>
      <x:c r="AC98" s="7"/>
      <x:c r="AD98" s="13"/>
      <x:c r="AE98" s="7"/>
      <x:c r="AF98" s="7"/>
      <x:c r="AG98" s="7"/>
      <x:c r="AH98" s="7"/>
      <x:c r="AI98" s="7"/>
      <x:c r="AJ98" s="9" t="str">
        <x:f>IF($A98="","",SUMIF(Sales_Items!$A$2:$A$501,$A98,Sales_Items!$O$2:$O$501))</x:f>
      </x:c>
      <x:c r="AK98" s="9" t="str">
        <x:f>IF($A98="","",$AJ98*$L98/100)</x:f>
      </x:c>
      <x:c r="AL98" s="9" t="str">
        <x:f>IF($A98="","",MAX(0,$AJ98-$AK98))</x:f>
      </x:c>
      <x:c r="AM98" s="9" t="str">
        <x:f>IF($A98="","",MAX(0,$AL98*$M98/100))</x:f>
      </x:c>
      <x:c r="AN98" s="9" t="str">
        <x:f>IF($A98="","",MAX(0,$AL98*$N98/100))</x:f>
      </x:c>
      <x:c r="AO98" s="9" t="str">
        <x:f>IF($A98="","",MAX(0,$AL98*$O98/100))</x:f>
      </x:c>
      <x:c r="AP98" s="9" t="str">
        <x:f>IF($A98="","",MAX(0,$AL98+$AM98+$P98+$W98-$AN98-$AO98-$Q98))</x:f>
      </x:c>
    </x:row>
    <x:row r="99">
      <x:c r="A99" s="13"/>
      <x:c r="B99" s="7"/>
      <x:c r="C99" s="13"/>
      <x:c r="D99" s="14"/>
      <x:c r="E99" s="8"/>
      <x:c r="F99" s="13"/>
      <x:c r="G99" s="7"/>
      <x:c r="H99" s="7"/>
      <x:c r="I99" s="7"/>
      <x:c r="J99" s="13"/>
      <x:c r="K99" s="16"/>
      <x:c r="L99" s="10"/>
      <x:c r="M99" s="10"/>
      <x:c r="N99" s="10"/>
      <x:c r="O99" s="10"/>
      <x:c r="P99" s="9"/>
      <x:c r="Q99" s="9"/>
      <x:c r="R99" s="7"/>
      <x:c r="S99" s="7"/>
      <x:c r="T99" s="7"/>
      <x:c r="U99" s="7"/>
      <x:c r="V99" s="7"/>
      <x:c r="W99" s="9"/>
      <x:c r="X99" s="7"/>
      <x:c r="Y99" s="9"/>
      <x:c r="Z99" s="8"/>
      <x:c r="AA99" s="8"/>
      <x:c r="AB99" s="7"/>
      <x:c r="AC99" s="7"/>
      <x:c r="AD99" s="13"/>
      <x:c r="AE99" s="7"/>
      <x:c r="AF99" s="7"/>
      <x:c r="AG99" s="7"/>
      <x:c r="AH99" s="7"/>
      <x:c r="AI99" s="7"/>
      <x:c r="AJ99" s="9" t="str">
        <x:f>IF($A99="","",SUMIF(Sales_Items!$A$2:$A$501,$A99,Sales_Items!$O$2:$O$501))</x:f>
      </x:c>
      <x:c r="AK99" s="9" t="str">
        <x:f>IF($A99="","",$AJ99*$L99/100)</x:f>
      </x:c>
      <x:c r="AL99" s="9" t="str">
        <x:f>IF($A99="","",MAX(0,$AJ99-$AK99))</x:f>
      </x:c>
      <x:c r="AM99" s="9" t="str">
        <x:f>IF($A99="","",MAX(0,$AL99*$M99/100))</x:f>
      </x:c>
      <x:c r="AN99" s="9" t="str">
        <x:f>IF($A99="","",MAX(0,$AL99*$N99/100))</x:f>
      </x:c>
      <x:c r="AO99" s="9" t="str">
        <x:f>IF($A99="","",MAX(0,$AL99*$O99/100))</x:f>
      </x:c>
      <x:c r="AP99" s="9" t="str">
        <x:f>IF($A99="","",MAX(0,$AL99+$AM99+$P99+$W99-$AN99-$AO99-$Q99))</x:f>
      </x:c>
    </x:row>
    <x:row r="100">
      <x:c r="A100" s="13"/>
      <x:c r="B100" s="7"/>
      <x:c r="C100" s="13"/>
      <x:c r="D100" s="14"/>
      <x:c r="E100" s="8"/>
      <x:c r="F100" s="13"/>
      <x:c r="G100" s="7"/>
      <x:c r="H100" s="7"/>
      <x:c r="I100" s="7"/>
      <x:c r="J100" s="13"/>
      <x:c r="K100" s="16"/>
      <x:c r="L100" s="10"/>
      <x:c r="M100" s="10"/>
      <x:c r="N100" s="10"/>
      <x:c r="O100" s="10"/>
      <x:c r="P100" s="9"/>
      <x:c r="Q100" s="9"/>
      <x:c r="R100" s="7"/>
      <x:c r="S100" s="7"/>
      <x:c r="T100" s="7"/>
      <x:c r="U100" s="7"/>
      <x:c r="V100" s="7"/>
      <x:c r="W100" s="9"/>
      <x:c r="X100" s="7"/>
      <x:c r="Y100" s="9"/>
      <x:c r="Z100" s="8"/>
      <x:c r="AA100" s="8"/>
      <x:c r="AB100" s="7"/>
      <x:c r="AC100" s="7"/>
      <x:c r="AD100" s="13"/>
      <x:c r="AE100" s="7"/>
      <x:c r="AF100" s="7"/>
      <x:c r="AG100" s="7"/>
      <x:c r="AH100" s="7"/>
      <x:c r="AI100" s="7"/>
      <x:c r="AJ100" s="9" t="str">
        <x:f>IF($A100="","",SUMIF(Sales_Items!$A$2:$A$501,$A100,Sales_Items!$O$2:$O$501))</x:f>
      </x:c>
      <x:c r="AK100" s="9" t="str">
        <x:f>IF($A100="","",$AJ100*$L100/100)</x:f>
      </x:c>
      <x:c r="AL100" s="9" t="str">
        <x:f>IF($A100="","",MAX(0,$AJ100-$AK100))</x:f>
      </x:c>
      <x:c r="AM100" s="9" t="str">
        <x:f>IF($A100="","",MAX(0,$AL100*$M100/100))</x:f>
      </x:c>
      <x:c r="AN100" s="9" t="str">
        <x:f>IF($A100="","",MAX(0,$AL100*$N100/100))</x:f>
      </x:c>
      <x:c r="AO100" s="9" t="str">
        <x:f>IF($A100="","",MAX(0,$AL100*$O100/100))</x:f>
      </x:c>
      <x:c r="AP100" s="9" t="str">
        <x:f>IF($A100="","",MAX(0,$AL100+$AM100+$P100+$W100-$AN100-$AO100-$Q100))</x:f>
      </x:c>
    </x:row>
    <x:row r="101">
      <x:c r="A101" s="13"/>
      <x:c r="B101" s="7"/>
      <x:c r="C101" s="13"/>
      <x:c r="D101" s="14"/>
      <x:c r="E101" s="8"/>
      <x:c r="F101" s="13"/>
      <x:c r="G101" s="7"/>
      <x:c r="H101" s="7"/>
      <x:c r="I101" s="7"/>
      <x:c r="J101" s="13"/>
      <x:c r="K101" s="16"/>
      <x:c r="L101" s="10"/>
      <x:c r="M101" s="10"/>
      <x:c r="N101" s="10"/>
      <x:c r="O101" s="10"/>
      <x:c r="P101" s="9"/>
      <x:c r="Q101" s="9"/>
      <x:c r="R101" s="7"/>
      <x:c r="S101" s="7"/>
      <x:c r="T101" s="7"/>
      <x:c r="U101" s="7"/>
      <x:c r="V101" s="7"/>
      <x:c r="W101" s="9"/>
      <x:c r="X101" s="7"/>
      <x:c r="Y101" s="9"/>
      <x:c r="Z101" s="8"/>
      <x:c r="AA101" s="8"/>
      <x:c r="AB101" s="7"/>
      <x:c r="AC101" s="7"/>
      <x:c r="AD101" s="13"/>
      <x:c r="AE101" s="7"/>
      <x:c r="AF101" s="7"/>
      <x:c r="AG101" s="7"/>
      <x:c r="AH101" s="7"/>
      <x:c r="AI101" s="7"/>
      <x:c r="AJ101" s="9" t="str">
        <x:f>IF($A101="","",SUMIF(Sales_Items!$A$2:$A$501,$A101,Sales_Items!$O$2:$O$501))</x:f>
      </x:c>
      <x:c r="AK101" s="9" t="str">
        <x:f>IF($A101="","",$AJ101*$L101/100)</x:f>
      </x:c>
      <x:c r="AL101" s="9" t="str">
        <x:f>IF($A101="","",MAX(0,$AJ101-$AK101))</x:f>
      </x:c>
      <x:c r="AM101" s="9" t="str">
        <x:f>IF($A101="","",MAX(0,$AL101*$M101/100))</x:f>
      </x:c>
      <x:c r="AN101" s="9" t="str">
        <x:f>IF($A101="","",MAX(0,$AL101*$N101/100))</x:f>
      </x:c>
      <x:c r="AO101" s="9" t="str">
        <x:f>IF($A101="","",MAX(0,$AL101*$O101/100))</x:f>
      </x:c>
      <x:c r="AP101" s="9" t="str">
        <x:f>IF($A101="","",MAX(0,$AL101+$AM101+$P101+$W101-$AN101-$AO101-$Q101))</x:f>
      </x:c>
    </x:row>
    <x:row r="102">
      <x:c r="A102" s="13"/>
      <x:c r="B102" s="7"/>
      <x:c r="C102" s="13"/>
      <x:c r="D102" s="14"/>
      <x:c r="E102" s="8"/>
      <x:c r="F102" s="13"/>
      <x:c r="G102" s="7"/>
      <x:c r="H102" s="7"/>
      <x:c r="I102" s="7"/>
      <x:c r="J102" s="13"/>
      <x:c r="K102" s="16"/>
      <x:c r="L102" s="10"/>
      <x:c r="M102" s="10"/>
      <x:c r="N102" s="10"/>
      <x:c r="O102" s="10"/>
      <x:c r="P102" s="9"/>
      <x:c r="Q102" s="9"/>
      <x:c r="R102" s="7"/>
      <x:c r="S102" s="7"/>
      <x:c r="T102" s="7"/>
      <x:c r="U102" s="7"/>
      <x:c r="V102" s="7"/>
      <x:c r="W102" s="9"/>
      <x:c r="X102" s="7"/>
      <x:c r="Y102" s="9"/>
      <x:c r="Z102" s="8"/>
      <x:c r="AA102" s="8"/>
      <x:c r="AB102" s="7"/>
      <x:c r="AC102" s="7"/>
      <x:c r="AD102" s="13"/>
      <x:c r="AE102" s="7"/>
      <x:c r="AF102" s="7"/>
      <x:c r="AG102" s="7"/>
      <x:c r="AH102" s="7"/>
      <x:c r="AI102" s="7"/>
      <x:c r="AJ102" s="9" t="str">
        <x:f>IF($A102="","",SUMIF(Sales_Items!$A$2:$A$501,$A102,Sales_Items!$O$2:$O$501))</x:f>
      </x:c>
      <x:c r="AK102" s="9" t="str">
        <x:f>IF($A102="","",$AJ102*$L102/100)</x:f>
      </x:c>
      <x:c r="AL102" s="9" t="str">
        <x:f>IF($A102="","",MAX(0,$AJ102-$AK102))</x:f>
      </x:c>
      <x:c r="AM102" s="9" t="str">
        <x:f>IF($A102="","",MAX(0,$AL102*$M102/100))</x:f>
      </x:c>
      <x:c r="AN102" s="9" t="str">
        <x:f>IF($A102="","",MAX(0,$AL102*$N102/100))</x:f>
      </x:c>
      <x:c r="AO102" s="9" t="str">
        <x:f>IF($A102="","",MAX(0,$AL102*$O102/100))</x:f>
      </x:c>
      <x:c r="AP102" s="9" t="str">
        <x:f>IF($A102="","",MAX(0,$AL102+$AM102+$P102+$W102-$AN102-$AO102-$Q102))</x:f>
      </x:c>
    </x:row>
    <x:row r="103">
      <x:c r="A103" s="13"/>
      <x:c r="B103" s="7"/>
      <x:c r="C103" s="13"/>
      <x:c r="D103" s="14"/>
      <x:c r="E103" s="8"/>
      <x:c r="F103" s="13"/>
      <x:c r="G103" s="7"/>
      <x:c r="H103" s="7"/>
      <x:c r="I103" s="7"/>
      <x:c r="J103" s="13"/>
      <x:c r="K103" s="16"/>
      <x:c r="L103" s="10"/>
      <x:c r="M103" s="10"/>
      <x:c r="N103" s="10"/>
      <x:c r="O103" s="10"/>
      <x:c r="P103" s="9"/>
      <x:c r="Q103" s="9"/>
      <x:c r="R103" s="7"/>
      <x:c r="S103" s="7"/>
      <x:c r="T103" s="7"/>
      <x:c r="U103" s="7"/>
      <x:c r="V103" s="7"/>
      <x:c r="W103" s="9"/>
      <x:c r="X103" s="7"/>
      <x:c r="Y103" s="9"/>
      <x:c r="Z103" s="8"/>
      <x:c r="AA103" s="8"/>
      <x:c r="AB103" s="7"/>
      <x:c r="AC103" s="7"/>
      <x:c r="AD103" s="13"/>
      <x:c r="AE103" s="7"/>
      <x:c r="AF103" s="7"/>
      <x:c r="AG103" s="7"/>
      <x:c r="AH103" s="7"/>
      <x:c r="AI103" s="7"/>
      <x:c r="AJ103" s="9" t="str">
        <x:f>IF($A103="","",SUMIF(Sales_Items!$A$2:$A$501,$A103,Sales_Items!$O$2:$O$501))</x:f>
      </x:c>
      <x:c r="AK103" s="9" t="str">
        <x:f>IF($A103="","",$AJ103*$L103/100)</x:f>
      </x:c>
      <x:c r="AL103" s="9" t="str">
        <x:f>IF($A103="","",MAX(0,$AJ103-$AK103))</x:f>
      </x:c>
      <x:c r="AM103" s="9" t="str">
        <x:f>IF($A103="","",MAX(0,$AL103*$M103/100))</x:f>
      </x:c>
      <x:c r="AN103" s="9" t="str">
        <x:f>IF($A103="","",MAX(0,$AL103*$N103/100))</x:f>
      </x:c>
      <x:c r="AO103" s="9" t="str">
        <x:f>IF($A103="","",MAX(0,$AL103*$O103/100))</x:f>
      </x:c>
      <x:c r="AP103" s="9" t="str">
        <x:f>IF($A103="","",MAX(0,$AL103+$AM103+$P103+$W103-$AN103-$AO103-$Q103))</x:f>
      </x:c>
    </x:row>
    <x:row r="104">
      <x:c r="A104" s="13"/>
      <x:c r="B104" s="7"/>
      <x:c r="C104" s="13"/>
      <x:c r="D104" s="14"/>
      <x:c r="E104" s="8"/>
      <x:c r="F104" s="13"/>
      <x:c r="G104" s="7"/>
      <x:c r="H104" s="7"/>
      <x:c r="I104" s="7"/>
      <x:c r="J104" s="13"/>
      <x:c r="K104" s="16"/>
      <x:c r="L104" s="10"/>
      <x:c r="M104" s="10"/>
      <x:c r="N104" s="10"/>
      <x:c r="O104" s="10"/>
      <x:c r="P104" s="9"/>
      <x:c r="Q104" s="9"/>
      <x:c r="R104" s="7"/>
      <x:c r="S104" s="7"/>
      <x:c r="T104" s="7"/>
      <x:c r="U104" s="7"/>
      <x:c r="V104" s="7"/>
      <x:c r="W104" s="9"/>
      <x:c r="X104" s="7"/>
      <x:c r="Y104" s="9"/>
      <x:c r="Z104" s="8"/>
      <x:c r="AA104" s="8"/>
      <x:c r="AB104" s="7"/>
      <x:c r="AC104" s="7"/>
      <x:c r="AD104" s="13"/>
      <x:c r="AE104" s="7"/>
      <x:c r="AF104" s="7"/>
      <x:c r="AG104" s="7"/>
      <x:c r="AH104" s="7"/>
      <x:c r="AI104" s="7"/>
      <x:c r="AJ104" s="9" t="str">
        <x:f>IF($A104="","",SUMIF(Sales_Items!$A$2:$A$501,$A104,Sales_Items!$O$2:$O$501))</x:f>
      </x:c>
      <x:c r="AK104" s="9" t="str">
        <x:f>IF($A104="","",$AJ104*$L104/100)</x:f>
      </x:c>
      <x:c r="AL104" s="9" t="str">
        <x:f>IF($A104="","",MAX(0,$AJ104-$AK104))</x:f>
      </x:c>
      <x:c r="AM104" s="9" t="str">
        <x:f>IF($A104="","",MAX(0,$AL104*$M104/100))</x:f>
      </x:c>
      <x:c r="AN104" s="9" t="str">
        <x:f>IF($A104="","",MAX(0,$AL104*$N104/100))</x:f>
      </x:c>
      <x:c r="AO104" s="9" t="str">
        <x:f>IF($A104="","",MAX(0,$AL104*$O104/100))</x:f>
      </x:c>
      <x:c r="AP104" s="9" t="str">
        <x:f>IF($A104="","",MAX(0,$AL104+$AM104+$P104+$W104-$AN104-$AO104-$Q104))</x:f>
      </x:c>
    </x:row>
    <x:row r="105">
      <x:c r="A105" s="13"/>
      <x:c r="B105" s="7"/>
      <x:c r="C105" s="13"/>
      <x:c r="D105" s="14"/>
      <x:c r="E105" s="8"/>
      <x:c r="F105" s="13"/>
      <x:c r="G105" s="7"/>
      <x:c r="H105" s="7"/>
      <x:c r="I105" s="7"/>
      <x:c r="J105" s="13"/>
      <x:c r="K105" s="16"/>
      <x:c r="L105" s="10"/>
      <x:c r="M105" s="10"/>
      <x:c r="N105" s="10"/>
      <x:c r="O105" s="10"/>
      <x:c r="P105" s="9"/>
      <x:c r="Q105" s="9"/>
      <x:c r="R105" s="7"/>
      <x:c r="S105" s="7"/>
      <x:c r="T105" s="7"/>
      <x:c r="U105" s="7"/>
      <x:c r="V105" s="7"/>
      <x:c r="W105" s="9"/>
      <x:c r="X105" s="7"/>
      <x:c r="Y105" s="9"/>
      <x:c r="Z105" s="8"/>
      <x:c r="AA105" s="8"/>
      <x:c r="AB105" s="7"/>
      <x:c r="AC105" s="7"/>
      <x:c r="AD105" s="13"/>
      <x:c r="AE105" s="7"/>
      <x:c r="AF105" s="7"/>
      <x:c r="AG105" s="7"/>
      <x:c r="AH105" s="7"/>
      <x:c r="AI105" s="7"/>
      <x:c r="AJ105" s="9" t="str">
        <x:f>IF($A105="","",SUMIF(Sales_Items!$A$2:$A$501,$A105,Sales_Items!$O$2:$O$501))</x:f>
      </x:c>
      <x:c r="AK105" s="9" t="str">
        <x:f>IF($A105="","",$AJ105*$L105/100)</x:f>
      </x:c>
      <x:c r="AL105" s="9" t="str">
        <x:f>IF($A105="","",MAX(0,$AJ105-$AK105))</x:f>
      </x:c>
      <x:c r="AM105" s="9" t="str">
        <x:f>IF($A105="","",MAX(0,$AL105*$M105/100))</x:f>
      </x:c>
      <x:c r="AN105" s="9" t="str">
        <x:f>IF($A105="","",MAX(0,$AL105*$N105/100))</x:f>
      </x:c>
      <x:c r="AO105" s="9" t="str">
        <x:f>IF($A105="","",MAX(0,$AL105*$O105/100))</x:f>
      </x:c>
      <x:c r="AP105" s="9" t="str">
        <x:f>IF($A105="","",MAX(0,$AL105+$AM105+$P105+$W105-$AN105-$AO105-$Q105))</x:f>
      </x:c>
    </x:row>
    <x:row r="106">
      <x:c r="A106" s="13"/>
      <x:c r="B106" s="7"/>
      <x:c r="C106" s="13"/>
      <x:c r="D106" s="14"/>
      <x:c r="E106" s="8"/>
      <x:c r="F106" s="13"/>
      <x:c r="G106" s="7"/>
      <x:c r="H106" s="7"/>
      <x:c r="I106" s="7"/>
      <x:c r="J106" s="13"/>
      <x:c r="K106" s="16"/>
      <x:c r="L106" s="10"/>
      <x:c r="M106" s="10"/>
      <x:c r="N106" s="10"/>
      <x:c r="O106" s="10"/>
      <x:c r="P106" s="9"/>
      <x:c r="Q106" s="9"/>
      <x:c r="R106" s="7"/>
      <x:c r="S106" s="7"/>
      <x:c r="T106" s="7"/>
      <x:c r="U106" s="7"/>
      <x:c r="V106" s="7"/>
      <x:c r="W106" s="9"/>
      <x:c r="X106" s="7"/>
      <x:c r="Y106" s="9"/>
      <x:c r="Z106" s="8"/>
      <x:c r="AA106" s="8"/>
      <x:c r="AB106" s="7"/>
      <x:c r="AC106" s="7"/>
      <x:c r="AD106" s="13"/>
      <x:c r="AE106" s="7"/>
      <x:c r="AF106" s="7"/>
      <x:c r="AG106" s="7"/>
      <x:c r="AH106" s="7"/>
      <x:c r="AI106" s="7"/>
      <x:c r="AJ106" s="9" t="str">
        <x:f>IF($A106="","",SUMIF(Sales_Items!$A$2:$A$501,$A106,Sales_Items!$O$2:$O$501))</x:f>
      </x:c>
      <x:c r="AK106" s="9" t="str">
        <x:f>IF($A106="","",$AJ106*$L106/100)</x:f>
      </x:c>
      <x:c r="AL106" s="9" t="str">
        <x:f>IF($A106="","",MAX(0,$AJ106-$AK106))</x:f>
      </x:c>
      <x:c r="AM106" s="9" t="str">
        <x:f>IF($A106="","",MAX(0,$AL106*$M106/100))</x:f>
      </x:c>
      <x:c r="AN106" s="9" t="str">
        <x:f>IF($A106="","",MAX(0,$AL106*$N106/100))</x:f>
      </x:c>
      <x:c r="AO106" s="9" t="str">
        <x:f>IF($A106="","",MAX(0,$AL106*$O106/100))</x:f>
      </x:c>
      <x:c r="AP106" s="9" t="str">
        <x:f>IF($A106="","",MAX(0,$AL106+$AM106+$P106+$W106-$AN106-$AO106-$Q106))</x:f>
      </x:c>
    </x:row>
    <x:row r="107">
      <x:c r="A107" s="13"/>
      <x:c r="B107" s="7"/>
      <x:c r="C107" s="13"/>
      <x:c r="D107" s="14"/>
      <x:c r="E107" s="8"/>
      <x:c r="F107" s="13"/>
      <x:c r="G107" s="7"/>
      <x:c r="H107" s="7"/>
      <x:c r="I107" s="7"/>
      <x:c r="J107" s="13"/>
      <x:c r="K107" s="16"/>
      <x:c r="L107" s="10"/>
      <x:c r="M107" s="10"/>
      <x:c r="N107" s="10"/>
      <x:c r="O107" s="10"/>
      <x:c r="P107" s="9"/>
      <x:c r="Q107" s="9"/>
      <x:c r="R107" s="7"/>
      <x:c r="S107" s="7"/>
      <x:c r="T107" s="7"/>
      <x:c r="U107" s="7"/>
      <x:c r="V107" s="7"/>
      <x:c r="W107" s="9"/>
      <x:c r="X107" s="7"/>
      <x:c r="Y107" s="9"/>
      <x:c r="Z107" s="8"/>
      <x:c r="AA107" s="8"/>
      <x:c r="AB107" s="7"/>
      <x:c r="AC107" s="7"/>
      <x:c r="AD107" s="13"/>
      <x:c r="AE107" s="7"/>
      <x:c r="AF107" s="7"/>
      <x:c r="AG107" s="7"/>
      <x:c r="AH107" s="7"/>
      <x:c r="AI107" s="7"/>
      <x:c r="AJ107" s="9" t="str">
        <x:f>IF($A107="","",SUMIF(Sales_Items!$A$2:$A$501,$A107,Sales_Items!$O$2:$O$501))</x:f>
      </x:c>
      <x:c r="AK107" s="9" t="str">
        <x:f>IF($A107="","",$AJ107*$L107/100)</x:f>
      </x:c>
      <x:c r="AL107" s="9" t="str">
        <x:f>IF($A107="","",MAX(0,$AJ107-$AK107))</x:f>
      </x:c>
      <x:c r="AM107" s="9" t="str">
        <x:f>IF($A107="","",MAX(0,$AL107*$M107/100))</x:f>
      </x:c>
      <x:c r="AN107" s="9" t="str">
        <x:f>IF($A107="","",MAX(0,$AL107*$N107/100))</x:f>
      </x:c>
      <x:c r="AO107" s="9" t="str">
        <x:f>IF($A107="","",MAX(0,$AL107*$O107/100))</x:f>
      </x:c>
      <x:c r="AP107" s="9" t="str">
        <x:f>IF($A107="","",MAX(0,$AL107+$AM107+$P107+$W107-$AN107-$AO107-$Q107))</x:f>
      </x:c>
    </x:row>
    <x:row r="108">
      <x:c r="A108" s="13"/>
      <x:c r="B108" s="7"/>
      <x:c r="C108" s="13"/>
      <x:c r="D108" s="14"/>
      <x:c r="E108" s="8"/>
      <x:c r="F108" s="13"/>
      <x:c r="G108" s="7"/>
      <x:c r="H108" s="7"/>
      <x:c r="I108" s="7"/>
      <x:c r="J108" s="13"/>
      <x:c r="K108" s="16"/>
      <x:c r="L108" s="10"/>
      <x:c r="M108" s="10"/>
      <x:c r="N108" s="10"/>
      <x:c r="O108" s="10"/>
      <x:c r="P108" s="9"/>
      <x:c r="Q108" s="9"/>
      <x:c r="R108" s="7"/>
      <x:c r="S108" s="7"/>
      <x:c r="T108" s="7"/>
      <x:c r="U108" s="7"/>
      <x:c r="V108" s="7"/>
      <x:c r="W108" s="9"/>
      <x:c r="X108" s="7"/>
      <x:c r="Y108" s="9"/>
      <x:c r="Z108" s="8"/>
      <x:c r="AA108" s="8"/>
      <x:c r="AB108" s="7"/>
      <x:c r="AC108" s="7"/>
      <x:c r="AD108" s="13"/>
      <x:c r="AE108" s="7"/>
      <x:c r="AF108" s="7"/>
      <x:c r="AG108" s="7"/>
      <x:c r="AH108" s="7"/>
      <x:c r="AI108" s="7"/>
      <x:c r="AJ108" s="9" t="str">
        <x:f>IF($A108="","",SUMIF(Sales_Items!$A$2:$A$501,$A108,Sales_Items!$O$2:$O$501))</x:f>
      </x:c>
      <x:c r="AK108" s="9" t="str">
        <x:f>IF($A108="","",$AJ108*$L108/100)</x:f>
      </x:c>
      <x:c r="AL108" s="9" t="str">
        <x:f>IF($A108="","",MAX(0,$AJ108-$AK108))</x:f>
      </x:c>
      <x:c r="AM108" s="9" t="str">
        <x:f>IF($A108="","",MAX(0,$AL108*$M108/100))</x:f>
      </x:c>
      <x:c r="AN108" s="9" t="str">
        <x:f>IF($A108="","",MAX(0,$AL108*$N108/100))</x:f>
      </x:c>
      <x:c r="AO108" s="9" t="str">
        <x:f>IF($A108="","",MAX(0,$AL108*$O108/100))</x:f>
      </x:c>
      <x:c r="AP108" s="9" t="str">
        <x:f>IF($A108="","",MAX(0,$AL108+$AM108+$P108+$W108-$AN108-$AO108-$Q108))</x:f>
      </x:c>
    </x:row>
    <x:row r="109">
      <x:c r="A109" s="13"/>
      <x:c r="B109" s="7"/>
      <x:c r="C109" s="13"/>
      <x:c r="D109" s="14"/>
      <x:c r="E109" s="8"/>
      <x:c r="F109" s="13"/>
      <x:c r="G109" s="7"/>
      <x:c r="H109" s="7"/>
      <x:c r="I109" s="7"/>
      <x:c r="J109" s="13"/>
      <x:c r="K109" s="16"/>
      <x:c r="L109" s="10"/>
      <x:c r="M109" s="10"/>
      <x:c r="N109" s="10"/>
      <x:c r="O109" s="10"/>
      <x:c r="P109" s="9"/>
      <x:c r="Q109" s="9"/>
      <x:c r="R109" s="7"/>
      <x:c r="S109" s="7"/>
      <x:c r="T109" s="7"/>
      <x:c r="U109" s="7"/>
      <x:c r="V109" s="7"/>
      <x:c r="W109" s="9"/>
      <x:c r="X109" s="7"/>
      <x:c r="Y109" s="9"/>
      <x:c r="Z109" s="8"/>
      <x:c r="AA109" s="8"/>
      <x:c r="AB109" s="7"/>
      <x:c r="AC109" s="7"/>
      <x:c r="AD109" s="13"/>
      <x:c r="AE109" s="7"/>
      <x:c r="AF109" s="7"/>
      <x:c r="AG109" s="7"/>
      <x:c r="AH109" s="7"/>
      <x:c r="AI109" s="7"/>
      <x:c r="AJ109" s="9" t="str">
        <x:f>IF($A109="","",SUMIF(Sales_Items!$A$2:$A$501,$A109,Sales_Items!$O$2:$O$501))</x:f>
      </x:c>
      <x:c r="AK109" s="9" t="str">
        <x:f>IF($A109="","",$AJ109*$L109/100)</x:f>
      </x:c>
      <x:c r="AL109" s="9" t="str">
        <x:f>IF($A109="","",MAX(0,$AJ109-$AK109))</x:f>
      </x:c>
      <x:c r="AM109" s="9" t="str">
        <x:f>IF($A109="","",MAX(0,$AL109*$M109/100))</x:f>
      </x:c>
      <x:c r="AN109" s="9" t="str">
        <x:f>IF($A109="","",MAX(0,$AL109*$N109/100))</x:f>
      </x:c>
      <x:c r="AO109" s="9" t="str">
        <x:f>IF($A109="","",MAX(0,$AL109*$O109/100))</x:f>
      </x:c>
      <x:c r="AP109" s="9" t="str">
        <x:f>IF($A109="","",MAX(0,$AL109+$AM109+$P109+$W109-$AN109-$AO109-$Q109))</x:f>
      </x:c>
    </x:row>
    <x:row r="110">
      <x:c r="A110" s="13"/>
      <x:c r="B110" s="7"/>
      <x:c r="C110" s="13"/>
      <x:c r="D110" s="14"/>
      <x:c r="E110" s="8"/>
      <x:c r="F110" s="13"/>
      <x:c r="G110" s="7"/>
      <x:c r="H110" s="7"/>
      <x:c r="I110" s="7"/>
      <x:c r="J110" s="13"/>
      <x:c r="K110" s="16"/>
      <x:c r="L110" s="10"/>
      <x:c r="M110" s="10"/>
      <x:c r="N110" s="10"/>
      <x:c r="O110" s="10"/>
      <x:c r="P110" s="9"/>
      <x:c r="Q110" s="9"/>
      <x:c r="R110" s="7"/>
      <x:c r="S110" s="7"/>
      <x:c r="T110" s="7"/>
      <x:c r="U110" s="7"/>
      <x:c r="V110" s="7"/>
      <x:c r="W110" s="9"/>
      <x:c r="X110" s="7"/>
      <x:c r="Y110" s="9"/>
      <x:c r="Z110" s="8"/>
      <x:c r="AA110" s="8"/>
      <x:c r="AB110" s="7"/>
      <x:c r="AC110" s="7"/>
      <x:c r="AD110" s="13"/>
      <x:c r="AE110" s="7"/>
      <x:c r="AF110" s="7"/>
      <x:c r="AG110" s="7"/>
      <x:c r="AH110" s="7"/>
      <x:c r="AI110" s="7"/>
      <x:c r="AJ110" s="9" t="str">
        <x:f>IF($A110="","",SUMIF(Sales_Items!$A$2:$A$501,$A110,Sales_Items!$O$2:$O$501))</x:f>
      </x:c>
      <x:c r="AK110" s="9" t="str">
        <x:f>IF($A110="","",$AJ110*$L110/100)</x:f>
      </x:c>
      <x:c r="AL110" s="9" t="str">
        <x:f>IF($A110="","",MAX(0,$AJ110-$AK110))</x:f>
      </x:c>
      <x:c r="AM110" s="9" t="str">
        <x:f>IF($A110="","",MAX(0,$AL110*$M110/100))</x:f>
      </x:c>
      <x:c r="AN110" s="9" t="str">
        <x:f>IF($A110="","",MAX(0,$AL110*$N110/100))</x:f>
      </x:c>
      <x:c r="AO110" s="9" t="str">
        <x:f>IF($A110="","",MAX(0,$AL110*$O110/100))</x:f>
      </x:c>
      <x:c r="AP110" s="9" t="str">
        <x:f>IF($A110="","",MAX(0,$AL110+$AM110+$P110+$W110-$AN110-$AO110-$Q110))</x:f>
      </x:c>
    </x:row>
    <x:row r="111">
      <x:c r="A111" s="13"/>
      <x:c r="B111" s="7"/>
      <x:c r="C111" s="13"/>
      <x:c r="D111" s="14"/>
      <x:c r="E111" s="8"/>
      <x:c r="F111" s="13"/>
      <x:c r="G111" s="7"/>
      <x:c r="H111" s="7"/>
      <x:c r="I111" s="7"/>
      <x:c r="J111" s="13"/>
      <x:c r="K111" s="16"/>
      <x:c r="L111" s="10"/>
      <x:c r="M111" s="10"/>
      <x:c r="N111" s="10"/>
      <x:c r="O111" s="10"/>
      <x:c r="P111" s="9"/>
      <x:c r="Q111" s="9"/>
      <x:c r="R111" s="7"/>
      <x:c r="S111" s="7"/>
      <x:c r="T111" s="7"/>
      <x:c r="U111" s="7"/>
      <x:c r="V111" s="7"/>
      <x:c r="W111" s="9"/>
      <x:c r="X111" s="7"/>
      <x:c r="Y111" s="9"/>
      <x:c r="Z111" s="8"/>
      <x:c r="AA111" s="8"/>
      <x:c r="AB111" s="7"/>
      <x:c r="AC111" s="7"/>
      <x:c r="AD111" s="13"/>
      <x:c r="AE111" s="7"/>
      <x:c r="AF111" s="7"/>
      <x:c r="AG111" s="7"/>
      <x:c r="AH111" s="7"/>
      <x:c r="AI111" s="7"/>
      <x:c r="AJ111" s="9" t="str">
        <x:f>IF($A111="","",SUMIF(Sales_Items!$A$2:$A$501,$A111,Sales_Items!$O$2:$O$501))</x:f>
      </x:c>
      <x:c r="AK111" s="9" t="str">
        <x:f>IF($A111="","",$AJ111*$L111/100)</x:f>
      </x:c>
      <x:c r="AL111" s="9" t="str">
        <x:f>IF($A111="","",MAX(0,$AJ111-$AK111))</x:f>
      </x:c>
      <x:c r="AM111" s="9" t="str">
        <x:f>IF($A111="","",MAX(0,$AL111*$M111/100))</x:f>
      </x:c>
      <x:c r="AN111" s="9" t="str">
        <x:f>IF($A111="","",MAX(0,$AL111*$N111/100))</x:f>
      </x:c>
      <x:c r="AO111" s="9" t="str">
        <x:f>IF($A111="","",MAX(0,$AL111*$O111/100))</x:f>
      </x:c>
      <x:c r="AP111" s="9" t="str">
        <x:f>IF($A111="","",MAX(0,$AL111+$AM111+$P111+$W111-$AN111-$AO111-$Q111))</x:f>
      </x:c>
    </x:row>
    <x:row r="112">
      <x:c r="A112" s="13"/>
      <x:c r="B112" s="7"/>
      <x:c r="C112" s="13"/>
      <x:c r="D112" s="14"/>
      <x:c r="E112" s="8"/>
      <x:c r="F112" s="13"/>
      <x:c r="G112" s="7"/>
      <x:c r="H112" s="7"/>
      <x:c r="I112" s="7"/>
      <x:c r="J112" s="13"/>
      <x:c r="K112" s="16"/>
      <x:c r="L112" s="10"/>
      <x:c r="M112" s="10"/>
      <x:c r="N112" s="10"/>
      <x:c r="O112" s="10"/>
      <x:c r="P112" s="9"/>
      <x:c r="Q112" s="9"/>
      <x:c r="R112" s="7"/>
      <x:c r="S112" s="7"/>
      <x:c r="T112" s="7"/>
      <x:c r="U112" s="7"/>
      <x:c r="V112" s="7"/>
      <x:c r="W112" s="9"/>
      <x:c r="X112" s="7"/>
      <x:c r="Y112" s="9"/>
      <x:c r="Z112" s="8"/>
      <x:c r="AA112" s="8"/>
      <x:c r="AB112" s="7"/>
      <x:c r="AC112" s="7"/>
      <x:c r="AD112" s="13"/>
      <x:c r="AE112" s="7"/>
      <x:c r="AF112" s="7"/>
      <x:c r="AG112" s="7"/>
      <x:c r="AH112" s="7"/>
      <x:c r="AI112" s="7"/>
      <x:c r="AJ112" s="9" t="str">
        <x:f>IF($A112="","",SUMIF(Sales_Items!$A$2:$A$501,$A112,Sales_Items!$O$2:$O$501))</x:f>
      </x:c>
      <x:c r="AK112" s="9" t="str">
        <x:f>IF($A112="","",$AJ112*$L112/100)</x:f>
      </x:c>
      <x:c r="AL112" s="9" t="str">
        <x:f>IF($A112="","",MAX(0,$AJ112-$AK112))</x:f>
      </x:c>
      <x:c r="AM112" s="9" t="str">
        <x:f>IF($A112="","",MAX(0,$AL112*$M112/100))</x:f>
      </x:c>
      <x:c r="AN112" s="9" t="str">
        <x:f>IF($A112="","",MAX(0,$AL112*$N112/100))</x:f>
      </x:c>
      <x:c r="AO112" s="9" t="str">
        <x:f>IF($A112="","",MAX(0,$AL112*$O112/100))</x:f>
      </x:c>
      <x:c r="AP112" s="9" t="str">
        <x:f>IF($A112="","",MAX(0,$AL112+$AM112+$P112+$W112-$AN112-$AO112-$Q112))</x:f>
      </x:c>
    </x:row>
    <x:row r="113">
      <x:c r="A113" s="13"/>
      <x:c r="B113" s="7"/>
      <x:c r="C113" s="13"/>
      <x:c r="D113" s="14"/>
      <x:c r="E113" s="8"/>
      <x:c r="F113" s="13"/>
      <x:c r="G113" s="7"/>
      <x:c r="H113" s="7"/>
      <x:c r="I113" s="7"/>
      <x:c r="J113" s="13"/>
      <x:c r="K113" s="16"/>
      <x:c r="L113" s="10"/>
      <x:c r="M113" s="10"/>
      <x:c r="N113" s="10"/>
      <x:c r="O113" s="10"/>
      <x:c r="P113" s="9"/>
      <x:c r="Q113" s="9"/>
      <x:c r="R113" s="7"/>
      <x:c r="S113" s="7"/>
      <x:c r="T113" s="7"/>
      <x:c r="U113" s="7"/>
      <x:c r="V113" s="7"/>
      <x:c r="W113" s="9"/>
      <x:c r="X113" s="7"/>
      <x:c r="Y113" s="9"/>
      <x:c r="Z113" s="8"/>
      <x:c r="AA113" s="8"/>
      <x:c r="AB113" s="7"/>
      <x:c r="AC113" s="7"/>
      <x:c r="AD113" s="13"/>
      <x:c r="AE113" s="7"/>
      <x:c r="AF113" s="7"/>
      <x:c r="AG113" s="7"/>
      <x:c r="AH113" s="7"/>
      <x:c r="AI113" s="7"/>
      <x:c r="AJ113" s="9" t="str">
        <x:f>IF($A113="","",SUMIF(Sales_Items!$A$2:$A$501,$A113,Sales_Items!$O$2:$O$501))</x:f>
      </x:c>
      <x:c r="AK113" s="9" t="str">
        <x:f>IF($A113="","",$AJ113*$L113/100)</x:f>
      </x:c>
      <x:c r="AL113" s="9" t="str">
        <x:f>IF($A113="","",MAX(0,$AJ113-$AK113))</x:f>
      </x:c>
      <x:c r="AM113" s="9" t="str">
        <x:f>IF($A113="","",MAX(0,$AL113*$M113/100))</x:f>
      </x:c>
      <x:c r="AN113" s="9" t="str">
        <x:f>IF($A113="","",MAX(0,$AL113*$N113/100))</x:f>
      </x:c>
      <x:c r="AO113" s="9" t="str">
        <x:f>IF($A113="","",MAX(0,$AL113*$O113/100))</x:f>
      </x:c>
      <x:c r="AP113" s="9" t="str">
        <x:f>IF($A113="","",MAX(0,$AL113+$AM113+$P113+$W113-$AN113-$AO113-$Q113))</x:f>
      </x:c>
    </x:row>
    <x:row r="114">
      <x:c r="A114" s="13"/>
      <x:c r="B114" s="7"/>
      <x:c r="C114" s="13"/>
      <x:c r="D114" s="14"/>
      <x:c r="E114" s="8"/>
      <x:c r="F114" s="13"/>
      <x:c r="G114" s="7"/>
      <x:c r="H114" s="7"/>
      <x:c r="I114" s="7"/>
      <x:c r="J114" s="13"/>
      <x:c r="K114" s="16"/>
      <x:c r="L114" s="10"/>
      <x:c r="M114" s="10"/>
      <x:c r="N114" s="10"/>
      <x:c r="O114" s="10"/>
      <x:c r="P114" s="9"/>
      <x:c r="Q114" s="9"/>
      <x:c r="R114" s="7"/>
      <x:c r="S114" s="7"/>
      <x:c r="T114" s="7"/>
      <x:c r="U114" s="7"/>
      <x:c r="V114" s="7"/>
      <x:c r="W114" s="9"/>
      <x:c r="X114" s="7"/>
      <x:c r="Y114" s="9"/>
      <x:c r="Z114" s="8"/>
      <x:c r="AA114" s="8"/>
      <x:c r="AB114" s="7"/>
      <x:c r="AC114" s="7"/>
      <x:c r="AD114" s="13"/>
      <x:c r="AE114" s="7"/>
      <x:c r="AF114" s="7"/>
      <x:c r="AG114" s="7"/>
      <x:c r="AH114" s="7"/>
      <x:c r="AI114" s="7"/>
      <x:c r="AJ114" s="9" t="str">
        <x:f>IF($A114="","",SUMIF(Sales_Items!$A$2:$A$501,$A114,Sales_Items!$O$2:$O$501))</x:f>
      </x:c>
      <x:c r="AK114" s="9" t="str">
        <x:f>IF($A114="","",$AJ114*$L114/100)</x:f>
      </x:c>
      <x:c r="AL114" s="9" t="str">
        <x:f>IF($A114="","",MAX(0,$AJ114-$AK114))</x:f>
      </x:c>
      <x:c r="AM114" s="9" t="str">
        <x:f>IF($A114="","",MAX(0,$AL114*$M114/100))</x:f>
      </x:c>
      <x:c r="AN114" s="9" t="str">
        <x:f>IF($A114="","",MAX(0,$AL114*$N114/100))</x:f>
      </x:c>
      <x:c r="AO114" s="9" t="str">
        <x:f>IF($A114="","",MAX(0,$AL114*$O114/100))</x:f>
      </x:c>
      <x:c r="AP114" s="9" t="str">
        <x:f>IF($A114="","",MAX(0,$AL114+$AM114+$P114+$W114-$AN114-$AO114-$Q114))</x:f>
      </x:c>
    </x:row>
    <x:row r="115">
      <x:c r="A115" s="13"/>
      <x:c r="B115" s="7"/>
      <x:c r="C115" s="13"/>
      <x:c r="D115" s="14"/>
      <x:c r="E115" s="8"/>
      <x:c r="F115" s="13"/>
      <x:c r="G115" s="7"/>
      <x:c r="H115" s="7"/>
      <x:c r="I115" s="7"/>
      <x:c r="J115" s="13"/>
      <x:c r="K115" s="16"/>
      <x:c r="L115" s="10"/>
      <x:c r="M115" s="10"/>
      <x:c r="N115" s="10"/>
      <x:c r="O115" s="10"/>
      <x:c r="P115" s="9"/>
      <x:c r="Q115" s="9"/>
      <x:c r="R115" s="7"/>
      <x:c r="S115" s="7"/>
      <x:c r="T115" s="7"/>
      <x:c r="U115" s="7"/>
      <x:c r="V115" s="7"/>
      <x:c r="W115" s="9"/>
      <x:c r="X115" s="7"/>
      <x:c r="Y115" s="9"/>
      <x:c r="Z115" s="8"/>
      <x:c r="AA115" s="8"/>
      <x:c r="AB115" s="7"/>
      <x:c r="AC115" s="7"/>
      <x:c r="AD115" s="13"/>
      <x:c r="AE115" s="7"/>
      <x:c r="AF115" s="7"/>
      <x:c r="AG115" s="7"/>
      <x:c r="AH115" s="7"/>
      <x:c r="AI115" s="7"/>
      <x:c r="AJ115" s="9" t="str">
        <x:f>IF($A115="","",SUMIF(Sales_Items!$A$2:$A$501,$A115,Sales_Items!$O$2:$O$501))</x:f>
      </x:c>
      <x:c r="AK115" s="9" t="str">
        <x:f>IF($A115="","",$AJ115*$L115/100)</x:f>
      </x:c>
      <x:c r="AL115" s="9" t="str">
        <x:f>IF($A115="","",MAX(0,$AJ115-$AK115))</x:f>
      </x:c>
      <x:c r="AM115" s="9" t="str">
        <x:f>IF($A115="","",MAX(0,$AL115*$M115/100))</x:f>
      </x:c>
      <x:c r="AN115" s="9" t="str">
        <x:f>IF($A115="","",MAX(0,$AL115*$N115/100))</x:f>
      </x:c>
      <x:c r="AO115" s="9" t="str">
        <x:f>IF($A115="","",MAX(0,$AL115*$O115/100))</x:f>
      </x:c>
      <x:c r="AP115" s="9" t="str">
        <x:f>IF($A115="","",MAX(0,$AL115+$AM115+$P115+$W115-$AN115-$AO115-$Q115))</x:f>
      </x:c>
    </x:row>
    <x:row r="116">
      <x:c r="A116" s="13"/>
      <x:c r="B116" s="7"/>
      <x:c r="C116" s="13"/>
      <x:c r="D116" s="14"/>
      <x:c r="E116" s="8"/>
      <x:c r="F116" s="13"/>
      <x:c r="G116" s="7"/>
      <x:c r="H116" s="7"/>
      <x:c r="I116" s="7"/>
      <x:c r="J116" s="13"/>
      <x:c r="K116" s="16"/>
      <x:c r="L116" s="10"/>
      <x:c r="M116" s="10"/>
      <x:c r="N116" s="10"/>
      <x:c r="O116" s="10"/>
      <x:c r="P116" s="9"/>
      <x:c r="Q116" s="9"/>
      <x:c r="R116" s="7"/>
      <x:c r="S116" s="7"/>
      <x:c r="T116" s="7"/>
      <x:c r="U116" s="7"/>
      <x:c r="V116" s="7"/>
      <x:c r="W116" s="9"/>
      <x:c r="X116" s="7"/>
      <x:c r="Y116" s="9"/>
      <x:c r="Z116" s="8"/>
      <x:c r="AA116" s="8"/>
      <x:c r="AB116" s="7"/>
      <x:c r="AC116" s="7"/>
      <x:c r="AD116" s="13"/>
      <x:c r="AE116" s="7"/>
      <x:c r="AF116" s="7"/>
      <x:c r="AG116" s="7"/>
      <x:c r="AH116" s="7"/>
      <x:c r="AI116" s="7"/>
      <x:c r="AJ116" s="9" t="str">
        <x:f>IF($A116="","",SUMIF(Sales_Items!$A$2:$A$501,$A116,Sales_Items!$O$2:$O$501))</x:f>
      </x:c>
      <x:c r="AK116" s="9" t="str">
        <x:f>IF($A116="","",$AJ116*$L116/100)</x:f>
      </x:c>
      <x:c r="AL116" s="9" t="str">
        <x:f>IF($A116="","",MAX(0,$AJ116-$AK116))</x:f>
      </x:c>
      <x:c r="AM116" s="9" t="str">
        <x:f>IF($A116="","",MAX(0,$AL116*$M116/100))</x:f>
      </x:c>
      <x:c r="AN116" s="9" t="str">
        <x:f>IF($A116="","",MAX(0,$AL116*$N116/100))</x:f>
      </x:c>
      <x:c r="AO116" s="9" t="str">
        <x:f>IF($A116="","",MAX(0,$AL116*$O116/100))</x:f>
      </x:c>
      <x:c r="AP116" s="9" t="str">
        <x:f>IF($A116="","",MAX(0,$AL116+$AM116+$P116+$W116-$AN116-$AO116-$Q116))</x:f>
      </x:c>
    </x:row>
    <x:row r="117">
      <x:c r="A117" s="13"/>
      <x:c r="B117" s="7"/>
      <x:c r="C117" s="13"/>
      <x:c r="D117" s="14"/>
      <x:c r="E117" s="8"/>
      <x:c r="F117" s="13"/>
      <x:c r="G117" s="7"/>
      <x:c r="H117" s="7"/>
      <x:c r="I117" s="7"/>
      <x:c r="J117" s="13"/>
      <x:c r="K117" s="16"/>
      <x:c r="L117" s="10"/>
      <x:c r="M117" s="10"/>
      <x:c r="N117" s="10"/>
      <x:c r="O117" s="10"/>
      <x:c r="P117" s="9"/>
      <x:c r="Q117" s="9"/>
      <x:c r="R117" s="7"/>
      <x:c r="S117" s="7"/>
      <x:c r="T117" s="7"/>
      <x:c r="U117" s="7"/>
      <x:c r="V117" s="7"/>
      <x:c r="W117" s="9"/>
      <x:c r="X117" s="7"/>
      <x:c r="Y117" s="9"/>
      <x:c r="Z117" s="8"/>
      <x:c r="AA117" s="8"/>
      <x:c r="AB117" s="7"/>
      <x:c r="AC117" s="7"/>
      <x:c r="AD117" s="13"/>
      <x:c r="AE117" s="7"/>
      <x:c r="AF117" s="7"/>
      <x:c r="AG117" s="7"/>
      <x:c r="AH117" s="7"/>
      <x:c r="AI117" s="7"/>
      <x:c r="AJ117" s="9" t="str">
        <x:f>IF($A117="","",SUMIF(Sales_Items!$A$2:$A$501,$A117,Sales_Items!$O$2:$O$501))</x:f>
      </x:c>
      <x:c r="AK117" s="9" t="str">
        <x:f>IF($A117="","",$AJ117*$L117/100)</x:f>
      </x:c>
      <x:c r="AL117" s="9" t="str">
        <x:f>IF($A117="","",MAX(0,$AJ117-$AK117))</x:f>
      </x:c>
      <x:c r="AM117" s="9" t="str">
        <x:f>IF($A117="","",MAX(0,$AL117*$M117/100))</x:f>
      </x:c>
      <x:c r="AN117" s="9" t="str">
        <x:f>IF($A117="","",MAX(0,$AL117*$N117/100))</x:f>
      </x:c>
      <x:c r="AO117" s="9" t="str">
        <x:f>IF($A117="","",MAX(0,$AL117*$O117/100))</x:f>
      </x:c>
      <x:c r="AP117" s="9" t="str">
        <x:f>IF($A117="","",MAX(0,$AL117+$AM117+$P117+$W117-$AN117-$AO117-$Q117))</x:f>
      </x:c>
    </x:row>
    <x:row r="118">
      <x:c r="A118" s="13"/>
      <x:c r="B118" s="7"/>
      <x:c r="C118" s="13"/>
      <x:c r="D118" s="14"/>
      <x:c r="E118" s="8"/>
      <x:c r="F118" s="13"/>
      <x:c r="G118" s="7"/>
      <x:c r="H118" s="7"/>
      <x:c r="I118" s="7"/>
      <x:c r="J118" s="13"/>
      <x:c r="K118" s="16"/>
      <x:c r="L118" s="10"/>
      <x:c r="M118" s="10"/>
      <x:c r="N118" s="10"/>
      <x:c r="O118" s="10"/>
      <x:c r="P118" s="9"/>
      <x:c r="Q118" s="9"/>
      <x:c r="R118" s="7"/>
      <x:c r="S118" s="7"/>
      <x:c r="T118" s="7"/>
      <x:c r="U118" s="7"/>
      <x:c r="V118" s="7"/>
      <x:c r="W118" s="9"/>
      <x:c r="X118" s="7"/>
      <x:c r="Y118" s="9"/>
      <x:c r="Z118" s="8"/>
      <x:c r="AA118" s="8"/>
      <x:c r="AB118" s="7"/>
      <x:c r="AC118" s="7"/>
      <x:c r="AD118" s="13"/>
      <x:c r="AE118" s="7"/>
      <x:c r="AF118" s="7"/>
      <x:c r="AG118" s="7"/>
      <x:c r="AH118" s="7"/>
      <x:c r="AI118" s="7"/>
      <x:c r="AJ118" s="9" t="str">
        <x:f>IF($A118="","",SUMIF(Sales_Items!$A$2:$A$501,$A118,Sales_Items!$O$2:$O$501))</x:f>
      </x:c>
      <x:c r="AK118" s="9" t="str">
        <x:f>IF($A118="","",$AJ118*$L118/100)</x:f>
      </x:c>
      <x:c r="AL118" s="9" t="str">
        <x:f>IF($A118="","",MAX(0,$AJ118-$AK118))</x:f>
      </x:c>
      <x:c r="AM118" s="9" t="str">
        <x:f>IF($A118="","",MAX(0,$AL118*$M118/100))</x:f>
      </x:c>
      <x:c r="AN118" s="9" t="str">
        <x:f>IF($A118="","",MAX(0,$AL118*$N118/100))</x:f>
      </x:c>
      <x:c r="AO118" s="9" t="str">
        <x:f>IF($A118="","",MAX(0,$AL118*$O118/100))</x:f>
      </x:c>
      <x:c r="AP118" s="9" t="str">
        <x:f>IF($A118="","",MAX(0,$AL118+$AM118+$P118+$W118-$AN118-$AO118-$Q118))</x:f>
      </x:c>
    </x:row>
    <x:row r="119">
      <x:c r="A119" s="13"/>
      <x:c r="B119" s="7"/>
      <x:c r="C119" s="13"/>
      <x:c r="D119" s="14"/>
      <x:c r="E119" s="8"/>
      <x:c r="F119" s="13"/>
      <x:c r="G119" s="7"/>
      <x:c r="H119" s="7"/>
      <x:c r="I119" s="7"/>
      <x:c r="J119" s="13"/>
      <x:c r="K119" s="16"/>
      <x:c r="L119" s="10"/>
      <x:c r="M119" s="10"/>
      <x:c r="N119" s="10"/>
      <x:c r="O119" s="10"/>
      <x:c r="P119" s="9"/>
      <x:c r="Q119" s="9"/>
      <x:c r="R119" s="7"/>
      <x:c r="S119" s="7"/>
      <x:c r="T119" s="7"/>
      <x:c r="U119" s="7"/>
      <x:c r="V119" s="7"/>
      <x:c r="W119" s="9"/>
      <x:c r="X119" s="7"/>
      <x:c r="Y119" s="9"/>
      <x:c r="Z119" s="8"/>
      <x:c r="AA119" s="8"/>
      <x:c r="AB119" s="7"/>
      <x:c r="AC119" s="7"/>
      <x:c r="AD119" s="13"/>
      <x:c r="AE119" s="7"/>
      <x:c r="AF119" s="7"/>
      <x:c r="AG119" s="7"/>
      <x:c r="AH119" s="7"/>
      <x:c r="AI119" s="7"/>
      <x:c r="AJ119" s="9" t="str">
        <x:f>IF($A119="","",SUMIF(Sales_Items!$A$2:$A$501,$A119,Sales_Items!$O$2:$O$501))</x:f>
      </x:c>
      <x:c r="AK119" s="9" t="str">
        <x:f>IF($A119="","",$AJ119*$L119/100)</x:f>
      </x:c>
      <x:c r="AL119" s="9" t="str">
        <x:f>IF($A119="","",MAX(0,$AJ119-$AK119))</x:f>
      </x:c>
      <x:c r="AM119" s="9" t="str">
        <x:f>IF($A119="","",MAX(0,$AL119*$M119/100))</x:f>
      </x:c>
      <x:c r="AN119" s="9" t="str">
        <x:f>IF($A119="","",MAX(0,$AL119*$N119/100))</x:f>
      </x:c>
      <x:c r="AO119" s="9" t="str">
        <x:f>IF($A119="","",MAX(0,$AL119*$O119/100))</x:f>
      </x:c>
      <x:c r="AP119" s="9" t="str">
        <x:f>IF($A119="","",MAX(0,$AL119+$AM119+$P119+$W119-$AN119-$AO119-$Q119))</x:f>
      </x:c>
    </x:row>
    <x:row r="120">
      <x:c r="A120" s="13"/>
      <x:c r="B120" s="7"/>
      <x:c r="C120" s="13"/>
      <x:c r="D120" s="14"/>
      <x:c r="E120" s="8"/>
      <x:c r="F120" s="13"/>
      <x:c r="G120" s="7"/>
      <x:c r="H120" s="7"/>
      <x:c r="I120" s="7"/>
      <x:c r="J120" s="13"/>
      <x:c r="K120" s="16"/>
      <x:c r="L120" s="10"/>
      <x:c r="M120" s="10"/>
      <x:c r="N120" s="10"/>
      <x:c r="O120" s="10"/>
      <x:c r="P120" s="9"/>
      <x:c r="Q120" s="9"/>
      <x:c r="R120" s="7"/>
      <x:c r="S120" s="7"/>
      <x:c r="T120" s="7"/>
      <x:c r="U120" s="7"/>
      <x:c r="V120" s="7"/>
      <x:c r="W120" s="9"/>
      <x:c r="X120" s="7"/>
      <x:c r="Y120" s="9"/>
      <x:c r="Z120" s="8"/>
      <x:c r="AA120" s="8"/>
      <x:c r="AB120" s="7"/>
      <x:c r="AC120" s="7"/>
      <x:c r="AD120" s="13"/>
      <x:c r="AE120" s="7"/>
      <x:c r="AF120" s="7"/>
      <x:c r="AG120" s="7"/>
      <x:c r="AH120" s="7"/>
      <x:c r="AI120" s="7"/>
      <x:c r="AJ120" s="9" t="str">
        <x:f>IF($A120="","",SUMIF(Sales_Items!$A$2:$A$501,$A120,Sales_Items!$O$2:$O$501))</x:f>
      </x:c>
      <x:c r="AK120" s="9" t="str">
        <x:f>IF($A120="","",$AJ120*$L120/100)</x:f>
      </x:c>
      <x:c r="AL120" s="9" t="str">
        <x:f>IF($A120="","",MAX(0,$AJ120-$AK120))</x:f>
      </x:c>
      <x:c r="AM120" s="9" t="str">
        <x:f>IF($A120="","",MAX(0,$AL120*$M120/100))</x:f>
      </x:c>
      <x:c r="AN120" s="9" t="str">
        <x:f>IF($A120="","",MAX(0,$AL120*$N120/100))</x:f>
      </x:c>
      <x:c r="AO120" s="9" t="str">
        <x:f>IF($A120="","",MAX(0,$AL120*$O120/100))</x:f>
      </x:c>
      <x:c r="AP120" s="9" t="str">
        <x:f>IF($A120="","",MAX(0,$AL120+$AM120+$P120+$W120-$AN120-$AO120-$Q120))</x:f>
      </x:c>
    </x:row>
    <x:row r="121">
      <x:c r="A121" s="13"/>
      <x:c r="B121" s="7"/>
      <x:c r="C121" s="13"/>
      <x:c r="D121" s="14"/>
      <x:c r="E121" s="8"/>
      <x:c r="F121" s="13"/>
      <x:c r="G121" s="7"/>
      <x:c r="H121" s="7"/>
      <x:c r="I121" s="7"/>
      <x:c r="J121" s="13"/>
      <x:c r="K121" s="16"/>
      <x:c r="L121" s="10"/>
      <x:c r="M121" s="10"/>
      <x:c r="N121" s="10"/>
      <x:c r="O121" s="10"/>
      <x:c r="P121" s="9"/>
      <x:c r="Q121" s="9"/>
      <x:c r="R121" s="7"/>
      <x:c r="S121" s="7"/>
      <x:c r="T121" s="7"/>
      <x:c r="U121" s="7"/>
      <x:c r="V121" s="7"/>
      <x:c r="W121" s="9"/>
      <x:c r="X121" s="7"/>
      <x:c r="Y121" s="9"/>
      <x:c r="Z121" s="8"/>
      <x:c r="AA121" s="8"/>
      <x:c r="AB121" s="7"/>
      <x:c r="AC121" s="7"/>
      <x:c r="AD121" s="13"/>
      <x:c r="AE121" s="7"/>
      <x:c r="AF121" s="7"/>
      <x:c r="AG121" s="7"/>
      <x:c r="AH121" s="7"/>
      <x:c r="AI121" s="7"/>
      <x:c r="AJ121" s="9" t="str">
        <x:f>IF($A121="","",SUMIF(Sales_Items!$A$2:$A$501,$A121,Sales_Items!$O$2:$O$501))</x:f>
      </x:c>
      <x:c r="AK121" s="9" t="str">
        <x:f>IF($A121="","",$AJ121*$L121/100)</x:f>
      </x:c>
      <x:c r="AL121" s="9" t="str">
        <x:f>IF($A121="","",MAX(0,$AJ121-$AK121))</x:f>
      </x:c>
      <x:c r="AM121" s="9" t="str">
        <x:f>IF($A121="","",MAX(0,$AL121*$M121/100))</x:f>
      </x:c>
      <x:c r="AN121" s="9" t="str">
        <x:f>IF($A121="","",MAX(0,$AL121*$N121/100))</x:f>
      </x:c>
      <x:c r="AO121" s="9" t="str">
        <x:f>IF($A121="","",MAX(0,$AL121*$O121/100))</x:f>
      </x:c>
      <x:c r="AP121" s="9" t="str">
        <x:f>IF($A121="","",MAX(0,$AL121+$AM121+$P121+$W121-$AN121-$AO121-$Q121))</x:f>
      </x:c>
    </x:row>
    <x:row r="122">
      <x:c r="A122" s="13"/>
      <x:c r="B122" s="7"/>
      <x:c r="C122" s="13"/>
      <x:c r="D122" s="14"/>
      <x:c r="E122" s="8"/>
      <x:c r="F122" s="13"/>
      <x:c r="G122" s="7"/>
      <x:c r="H122" s="7"/>
      <x:c r="I122" s="7"/>
      <x:c r="J122" s="13"/>
      <x:c r="K122" s="16"/>
      <x:c r="L122" s="10"/>
      <x:c r="M122" s="10"/>
      <x:c r="N122" s="10"/>
      <x:c r="O122" s="10"/>
      <x:c r="P122" s="9"/>
      <x:c r="Q122" s="9"/>
      <x:c r="R122" s="7"/>
      <x:c r="S122" s="7"/>
      <x:c r="T122" s="7"/>
      <x:c r="U122" s="7"/>
      <x:c r="V122" s="7"/>
      <x:c r="W122" s="9"/>
      <x:c r="X122" s="7"/>
      <x:c r="Y122" s="9"/>
      <x:c r="Z122" s="8"/>
      <x:c r="AA122" s="8"/>
      <x:c r="AB122" s="7"/>
      <x:c r="AC122" s="7"/>
      <x:c r="AD122" s="13"/>
      <x:c r="AE122" s="7"/>
      <x:c r="AF122" s="7"/>
      <x:c r="AG122" s="7"/>
      <x:c r="AH122" s="7"/>
      <x:c r="AI122" s="7"/>
      <x:c r="AJ122" s="9" t="str">
        <x:f>IF($A122="","",SUMIF(Sales_Items!$A$2:$A$501,$A122,Sales_Items!$O$2:$O$501))</x:f>
      </x:c>
      <x:c r="AK122" s="9" t="str">
        <x:f>IF($A122="","",$AJ122*$L122/100)</x:f>
      </x:c>
      <x:c r="AL122" s="9" t="str">
        <x:f>IF($A122="","",MAX(0,$AJ122-$AK122))</x:f>
      </x:c>
      <x:c r="AM122" s="9" t="str">
        <x:f>IF($A122="","",MAX(0,$AL122*$M122/100))</x:f>
      </x:c>
      <x:c r="AN122" s="9" t="str">
        <x:f>IF($A122="","",MAX(0,$AL122*$N122/100))</x:f>
      </x:c>
      <x:c r="AO122" s="9" t="str">
        <x:f>IF($A122="","",MAX(0,$AL122*$O122/100))</x:f>
      </x:c>
      <x:c r="AP122" s="9" t="str">
        <x:f>IF($A122="","",MAX(0,$AL122+$AM122+$P122+$W122-$AN122-$AO122-$Q122))</x:f>
      </x:c>
    </x:row>
    <x:row r="123">
      <x:c r="A123" s="13"/>
      <x:c r="B123" s="7"/>
      <x:c r="C123" s="13"/>
      <x:c r="D123" s="14"/>
      <x:c r="E123" s="8"/>
      <x:c r="F123" s="13"/>
      <x:c r="G123" s="7"/>
      <x:c r="H123" s="7"/>
      <x:c r="I123" s="7"/>
      <x:c r="J123" s="13"/>
      <x:c r="K123" s="16"/>
      <x:c r="L123" s="10"/>
      <x:c r="M123" s="10"/>
      <x:c r="N123" s="10"/>
      <x:c r="O123" s="10"/>
      <x:c r="P123" s="9"/>
      <x:c r="Q123" s="9"/>
      <x:c r="R123" s="7"/>
      <x:c r="S123" s="7"/>
      <x:c r="T123" s="7"/>
      <x:c r="U123" s="7"/>
      <x:c r="V123" s="7"/>
      <x:c r="W123" s="9"/>
      <x:c r="X123" s="7"/>
      <x:c r="Y123" s="9"/>
      <x:c r="Z123" s="8"/>
      <x:c r="AA123" s="8"/>
      <x:c r="AB123" s="7"/>
      <x:c r="AC123" s="7"/>
      <x:c r="AD123" s="13"/>
      <x:c r="AE123" s="7"/>
      <x:c r="AF123" s="7"/>
      <x:c r="AG123" s="7"/>
      <x:c r="AH123" s="7"/>
      <x:c r="AI123" s="7"/>
      <x:c r="AJ123" s="9" t="str">
        <x:f>IF($A123="","",SUMIF(Sales_Items!$A$2:$A$501,$A123,Sales_Items!$O$2:$O$501))</x:f>
      </x:c>
      <x:c r="AK123" s="9" t="str">
        <x:f>IF($A123="","",$AJ123*$L123/100)</x:f>
      </x:c>
      <x:c r="AL123" s="9" t="str">
        <x:f>IF($A123="","",MAX(0,$AJ123-$AK123))</x:f>
      </x:c>
      <x:c r="AM123" s="9" t="str">
        <x:f>IF($A123="","",MAX(0,$AL123*$M123/100))</x:f>
      </x:c>
      <x:c r="AN123" s="9" t="str">
        <x:f>IF($A123="","",MAX(0,$AL123*$N123/100))</x:f>
      </x:c>
      <x:c r="AO123" s="9" t="str">
        <x:f>IF($A123="","",MAX(0,$AL123*$O123/100))</x:f>
      </x:c>
      <x:c r="AP123" s="9" t="str">
        <x:f>IF($A123="","",MAX(0,$AL123+$AM123+$P123+$W123-$AN123-$AO123-$Q123))</x:f>
      </x:c>
    </x:row>
    <x:row r="124">
      <x:c r="A124" s="13"/>
      <x:c r="B124" s="7"/>
      <x:c r="C124" s="13"/>
      <x:c r="D124" s="14"/>
      <x:c r="E124" s="8"/>
      <x:c r="F124" s="13"/>
      <x:c r="G124" s="7"/>
      <x:c r="H124" s="7"/>
      <x:c r="I124" s="7"/>
      <x:c r="J124" s="13"/>
      <x:c r="K124" s="16"/>
      <x:c r="L124" s="10"/>
      <x:c r="M124" s="10"/>
      <x:c r="N124" s="10"/>
      <x:c r="O124" s="10"/>
      <x:c r="P124" s="9"/>
      <x:c r="Q124" s="9"/>
      <x:c r="R124" s="7"/>
      <x:c r="S124" s="7"/>
      <x:c r="T124" s="7"/>
      <x:c r="U124" s="7"/>
      <x:c r="V124" s="7"/>
      <x:c r="W124" s="9"/>
      <x:c r="X124" s="7"/>
      <x:c r="Y124" s="9"/>
      <x:c r="Z124" s="8"/>
      <x:c r="AA124" s="8"/>
      <x:c r="AB124" s="7"/>
      <x:c r="AC124" s="7"/>
      <x:c r="AD124" s="13"/>
      <x:c r="AE124" s="7"/>
      <x:c r="AF124" s="7"/>
      <x:c r="AG124" s="7"/>
      <x:c r="AH124" s="7"/>
      <x:c r="AI124" s="7"/>
      <x:c r="AJ124" s="9" t="str">
        <x:f>IF($A124="","",SUMIF(Sales_Items!$A$2:$A$501,$A124,Sales_Items!$O$2:$O$501))</x:f>
      </x:c>
      <x:c r="AK124" s="9" t="str">
        <x:f>IF($A124="","",$AJ124*$L124/100)</x:f>
      </x:c>
      <x:c r="AL124" s="9" t="str">
        <x:f>IF($A124="","",MAX(0,$AJ124-$AK124))</x:f>
      </x:c>
      <x:c r="AM124" s="9" t="str">
        <x:f>IF($A124="","",MAX(0,$AL124*$M124/100))</x:f>
      </x:c>
      <x:c r="AN124" s="9" t="str">
        <x:f>IF($A124="","",MAX(0,$AL124*$N124/100))</x:f>
      </x:c>
      <x:c r="AO124" s="9" t="str">
        <x:f>IF($A124="","",MAX(0,$AL124*$O124/100))</x:f>
      </x:c>
      <x:c r="AP124" s="9" t="str">
        <x:f>IF($A124="","",MAX(0,$AL124+$AM124+$P124+$W124-$AN124-$AO124-$Q124))</x:f>
      </x:c>
    </x:row>
    <x:row r="125">
      <x:c r="A125" s="13"/>
      <x:c r="B125" s="7"/>
      <x:c r="C125" s="13"/>
      <x:c r="D125" s="14"/>
      <x:c r="E125" s="8"/>
      <x:c r="F125" s="13"/>
      <x:c r="G125" s="7"/>
      <x:c r="H125" s="7"/>
      <x:c r="I125" s="7"/>
      <x:c r="J125" s="13"/>
      <x:c r="K125" s="16"/>
      <x:c r="L125" s="10"/>
      <x:c r="M125" s="10"/>
      <x:c r="N125" s="10"/>
      <x:c r="O125" s="10"/>
      <x:c r="P125" s="9"/>
      <x:c r="Q125" s="9"/>
      <x:c r="R125" s="7"/>
      <x:c r="S125" s="7"/>
      <x:c r="T125" s="7"/>
      <x:c r="U125" s="7"/>
      <x:c r="V125" s="7"/>
      <x:c r="W125" s="9"/>
      <x:c r="X125" s="7"/>
      <x:c r="Y125" s="9"/>
      <x:c r="Z125" s="8"/>
      <x:c r="AA125" s="8"/>
      <x:c r="AB125" s="7"/>
      <x:c r="AC125" s="7"/>
      <x:c r="AD125" s="13"/>
      <x:c r="AE125" s="7"/>
      <x:c r="AF125" s="7"/>
      <x:c r="AG125" s="7"/>
      <x:c r="AH125" s="7"/>
      <x:c r="AI125" s="7"/>
      <x:c r="AJ125" s="9" t="str">
        <x:f>IF($A125="","",SUMIF(Sales_Items!$A$2:$A$501,$A125,Sales_Items!$O$2:$O$501))</x:f>
      </x:c>
      <x:c r="AK125" s="9" t="str">
        <x:f>IF($A125="","",$AJ125*$L125/100)</x:f>
      </x:c>
      <x:c r="AL125" s="9" t="str">
        <x:f>IF($A125="","",MAX(0,$AJ125-$AK125))</x:f>
      </x:c>
      <x:c r="AM125" s="9" t="str">
        <x:f>IF($A125="","",MAX(0,$AL125*$M125/100))</x:f>
      </x:c>
      <x:c r="AN125" s="9" t="str">
        <x:f>IF($A125="","",MAX(0,$AL125*$N125/100))</x:f>
      </x:c>
      <x:c r="AO125" s="9" t="str">
        <x:f>IF($A125="","",MAX(0,$AL125*$O125/100))</x:f>
      </x:c>
      <x:c r="AP125" s="9" t="str">
        <x:f>IF($A125="","",MAX(0,$AL125+$AM125+$P125+$W125-$AN125-$AO125-$Q125))</x:f>
      </x:c>
    </x:row>
    <x:row r="126">
      <x:c r="A126" s="13"/>
      <x:c r="B126" s="7"/>
      <x:c r="C126" s="13"/>
      <x:c r="D126" s="14"/>
      <x:c r="E126" s="8"/>
      <x:c r="F126" s="13"/>
      <x:c r="G126" s="7"/>
      <x:c r="H126" s="7"/>
      <x:c r="I126" s="7"/>
      <x:c r="J126" s="13"/>
      <x:c r="K126" s="16"/>
      <x:c r="L126" s="10"/>
      <x:c r="M126" s="10"/>
      <x:c r="N126" s="10"/>
      <x:c r="O126" s="10"/>
      <x:c r="P126" s="9"/>
      <x:c r="Q126" s="9"/>
      <x:c r="R126" s="7"/>
      <x:c r="S126" s="7"/>
      <x:c r="T126" s="7"/>
      <x:c r="U126" s="7"/>
      <x:c r="V126" s="7"/>
      <x:c r="W126" s="9"/>
      <x:c r="X126" s="7"/>
      <x:c r="Y126" s="9"/>
      <x:c r="Z126" s="8"/>
      <x:c r="AA126" s="8"/>
      <x:c r="AB126" s="7"/>
      <x:c r="AC126" s="7"/>
      <x:c r="AD126" s="13"/>
      <x:c r="AE126" s="7"/>
      <x:c r="AF126" s="7"/>
      <x:c r="AG126" s="7"/>
      <x:c r="AH126" s="7"/>
      <x:c r="AI126" s="7"/>
      <x:c r="AJ126" s="9" t="str">
        <x:f>IF($A126="","",SUMIF(Sales_Items!$A$2:$A$501,$A126,Sales_Items!$O$2:$O$501))</x:f>
      </x:c>
      <x:c r="AK126" s="9" t="str">
        <x:f>IF($A126="","",$AJ126*$L126/100)</x:f>
      </x:c>
      <x:c r="AL126" s="9" t="str">
        <x:f>IF($A126="","",MAX(0,$AJ126-$AK126))</x:f>
      </x:c>
      <x:c r="AM126" s="9" t="str">
        <x:f>IF($A126="","",MAX(0,$AL126*$M126/100))</x:f>
      </x:c>
      <x:c r="AN126" s="9" t="str">
        <x:f>IF($A126="","",MAX(0,$AL126*$N126/100))</x:f>
      </x:c>
      <x:c r="AO126" s="9" t="str">
        <x:f>IF($A126="","",MAX(0,$AL126*$O126/100))</x:f>
      </x:c>
      <x:c r="AP126" s="9" t="str">
        <x:f>IF($A126="","",MAX(0,$AL126+$AM126+$P126+$W126-$AN126-$AO126-$Q126))</x:f>
      </x:c>
    </x:row>
    <x:row r="127">
      <x:c r="A127" s="13"/>
      <x:c r="B127" s="7"/>
      <x:c r="C127" s="13"/>
      <x:c r="D127" s="14"/>
      <x:c r="E127" s="8"/>
      <x:c r="F127" s="13"/>
      <x:c r="G127" s="7"/>
      <x:c r="H127" s="7"/>
      <x:c r="I127" s="7"/>
      <x:c r="J127" s="13"/>
      <x:c r="K127" s="16"/>
      <x:c r="L127" s="10"/>
      <x:c r="M127" s="10"/>
      <x:c r="N127" s="10"/>
      <x:c r="O127" s="10"/>
      <x:c r="P127" s="9"/>
      <x:c r="Q127" s="9"/>
      <x:c r="R127" s="7"/>
      <x:c r="S127" s="7"/>
      <x:c r="T127" s="7"/>
      <x:c r="U127" s="7"/>
      <x:c r="V127" s="7"/>
      <x:c r="W127" s="9"/>
      <x:c r="X127" s="7"/>
      <x:c r="Y127" s="9"/>
      <x:c r="Z127" s="8"/>
      <x:c r="AA127" s="8"/>
      <x:c r="AB127" s="7"/>
      <x:c r="AC127" s="7"/>
      <x:c r="AD127" s="13"/>
      <x:c r="AE127" s="7"/>
      <x:c r="AF127" s="7"/>
      <x:c r="AG127" s="7"/>
      <x:c r="AH127" s="7"/>
      <x:c r="AI127" s="7"/>
      <x:c r="AJ127" s="9" t="str">
        <x:f>IF($A127="","",SUMIF(Sales_Items!$A$2:$A$501,$A127,Sales_Items!$O$2:$O$501))</x:f>
      </x:c>
      <x:c r="AK127" s="9" t="str">
        <x:f>IF($A127="","",$AJ127*$L127/100)</x:f>
      </x:c>
      <x:c r="AL127" s="9" t="str">
        <x:f>IF($A127="","",MAX(0,$AJ127-$AK127))</x:f>
      </x:c>
      <x:c r="AM127" s="9" t="str">
        <x:f>IF($A127="","",MAX(0,$AL127*$M127/100))</x:f>
      </x:c>
      <x:c r="AN127" s="9" t="str">
        <x:f>IF($A127="","",MAX(0,$AL127*$N127/100))</x:f>
      </x:c>
      <x:c r="AO127" s="9" t="str">
        <x:f>IF($A127="","",MAX(0,$AL127*$O127/100))</x:f>
      </x:c>
      <x:c r="AP127" s="9" t="str">
        <x:f>IF($A127="","",MAX(0,$AL127+$AM127+$P127+$W127-$AN127-$AO127-$Q127))</x:f>
      </x:c>
    </x:row>
    <x:row r="128">
      <x:c r="A128" s="13"/>
      <x:c r="B128" s="7"/>
      <x:c r="C128" s="13"/>
      <x:c r="D128" s="14"/>
      <x:c r="E128" s="8"/>
      <x:c r="F128" s="13"/>
      <x:c r="G128" s="7"/>
      <x:c r="H128" s="7"/>
      <x:c r="I128" s="7"/>
      <x:c r="J128" s="13"/>
      <x:c r="K128" s="16"/>
      <x:c r="L128" s="10"/>
      <x:c r="M128" s="10"/>
      <x:c r="N128" s="10"/>
      <x:c r="O128" s="10"/>
      <x:c r="P128" s="9"/>
      <x:c r="Q128" s="9"/>
      <x:c r="R128" s="7"/>
      <x:c r="S128" s="7"/>
      <x:c r="T128" s="7"/>
      <x:c r="U128" s="7"/>
      <x:c r="V128" s="7"/>
      <x:c r="W128" s="9"/>
      <x:c r="X128" s="7"/>
      <x:c r="Y128" s="9"/>
      <x:c r="Z128" s="8"/>
      <x:c r="AA128" s="8"/>
      <x:c r="AB128" s="7"/>
      <x:c r="AC128" s="7"/>
      <x:c r="AD128" s="13"/>
      <x:c r="AE128" s="7"/>
      <x:c r="AF128" s="7"/>
      <x:c r="AG128" s="7"/>
      <x:c r="AH128" s="7"/>
      <x:c r="AI128" s="7"/>
      <x:c r="AJ128" s="9" t="str">
        <x:f>IF($A128="","",SUMIF(Sales_Items!$A$2:$A$501,$A128,Sales_Items!$O$2:$O$501))</x:f>
      </x:c>
      <x:c r="AK128" s="9" t="str">
        <x:f>IF($A128="","",$AJ128*$L128/100)</x:f>
      </x:c>
      <x:c r="AL128" s="9" t="str">
        <x:f>IF($A128="","",MAX(0,$AJ128-$AK128))</x:f>
      </x:c>
      <x:c r="AM128" s="9" t="str">
        <x:f>IF($A128="","",MAX(0,$AL128*$M128/100))</x:f>
      </x:c>
      <x:c r="AN128" s="9" t="str">
        <x:f>IF($A128="","",MAX(0,$AL128*$N128/100))</x:f>
      </x:c>
      <x:c r="AO128" s="9" t="str">
        <x:f>IF($A128="","",MAX(0,$AL128*$O128/100))</x:f>
      </x:c>
      <x:c r="AP128" s="9" t="str">
        <x:f>IF($A128="","",MAX(0,$AL128+$AM128+$P128+$W128-$AN128-$AO128-$Q128))</x:f>
      </x:c>
    </x:row>
    <x:row r="129">
      <x:c r="A129" s="13"/>
      <x:c r="B129" s="7"/>
      <x:c r="C129" s="13"/>
      <x:c r="D129" s="14"/>
      <x:c r="E129" s="8"/>
      <x:c r="F129" s="13"/>
      <x:c r="G129" s="7"/>
      <x:c r="H129" s="7"/>
      <x:c r="I129" s="7"/>
      <x:c r="J129" s="13"/>
      <x:c r="K129" s="16"/>
      <x:c r="L129" s="10"/>
      <x:c r="M129" s="10"/>
      <x:c r="N129" s="10"/>
      <x:c r="O129" s="10"/>
      <x:c r="P129" s="9"/>
      <x:c r="Q129" s="9"/>
      <x:c r="R129" s="7"/>
      <x:c r="S129" s="7"/>
      <x:c r="T129" s="7"/>
      <x:c r="U129" s="7"/>
      <x:c r="V129" s="7"/>
      <x:c r="W129" s="9"/>
      <x:c r="X129" s="7"/>
      <x:c r="Y129" s="9"/>
      <x:c r="Z129" s="8"/>
      <x:c r="AA129" s="8"/>
      <x:c r="AB129" s="7"/>
      <x:c r="AC129" s="7"/>
      <x:c r="AD129" s="13"/>
      <x:c r="AE129" s="7"/>
      <x:c r="AF129" s="7"/>
      <x:c r="AG129" s="7"/>
      <x:c r="AH129" s="7"/>
      <x:c r="AI129" s="7"/>
      <x:c r="AJ129" s="9" t="str">
        <x:f>IF($A129="","",SUMIF(Sales_Items!$A$2:$A$501,$A129,Sales_Items!$O$2:$O$501))</x:f>
      </x:c>
      <x:c r="AK129" s="9" t="str">
        <x:f>IF($A129="","",$AJ129*$L129/100)</x:f>
      </x:c>
      <x:c r="AL129" s="9" t="str">
        <x:f>IF($A129="","",MAX(0,$AJ129-$AK129))</x:f>
      </x:c>
      <x:c r="AM129" s="9" t="str">
        <x:f>IF($A129="","",MAX(0,$AL129*$M129/100))</x:f>
      </x:c>
      <x:c r="AN129" s="9" t="str">
        <x:f>IF($A129="","",MAX(0,$AL129*$N129/100))</x:f>
      </x:c>
      <x:c r="AO129" s="9" t="str">
        <x:f>IF($A129="","",MAX(0,$AL129*$O129/100))</x:f>
      </x:c>
      <x:c r="AP129" s="9" t="str">
        <x:f>IF($A129="","",MAX(0,$AL129+$AM129+$P129+$W129-$AN129-$AO129-$Q129))</x:f>
      </x:c>
    </x:row>
    <x:row r="130">
      <x:c r="A130" s="13"/>
      <x:c r="B130" s="7"/>
      <x:c r="C130" s="13"/>
      <x:c r="D130" s="14"/>
      <x:c r="E130" s="8"/>
      <x:c r="F130" s="13"/>
      <x:c r="G130" s="7"/>
      <x:c r="H130" s="7"/>
      <x:c r="I130" s="7"/>
      <x:c r="J130" s="13"/>
      <x:c r="K130" s="16"/>
      <x:c r="L130" s="10"/>
      <x:c r="M130" s="10"/>
      <x:c r="N130" s="10"/>
      <x:c r="O130" s="10"/>
      <x:c r="P130" s="9"/>
      <x:c r="Q130" s="9"/>
      <x:c r="R130" s="7"/>
      <x:c r="S130" s="7"/>
      <x:c r="T130" s="7"/>
      <x:c r="U130" s="7"/>
      <x:c r="V130" s="7"/>
      <x:c r="W130" s="9"/>
      <x:c r="X130" s="7"/>
      <x:c r="Y130" s="9"/>
      <x:c r="Z130" s="8"/>
      <x:c r="AA130" s="8"/>
      <x:c r="AB130" s="7"/>
      <x:c r="AC130" s="7"/>
      <x:c r="AD130" s="13"/>
      <x:c r="AE130" s="7"/>
      <x:c r="AF130" s="7"/>
      <x:c r="AG130" s="7"/>
      <x:c r="AH130" s="7"/>
      <x:c r="AI130" s="7"/>
      <x:c r="AJ130" s="9" t="str">
        <x:f>IF($A130="","",SUMIF(Sales_Items!$A$2:$A$501,$A130,Sales_Items!$O$2:$O$501))</x:f>
      </x:c>
      <x:c r="AK130" s="9" t="str">
        <x:f>IF($A130="","",$AJ130*$L130/100)</x:f>
      </x:c>
      <x:c r="AL130" s="9" t="str">
        <x:f>IF($A130="","",MAX(0,$AJ130-$AK130))</x:f>
      </x:c>
      <x:c r="AM130" s="9" t="str">
        <x:f>IF($A130="","",MAX(0,$AL130*$M130/100))</x:f>
      </x:c>
      <x:c r="AN130" s="9" t="str">
        <x:f>IF($A130="","",MAX(0,$AL130*$N130/100))</x:f>
      </x:c>
      <x:c r="AO130" s="9" t="str">
        <x:f>IF($A130="","",MAX(0,$AL130*$O130/100))</x:f>
      </x:c>
      <x:c r="AP130" s="9" t="str">
        <x:f>IF($A130="","",MAX(0,$AL130+$AM130+$P130+$W130-$AN130-$AO130-$Q130))</x:f>
      </x:c>
    </x:row>
    <x:row r="131">
      <x:c r="A131" s="13"/>
      <x:c r="B131" s="7"/>
      <x:c r="C131" s="13"/>
      <x:c r="D131" s="14"/>
      <x:c r="E131" s="8"/>
      <x:c r="F131" s="13"/>
      <x:c r="G131" s="7"/>
      <x:c r="H131" s="7"/>
      <x:c r="I131" s="7"/>
      <x:c r="J131" s="13"/>
      <x:c r="K131" s="16"/>
      <x:c r="L131" s="10"/>
      <x:c r="M131" s="10"/>
      <x:c r="N131" s="10"/>
      <x:c r="O131" s="10"/>
      <x:c r="P131" s="9"/>
      <x:c r="Q131" s="9"/>
      <x:c r="R131" s="7"/>
      <x:c r="S131" s="7"/>
      <x:c r="T131" s="7"/>
      <x:c r="U131" s="7"/>
      <x:c r="V131" s="7"/>
      <x:c r="W131" s="9"/>
      <x:c r="X131" s="7"/>
      <x:c r="Y131" s="9"/>
      <x:c r="Z131" s="8"/>
      <x:c r="AA131" s="8"/>
      <x:c r="AB131" s="7"/>
      <x:c r="AC131" s="7"/>
      <x:c r="AD131" s="13"/>
      <x:c r="AE131" s="7"/>
      <x:c r="AF131" s="7"/>
      <x:c r="AG131" s="7"/>
      <x:c r="AH131" s="7"/>
      <x:c r="AI131" s="7"/>
      <x:c r="AJ131" s="9" t="str">
        <x:f>IF($A131="","",SUMIF(Sales_Items!$A$2:$A$501,$A131,Sales_Items!$O$2:$O$501))</x:f>
      </x:c>
      <x:c r="AK131" s="9" t="str">
        <x:f>IF($A131="","",$AJ131*$L131/100)</x:f>
      </x:c>
      <x:c r="AL131" s="9" t="str">
        <x:f>IF($A131="","",MAX(0,$AJ131-$AK131))</x:f>
      </x:c>
      <x:c r="AM131" s="9" t="str">
        <x:f>IF($A131="","",MAX(0,$AL131*$M131/100))</x:f>
      </x:c>
      <x:c r="AN131" s="9" t="str">
        <x:f>IF($A131="","",MAX(0,$AL131*$N131/100))</x:f>
      </x:c>
      <x:c r="AO131" s="9" t="str">
        <x:f>IF($A131="","",MAX(0,$AL131*$O131/100))</x:f>
      </x:c>
      <x:c r="AP131" s="9" t="str">
        <x:f>IF($A131="","",MAX(0,$AL131+$AM131+$P131+$W131-$AN131-$AO131-$Q131))</x:f>
      </x:c>
    </x:row>
    <x:row r="132">
      <x:c r="A132" s="13"/>
      <x:c r="B132" s="7"/>
      <x:c r="C132" s="13"/>
      <x:c r="D132" s="14"/>
      <x:c r="E132" s="8"/>
      <x:c r="F132" s="13"/>
      <x:c r="G132" s="7"/>
      <x:c r="H132" s="7"/>
      <x:c r="I132" s="7"/>
      <x:c r="J132" s="13"/>
      <x:c r="K132" s="16"/>
      <x:c r="L132" s="10"/>
      <x:c r="M132" s="10"/>
      <x:c r="N132" s="10"/>
      <x:c r="O132" s="10"/>
      <x:c r="P132" s="9"/>
      <x:c r="Q132" s="9"/>
      <x:c r="R132" s="7"/>
      <x:c r="S132" s="7"/>
      <x:c r="T132" s="7"/>
      <x:c r="U132" s="7"/>
      <x:c r="V132" s="7"/>
      <x:c r="W132" s="9"/>
      <x:c r="X132" s="7"/>
      <x:c r="Y132" s="9"/>
      <x:c r="Z132" s="8"/>
      <x:c r="AA132" s="8"/>
      <x:c r="AB132" s="7"/>
      <x:c r="AC132" s="7"/>
      <x:c r="AD132" s="13"/>
      <x:c r="AE132" s="7"/>
      <x:c r="AF132" s="7"/>
      <x:c r="AG132" s="7"/>
      <x:c r="AH132" s="7"/>
      <x:c r="AI132" s="7"/>
      <x:c r="AJ132" s="9" t="str">
        <x:f>IF($A132="","",SUMIF(Sales_Items!$A$2:$A$501,$A132,Sales_Items!$O$2:$O$501))</x:f>
      </x:c>
      <x:c r="AK132" s="9" t="str">
        <x:f>IF($A132="","",$AJ132*$L132/100)</x:f>
      </x:c>
      <x:c r="AL132" s="9" t="str">
        <x:f>IF($A132="","",MAX(0,$AJ132-$AK132))</x:f>
      </x:c>
      <x:c r="AM132" s="9" t="str">
        <x:f>IF($A132="","",MAX(0,$AL132*$M132/100))</x:f>
      </x:c>
      <x:c r="AN132" s="9" t="str">
        <x:f>IF($A132="","",MAX(0,$AL132*$N132/100))</x:f>
      </x:c>
      <x:c r="AO132" s="9" t="str">
        <x:f>IF($A132="","",MAX(0,$AL132*$O132/100))</x:f>
      </x:c>
      <x:c r="AP132" s="9" t="str">
        <x:f>IF($A132="","",MAX(0,$AL132+$AM132+$P132+$W132-$AN132-$AO132-$Q132))</x:f>
      </x:c>
    </x:row>
    <x:row r="133">
      <x:c r="A133" s="13"/>
      <x:c r="B133" s="7"/>
      <x:c r="C133" s="13"/>
      <x:c r="D133" s="14"/>
      <x:c r="E133" s="8"/>
      <x:c r="F133" s="13"/>
      <x:c r="G133" s="7"/>
      <x:c r="H133" s="7"/>
      <x:c r="I133" s="7"/>
      <x:c r="J133" s="13"/>
      <x:c r="K133" s="16"/>
      <x:c r="L133" s="10"/>
      <x:c r="M133" s="10"/>
      <x:c r="N133" s="10"/>
      <x:c r="O133" s="10"/>
      <x:c r="P133" s="9"/>
      <x:c r="Q133" s="9"/>
      <x:c r="R133" s="7"/>
      <x:c r="S133" s="7"/>
      <x:c r="T133" s="7"/>
      <x:c r="U133" s="7"/>
      <x:c r="V133" s="7"/>
      <x:c r="W133" s="9"/>
      <x:c r="X133" s="7"/>
      <x:c r="Y133" s="9"/>
      <x:c r="Z133" s="8"/>
      <x:c r="AA133" s="8"/>
      <x:c r="AB133" s="7"/>
      <x:c r="AC133" s="7"/>
      <x:c r="AD133" s="13"/>
      <x:c r="AE133" s="7"/>
      <x:c r="AF133" s="7"/>
      <x:c r="AG133" s="7"/>
      <x:c r="AH133" s="7"/>
      <x:c r="AI133" s="7"/>
      <x:c r="AJ133" s="9" t="str">
        <x:f>IF($A133="","",SUMIF(Sales_Items!$A$2:$A$501,$A133,Sales_Items!$O$2:$O$501))</x:f>
      </x:c>
      <x:c r="AK133" s="9" t="str">
        <x:f>IF($A133="","",$AJ133*$L133/100)</x:f>
      </x:c>
      <x:c r="AL133" s="9" t="str">
        <x:f>IF($A133="","",MAX(0,$AJ133-$AK133))</x:f>
      </x:c>
      <x:c r="AM133" s="9" t="str">
        <x:f>IF($A133="","",MAX(0,$AL133*$M133/100))</x:f>
      </x:c>
      <x:c r="AN133" s="9" t="str">
        <x:f>IF($A133="","",MAX(0,$AL133*$N133/100))</x:f>
      </x:c>
      <x:c r="AO133" s="9" t="str">
        <x:f>IF($A133="","",MAX(0,$AL133*$O133/100))</x:f>
      </x:c>
      <x:c r="AP133" s="9" t="str">
        <x:f>IF($A133="","",MAX(0,$AL133+$AM133+$P133+$W133-$AN133-$AO133-$Q133))</x:f>
      </x:c>
    </x:row>
    <x:row r="134">
      <x:c r="A134" s="13"/>
      <x:c r="B134" s="7"/>
      <x:c r="C134" s="13"/>
      <x:c r="D134" s="14"/>
      <x:c r="E134" s="8"/>
      <x:c r="F134" s="13"/>
      <x:c r="G134" s="7"/>
      <x:c r="H134" s="7"/>
      <x:c r="I134" s="7"/>
      <x:c r="J134" s="13"/>
      <x:c r="K134" s="16"/>
      <x:c r="L134" s="10"/>
      <x:c r="M134" s="10"/>
      <x:c r="N134" s="10"/>
      <x:c r="O134" s="10"/>
      <x:c r="P134" s="9"/>
      <x:c r="Q134" s="9"/>
      <x:c r="R134" s="7"/>
      <x:c r="S134" s="7"/>
      <x:c r="T134" s="7"/>
      <x:c r="U134" s="7"/>
      <x:c r="V134" s="7"/>
      <x:c r="W134" s="9"/>
      <x:c r="X134" s="7"/>
      <x:c r="Y134" s="9"/>
      <x:c r="Z134" s="8"/>
      <x:c r="AA134" s="8"/>
      <x:c r="AB134" s="7"/>
      <x:c r="AC134" s="7"/>
      <x:c r="AD134" s="13"/>
      <x:c r="AE134" s="7"/>
      <x:c r="AF134" s="7"/>
      <x:c r="AG134" s="7"/>
      <x:c r="AH134" s="7"/>
      <x:c r="AI134" s="7"/>
      <x:c r="AJ134" s="9" t="str">
        <x:f>IF($A134="","",SUMIF(Sales_Items!$A$2:$A$501,$A134,Sales_Items!$O$2:$O$501))</x:f>
      </x:c>
      <x:c r="AK134" s="9" t="str">
        <x:f>IF($A134="","",$AJ134*$L134/100)</x:f>
      </x:c>
      <x:c r="AL134" s="9" t="str">
        <x:f>IF($A134="","",MAX(0,$AJ134-$AK134))</x:f>
      </x:c>
      <x:c r="AM134" s="9" t="str">
        <x:f>IF($A134="","",MAX(0,$AL134*$M134/100))</x:f>
      </x:c>
      <x:c r="AN134" s="9" t="str">
        <x:f>IF($A134="","",MAX(0,$AL134*$N134/100))</x:f>
      </x:c>
      <x:c r="AO134" s="9" t="str">
        <x:f>IF($A134="","",MAX(0,$AL134*$O134/100))</x:f>
      </x:c>
      <x:c r="AP134" s="9" t="str">
        <x:f>IF($A134="","",MAX(0,$AL134+$AM134+$P134+$W134-$AN134-$AO134-$Q134))</x:f>
      </x:c>
    </x:row>
    <x:row r="135">
      <x:c r="A135" s="13"/>
      <x:c r="B135" s="7"/>
      <x:c r="C135" s="13"/>
      <x:c r="D135" s="14"/>
      <x:c r="E135" s="8"/>
      <x:c r="F135" s="13"/>
      <x:c r="G135" s="7"/>
      <x:c r="H135" s="7"/>
      <x:c r="I135" s="7"/>
      <x:c r="J135" s="13"/>
      <x:c r="K135" s="16"/>
      <x:c r="L135" s="10"/>
      <x:c r="M135" s="10"/>
      <x:c r="N135" s="10"/>
      <x:c r="O135" s="10"/>
      <x:c r="P135" s="9"/>
      <x:c r="Q135" s="9"/>
      <x:c r="R135" s="7"/>
      <x:c r="S135" s="7"/>
      <x:c r="T135" s="7"/>
      <x:c r="U135" s="7"/>
      <x:c r="V135" s="7"/>
      <x:c r="W135" s="9"/>
      <x:c r="X135" s="7"/>
      <x:c r="Y135" s="9"/>
      <x:c r="Z135" s="8"/>
      <x:c r="AA135" s="8"/>
      <x:c r="AB135" s="7"/>
      <x:c r="AC135" s="7"/>
      <x:c r="AD135" s="13"/>
      <x:c r="AE135" s="7"/>
      <x:c r="AF135" s="7"/>
      <x:c r="AG135" s="7"/>
      <x:c r="AH135" s="7"/>
      <x:c r="AI135" s="7"/>
      <x:c r="AJ135" s="9" t="str">
        <x:f>IF($A135="","",SUMIF(Sales_Items!$A$2:$A$501,$A135,Sales_Items!$O$2:$O$501))</x:f>
      </x:c>
      <x:c r="AK135" s="9" t="str">
        <x:f>IF($A135="","",$AJ135*$L135/100)</x:f>
      </x:c>
      <x:c r="AL135" s="9" t="str">
        <x:f>IF($A135="","",MAX(0,$AJ135-$AK135))</x:f>
      </x:c>
      <x:c r="AM135" s="9" t="str">
        <x:f>IF($A135="","",MAX(0,$AL135*$M135/100))</x:f>
      </x:c>
      <x:c r="AN135" s="9" t="str">
        <x:f>IF($A135="","",MAX(0,$AL135*$N135/100))</x:f>
      </x:c>
      <x:c r="AO135" s="9" t="str">
        <x:f>IF($A135="","",MAX(0,$AL135*$O135/100))</x:f>
      </x:c>
      <x:c r="AP135" s="9" t="str">
        <x:f>IF($A135="","",MAX(0,$AL135+$AM135+$P135+$W135-$AN135-$AO135-$Q135))</x:f>
      </x:c>
    </x:row>
    <x:row r="136">
      <x:c r="A136" s="13"/>
      <x:c r="B136" s="7"/>
      <x:c r="C136" s="13"/>
      <x:c r="D136" s="14"/>
      <x:c r="E136" s="8"/>
      <x:c r="F136" s="13"/>
      <x:c r="G136" s="7"/>
      <x:c r="H136" s="7"/>
      <x:c r="I136" s="7"/>
      <x:c r="J136" s="13"/>
      <x:c r="K136" s="16"/>
      <x:c r="L136" s="10"/>
      <x:c r="M136" s="10"/>
      <x:c r="N136" s="10"/>
      <x:c r="O136" s="10"/>
      <x:c r="P136" s="9"/>
      <x:c r="Q136" s="9"/>
      <x:c r="R136" s="7"/>
      <x:c r="S136" s="7"/>
      <x:c r="T136" s="7"/>
      <x:c r="U136" s="7"/>
      <x:c r="V136" s="7"/>
      <x:c r="W136" s="9"/>
      <x:c r="X136" s="7"/>
      <x:c r="Y136" s="9"/>
      <x:c r="Z136" s="8"/>
      <x:c r="AA136" s="8"/>
      <x:c r="AB136" s="7"/>
      <x:c r="AC136" s="7"/>
      <x:c r="AD136" s="13"/>
      <x:c r="AE136" s="7"/>
      <x:c r="AF136" s="7"/>
      <x:c r="AG136" s="7"/>
      <x:c r="AH136" s="7"/>
      <x:c r="AI136" s="7"/>
      <x:c r="AJ136" s="9" t="str">
        <x:f>IF($A136="","",SUMIF(Sales_Items!$A$2:$A$501,$A136,Sales_Items!$O$2:$O$501))</x:f>
      </x:c>
      <x:c r="AK136" s="9" t="str">
        <x:f>IF($A136="","",$AJ136*$L136/100)</x:f>
      </x:c>
      <x:c r="AL136" s="9" t="str">
        <x:f>IF($A136="","",MAX(0,$AJ136-$AK136))</x:f>
      </x:c>
      <x:c r="AM136" s="9" t="str">
        <x:f>IF($A136="","",MAX(0,$AL136*$M136/100))</x:f>
      </x:c>
      <x:c r="AN136" s="9" t="str">
        <x:f>IF($A136="","",MAX(0,$AL136*$N136/100))</x:f>
      </x:c>
      <x:c r="AO136" s="9" t="str">
        <x:f>IF($A136="","",MAX(0,$AL136*$O136/100))</x:f>
      </x:c>
      <x:c r="AP136" s="9" t="str">
        <x:f>IF($A136="","",MAX(0,$AL136+$AM136+$P136+$W136-$AN136-$AO136-$Q136))</x:f>
      </x:c>
    </x:row>
    <x:row r="137">
      <x:c r="A137" s="13"/>
      <x:c r="B137" s="7"/>
      <x:c r="C137" s="13"/>
      <x:c r="D137" s="14"/>
      <x:c r="E137" s="8"/>
      <x:c r="F137" s="13"/>
      <x:c r="G137" s="7"/>
      <x:c r="H137" s="7"/>
      <x:c r="I137" s="7"/>
      <x:c r="J137" s="13"/>
      <x:c r="K137" s="16"/>
      <x:c r="L137" s="10"/>
      <x:c r="M137" s="10"/>
      <x:c r="N137" s="10"/>
      <x:c r="O137" s="10"/>
      <x:c r="P137" s="9"/>
      <x:c r="Q137" s="9"/>
      <x:c r="R137" s="7"/>
      <x:c r="S137" s="7"/>
      <x:c r="T137" s="7"/>
      <x:c r="U137" s="7"/>
      <x:c r="V137" s="7"/>
      <x:c r="W137" s="9"/>
      <x:c r="X137" s="7"/>
      <x:c r="Y137" s="9"/>
      <x:c r="Z137" s="8"/>
      <x:c r="AA137" s="8"/>
      <x:c r="AB137" s="7"/>
      <x:c r="AC137" s="7"/>
      <x:c r="AD137" s="13"/>
      <x:c r="AE137" s="7"/>
      <x:c r="AF137" s="7"/>
      <x:c r="AG137" s="7"/>
      <x:c r="AH137" s="7"/>
      <x:c r="AI137" s="7"/>
      <x:c r="AJ137" s="9" t="str">
        <x:f>IF($A137="","",SUMIF(Sales_Items!$A$2:$A$501,$A137,Sales_Items!$O$2:$O$501))</x:f>
      </x:c>
      <x:c r="AK137" s="9" t="str">
        <x:f>IF($A137="","",$AJ137*$L137/100)</x:f>
      </x:c>
      <x:c r="AL137" s="9" t="str">
        <x:f>IF($A137="","",MAX(0,$AJ137-$AK137))</x:f>
      </x:c>
      <x:c r="AM137" s="9" t="str">
        <x:f>IF($A137="","",MAX(0,$AL137*$M137/100))</x:f>
      </x:c>
      <x:c r="AN137" s="9" t="str">
        <x:f>IF($A137="","",MAX(0,$AL137*$N137/100))</x:f>
      </x:c>
      <x:c r="AO137" s="9" t="str">
        <x:f>IF($A137="","",MAX(0,$AL137*$O137/100))</x:f>
      </x:c>
      <x:c r="AP137" s="9" t="str">
        <x:f>IF($A137="","",MAX(0,$AL137+$AM137+$P137+$W137-$AN137-$AO137-$Q137))</x:f>
      </x:c>
    </x:row>
    <x:row r="138">
      <x:c r="A138" s="13"/>
      <x:c r="B138" s="7"/>
      <x:c r="C138" s="13"/>
      <x:c r="D138" s="14"/>
      <x:c r="E138" s="8"/>
      <x:c r="F138" s="13"/>
      <x:c r="G138" s="7"/>
      <x:c r="H138" s="7"/>
      <x:c r="I138" s="7"/>
      <x:c r="J138" s="13"/>
      <x:c r="K138" s="16"/>
      <x:c r="L138" s="10"/>
      <x:c r="M138" s="10"/>
      <x:c r="N138" s="10"/>
      <x:c r="O138" s="10"/>
      <x:c r="P138" s="9"/>
      <x:c r="Q138" s="9"/>
      <x:c r="R138" s="7"/>
      <x:c r="S138" s="7"/>
      <x:c r="T138" s="7"/>
      <x:c r="U138" s="7"/>
      <x:c r="V138" s="7"/>
      <x:c r="W138" s="9"/>
      <x:c r="X138" s="7"/>
      <x:c r="Y138" s="9"/>
      <x:c r="Z138" s="8"/>
      <x:c r="AA138" s="8"/>
      <x:c r="AB138" s="7"/>
      <x:c r="AC138" s="7"/>
      <x:c r="AD138" s="13"/>
      <x:c r="AE138" s="7"/>
      <x:c r="AF138" s="7"/>
      <x:c r="AG138" s="7"/>
      <x:c r="AH138" s="7"/>
      <x:c r="AI138" s="7"/>
      <x:c r="AJ138" s="9" t="str">
        <x:f>IF($A138="","",SUMIF(Sales_Items!$A$2:$A$501,$A138,Sales_Items!$O$2:$O$501))</x:f>
      </x:c>
      <x:c r="AK138" s="9" t="str">
        <x:f>IF($A138="","",$AJ138*$L138/100)</x:f>
      </x:c>
      <x:c r="AL138" s="9" t="str">
        <x:f>IF($A138="","",MAX(0,$AJ138-$AK138))</x:f>
      </x:c>
      <x:c r="AM138" s="9" t="str">
        <x:f>IF($A138="","",MAX(0,$AL138*$M138/100))</x:f>
      </x:c>
      <x:c r="AN138" s="9" t="str">
        <x:f>IF($A138="","",MAX(0,$AL138*$N138/100))</x:f>
      </x:c>
      <x:c r="AO138" s="9" t="str">
        <x:f>IF($A138="","",MAX(0,$AL138*$O138/100))</x:f>
      </x:c>
      <x:c r="AP138" s="9" t="str">
        <x:f>IF($A138="","",MAX(0,$AL138+$AM138+$P138+$W138-$AN138-$AO138-$Q138))</x:f>
      </x:c>
    </x:row>
    <x:row r="139">
      <x:c r="A139" s="13"/>
      <x:c r="B139" s="7"/>
      <x:c r="C139" s="13"/>
      <x:c r="D139" s="14"/>
      <x:c r="E139" s="8"/>
      <x:c r="F139" s="13"/>
      <x:c r="G139" s="7"/>
      <x:c r="H139" s="7"/>
      <x:c r="I139" s="7"/>
      <x:c r="J139" s="13"/>
      <x:c r="K139" s="16"/>
      <x:c r="L139" s="10"/>
      <x:c r="M139" s="10"/>
      <x:c r="N139" s="10"/>
      <x:c r="O139" s="10"/>
      <x:c r="P139" s="9"/>
      <x:c r="Q139" s="9"/>
      <x:c r="R139" s="7"/>
      <x:c r="S139" s="7"/>
      <x:c r="T139" s="7"/>
      <x:c r="U139" s="7"/>
      <x:c r="V139" s="7"/>
      <x:c r="W139" s="9"/>
      <x:c r="X139" s="7"/>
      <x:c r="Y139" s="9"/>
      <x:c r="Z139" s="8"/>
      <x:c r="AA139" s="8"/>
      <x:c r="AB139" s="7"/>
      <x:c r="AC139" s="7"/>
      <x:c r="AD139" s="13"/>
      <x:c r="AE139" s="7"/>
      <x:c r="AF139" s="7"/>
      <x:c r="AG139" s="7"/>
      <x:c r="AH139" s="7"/>
      <x:c r="AI139" s="7"/>
      <x:c r="AJ139" s="9" t="str">
        <x:f>IF($A139="","",SUMIF(Sales_Items!$A$2:$A$501,$A139,Sales_Items!$O$2:$O$501))</x:f>
      </x:c>
      <x:c r="AK139" s="9" t="str">
        <x:f>IF($A139="","",$AJ139*$L139/100)</x:f>
      </x:c>
      <x:c r="AL139" s="9" t="str">
        <x:f>IF($A139="","",MAX(0,$AJ139-$AK139))</x:f>
      </x:c>
      <x:c r="AM139" s="9" t="str">
        <x:f>IF($A139="","",MAX(0,$AL139*$M139/100))</x:f>
      </x:c>
      <x:c r="AN139" s="9" t="str">
        <x:f>IF($A139="","",MAX(0,$AL139*$N139/100))</x:f>
      </x:c>
      <x:c r="AO139" s="9" t="str">
        <x:f>IF($A139="","",MAX(0,$AL139*$O139/100))</x:f>
      </x:c>
      <x:c r="AP139" s="9" t="str">
        <x:f>IF($A139="","",MAX(0,$AL139+$AM139+$P139+$W139-$AN139-$AO139-$Q139))</x:f>
      </x:c>
    </x:row>
    <x:row r="140">
      <x:c r="A140" s="13"/>
      <x:c r="B140" s="7"/>
      <x:c r="C140" s="13"/>
      <x:c r="D140" s="14"/>
      <x:c r="E140" s="8"/>
      <x:c r="F140" s="13"/>
      <x:c r="G140" s="7"/>
      <x:c r="H140" s="7"/>
      <x:c r="I140" s="7"/>
      <x:c r="J140" s="13"/>
      <x:c r="K140" s="16"/>
      <x:c r="L140" s="10"/>
      <x:c r="M140" s="10"/>
      <x:c r="N140" s="10"/>
      <x:c r="O140" s="10"/>
      <x:c r="P140" s="9"/>
      <x:c r="Q140" s="9"/>
      <x:c r="R140" s="7"/>
      <x:c r="S140" s="7"/>
      <x:c r="T140" s="7"/>
      <x:c r="U140" s="7"/>
      <x:c r="V140" s="7"/>
      <x:c r="W140" s="9"/>
      <x:c r="X140" s="7"/>
      <x:c r="Y140" s="9"/>
      <x:c r="Z140" s="8"/>
      <x:c r="AA140" s="8"/>
      <x:c r="AB140" s="7"/>
      <x:c r="AC140" s="7"/>
      <x:c r="AD140" s="13"/>
      <x:c r="AE140" s="7"/>
      <x:c r="AF140" s="7"/>
      <x:c r="AG140" s="7"/>
      <x:c r="AH140" s="7"/>
      <x:c r="AI140" s="7"/>
      <x:c r="AJ140" s="9" t="str">
        <x:f>IF($A140="","",SUMIF(Sales_Items!$A$2:$A$501,$A140,Sales_Items!$O$2:$O$501))</x:f>
      </x:c>
      <x:c r="AK140" s="9" t="str">
        <x:f>IF($A140="","",$AJ140*$L140/100)</x:f>
      </x:c>
      <x:c r="AL140" s="9" t="str">
        <x:f>IF($A140="","",MAX(0,$AJ140-$AK140))</x:f>
      </x:c>
      <x:c r="AM140" s="9" t="str">
        <x:f>IF($A140="","",MAX(0,$AL140*$M140/100))</x:f>
      </x:c>
      <x:c r="AN140" s="9" t="str">
        <x:f>IF($A140="","",MAX(0,$AL140*$N140/100))</x:f>
      </x:c>
      <x:c r="AO140" s="9" t="str">
        <x:f>IF($A140="","",MAX(0,$AL140*$O140/100))</x:f>
      </x:c>
      <x:c r="AP140" s="9" t="str">
        <x:f>IF($A140="","",MAX(0,$AL140+$AM140+$P140+$W140-$AN140-$AO140-$Q140))</x:f>
      </x:c>
    </x:row>
    <x:row r="141">
      <x:c r="A141" s="13"/>
      <x:c r="B141" s="7"/>
      <x:c r="C141" s="13"/>
      <x:c r="D141" s="14"/>
      <x:c r="E141" s="8"/>
      <x:c r="F141" s="13"/>
      <x:c r="G141" s="7"/>
      <x:c r="H141" s="7"/>
      <x:c r="I141" s="7"/>
      <x:c r="J141" s="13"/>
      <x:c r="K141" s="16"/>
      <x:c r="L141" s="10"/>
      <x:c r="M141" s="10"/>
      <x:c r="N141" s="10"/>
      <x:c r="O141" s="10"/>
      <x:c r="P141" s="9"/>
      <x:c r="Q141" s="9"/>
      <x:c r="R141" s="7"/>
      <x:c r="S141" s="7"/>
      <x:c r="T141" s="7"/>
      <x:c r="U141" s="7"/>
      <x:c r="V141" s="7"/>
      <x:c r="W141" s="9"/>
      <x:c r="X141" s="7"/>
      <x:c r="Y141" s="9"/>
      <x:c r="Z141" s="8"/>
      <x:c r="AA141" s="8"/>
      <x:c r="AB141" s="7"/>
      <x:c r="AC141" s="7"/>
      <x:c r="AD141" s="13"/>
      <x:c r="AE141" s="7"/>
      <x:c r="AF141" s="7"/>
      <x:c r="AG141" s="7"/>
      <x:c r="AH141" s="7"/>
      <x:c r="AI141" s="7"/>
      <x:c r="AJ141" s="9" t="str">
        <x:f>IF($A141="","",SUMIF(Sales_Items!$A$2:$A$501,$A141,Sales_Items!$O$2:$O$501))</x:f>
      </x:c>
      <x:c r="AK141" s="9" t="str">
        <x:f>IF($A141="","",$AJ141*$L141/100)</x:f>
      </x:c>
      <x:c r="AL141" s="9" t="str">
        <x:f>IF($A141="","",MAX(0,$AJ141-$AK141))</x:f>
      </x:c>
      <x:c r="AM141" s="9" t="str">
        <x:f>IF($A141="","",MAX(0,$AL141*$M141/100))</x:f>
      </x:c>
      <x:c r="AN141" s="9" t="str">
        <x:f>IF($A141="","",MAX(0,$AL141*$N141/100))</x:f>
      </x:c>
      <x:c r="AO141" s="9" t="str">
        <x:f>IF($A141="","",MAX(0,$AL141*$O141/100))</x:f>
      </x:c>
      <x:c r="AP141" s="9" t="str">
        <x:f>IF($A141="","",MAX(0,$AL141+$AM141+$P141+$W141-$AN141-$AO141-$Q141))</x:f>
      </x:c>
    </x:row>
    <x:row r="142">
      <x:c r="A142" s="13"/>
      <x:c r="B142" s="7"/>
      <x:c r="C142" s="13"/>
      <x:c r="D142" s="14"/>
      <x:c r="E142" s="8"/>
      <x:c r="F142" s="13"/>
      <x:c r="G142" s="7"/>
      <x:c r="H142" s="7"/>
      <x:c r="I142" s="7"/>
      <x:c r="J142" s="13"/>
      <x:c r="K142" s="16"/>
      <x:c r="L142" s="10"/>
      <x:c r="M142" s="10"/>
      <x:c r="N142" s="10"/>
      <x:c r="O142" s="10"/>
      <x:c r="P142" s="9"/>
      <x:c r="Q142" s="9"/>
      <x:c r="R142" s="7"/>
      <x:c r="S142" s="7"/>
      <x:c r="T142" s="7"/>
      <x:c r="U142" s="7"/>
      <x:c r="V142" s="7"/>
      <x:c r="W142" s="9"/>
      <x:c r="X142" s="7"/>
      <x:c r="Y142" s="9"/>
      <x:c r="Z142" s="8"/>
      <x:c r="AA142" s="8"/>
      <x:c r="AB142" s="7"/>
      <x:c r="AC142" s="7"/>
      <x:c r="AD142" s="13"/>
      <x:c r="AE142" s="7"/>
      <x:c r="AF142" s="7"/>
      <x:c r="AG142" s="7"/>
      <x:c r="AH142" s="7"/>
      <x:c r="AI142" s="7"/>
      <x:c r="AJ142" s="9" t="str">
        <x:f>IF($A142="","",SUMIF(Sales_Items!$A$2:$A$501,$A142,Sales_Items!$O$2:$O$501))</x:f>
      </x:c>
      <x:c r="AK142" s="9" t="str">
        <x:f>IF($A142="","",$AJ142*$L142/100)</x:f>
      </x:c>
      <x:c r="AL142" s="9" t="str">
        <x:f>IF($A142="","",MAX(0,$AJ142-$AK142))</x:f>
      </x:c>
      <x:c r="AM142" s="9" t="str">
        <x:f>IF($A142="","",MAX(0,$AL142*$M142/100))</x:f>
      </x:c>
      <x:c r="AN142" s="9" t="str">
        <x:f>IF($A142="","",MAX(0,$AL142*$N142/100))</x:f>
      </x:c>
      <x:c r="AO142" s="9" t="str">
        <x:f>IF($A142="","",MAX(0,$AL142*$O142/100))</x:f>
      </x:c>
      <x:c r="AP142" s="9" t="str">
        <x:f>IF($A142="","",MAX(0,$AL142+$AM142+$P142+$W142-$AN142-$AO142-$Q142))</x:f>
      </x:c>
    </x:row>
    <x:row r="143">
      <x:c r="A143" s="13"/>
      <x:c r="B143" s="7"/>
      <x:c r="C143" s="13"/>
      <x:c r="D143" s="14"/>
      <x:c r="E143" s="8"/>
      <x:c r="F143" s="13"/>
      <x:c r="G143" s="7"/>
      <x:c r="H143" s="7"/>
      <x:c r="I143" s="7"/>
      <x:c r="J143" s="13"/>
      <x:c r="K143" s="16"/>
      <x:c r="L143" s="10"/>
      <x:c r="M143" s="10"/>
      <x:c r="N143" s="10"/>
      <x:c r="O143" s="10"/>
      <x:c r="P143" s="9"/>
      <x:c r="Q143" s="9"/>
      <x:c r="R143" s="7"/>
      <x:c r="S143" s="7"/>
      <x:c r="T143" s="7"/>
      <x:c r="U143" s="7"/>
      <x:c r="V143" s="7"/>
      <x:c r="W143" s="9"/>
      <x:c r="X143" s="7"/>
      <x:c r="Y143" s="9"/>
      <x:c r="Z143" s="8"/>
      <x:c r="AA143" s="8"/>
      <x:c r="AB143" s="7"/>
      <x:c r="AC143" s="7"/>
      <x:c r="AD143" s="13"/>
      <x:c r="AE143" s="7"/>
      <x:c r="AF143" s="7"/>
      <x:c r="AG143" s="7"/>
      <x:c r="AH143" s="7"/>
      <x:c r="AI143" s="7"/>
      <x:c r="AJ143" s="9" t="str">
        <x:f>IF($A143="","",SUMIF(Sales_Items!$A$2:$A$501,$A143,Sales_Items!$O$2:$O$501))</x:f>
      </x:c>
      <x:c r="AK143" s="9" t="str">
        <x:f>IF($A143="","",$AJ143*$L143/100)</x:f>
      </x:c>
      <x:c r="AL143" s="9" t="str">
        <x:f>IF($A143="","",MAX(0,$AJ143-$AK143))</x:f>
      </x:c>
      <x:c r="AM143" s="9" t="str">
        <x:f>IF($A143="","",MAX(0,$AL143*$M143/100))</x:f>
      </x:c>
      <x:c r="AN143" s="9" t="str">
        <x:f>IF($A143="","",MAX(0,$AL143*$N143/100))</x:f>
      </x:c>
      <x:c r="AO143" s="9" t="str">
        <x:f>IF($A143="","",MAX(0,$AL143*$O143/100))</x:f>
      </x:c>
      <x:c r="AP143" s="9" t="str">
        <x:f>IF($A143="","",MAX(0,$AL143+$AM143+$P143+$W143-$AN143-$AO143-$Q143))</x:f>
      </x:c>
    </x:row>
    <x:row r="144">
      <x:c r="A144" s="13"/>
      <x:c r="B144" s="7"/>
      <x:c r="C144" s="13"/>
      <x:c r="D144" s="14"/>
      <x:c r="E144" s="8"/>
      <x:c r="F144" s="13"/>
      <x:c r="G144" s="7"/>
      <x:c r="H144" s="7"/>
      <x:c r="I144" s="7"/>
      <x:c r="J144" s="13"/>
      <x:c r="K144" s="16"/>
      <x:c r="L144" s="10"/>
      <x:c r="M144" s="10"/>
      <x:c r="N144" s="10"/>
      <x:c r="O144" s="10"/>
      <x:c r="P144" s="9"/>
      <x:c r="Q144" s="9"/>
      <x:c r="R144" s="7"/>
      <x:c r="S144" s="7"/>
      <x:c r="T144" s="7"/>
      <x:c r="U144" s="7"/>
      <x:c r="V144" s="7"/>
      <x:c r="W144" s="9"/>
      <x:c r="X144" s="7"/>
      <x:c r="Y144" s="9"/>
      <x:c r="Z144" s="8"/>
      <x:c r="AA144" s="8"/>
      <x:c r="AB144" s="7"/>
      <x:c r="AC144" s="7"/>
      <x:c r="AD144" s="13"/>
      <x:c r="AE144" s="7"/>
      <x:c r="AF144" s="7"/>
      <x:c r="AG144" s="7"/>
      <x:c r="AH144" s="7"/>
      <x:c r="AI144" s="7"/>
      <x:c r="AJ144" s="9" t="str">
        <x:f>IF($A144="","",SUMIF(Sales_Items!$A$2:$A$501,$A144,Sales_Items!$O$2:$O$501))</x:f>
      </x:c>
      <x:c r="AK144" s="9" t="str">
        <x:f>IF($A144="","",$AJ144*$L144/100)</x:f>
      </x:c>
      <x:c r="AL144" s="9" t="str">
        <x:f>IF($A144="","",MAX(0,$AJ144-$AK144))</x:f>
      </x:c>
      <x:c r="AM144" s="9" t="str">
        <x:f>IF($A144="","",MAX(0,$AL144*$M144/100))</x:f>
      </x:c>
      <x:c r="AN144" s="9" t="str">
        <x:f>IF($A144="","",MAX(0,$AL144*$N144/100))</x:f>
      </x:c>
      <x:c r="AO144" s="9" t="str">
        <x:f>IF($A144="","",MAX(0,$AL144*$O144/100))</x:f>
      </x:c>
      <x:c r="AP144" s="9" t="str">
        <x:f>IF($A144="","",MAX(0,$AL144+$AM144+$P144+$W144-$AN144-$AO144-$Q144))</x:f>
      </x:c>
    </x:row>
    <x:row r="145">
      <x:c r="A145" s="13"/>
      <x:c r="B145" s="7"/>
      <x:c r="C145" s="13"/>
      <x:c r="D145" s="14"/>
      <x:c r="E145" s="8"/>
      <x:c r="F145" s="13"/>
      <x:c r="G145" s="7"/>
      <x:c r="H145" s="7"/>
      <x:c r="I145" s="7"/>
      <x:c r="J145" s="13"/>
      <x:c r="K145" s="16"/>
      <x:c r="L145" s="10"/>
      <x:c r="M145" s="10"/>
      <x:c r="N145" s="10"/>
      <x:c r="O145" s="10"/>
      <x:c r="P145" s="9"/>
      <x:c r="Q145" s="9"/>
      <x:c r="R145" s="7"/>
      <x:c r="S145" s="7"/>
      <x:c r="T145" s="7"/>
      <x:c r="U145" s="7"/>
      <x:c r="V145" s="7"/>
      <x:c r="W145" s="9"/>
      <x:c r="X145" s="7"/>
      <x:c r="Y145" s="9"/>
      <x:c r="Z145" s="8"/>
      <x:c r="AA145" s="8"/>
      <x:c r="AB145" s="7"/>
      <x:c r="AC145" s="7"/>
      <x:c r="AD145" s="13"/>
      <x:c r="AE145" s="7"/>
      <x:c r="AF145" s="7"/>
      <x:c r="AG145" s="7"/>
      <x:c r="AH145" s="7"/>
      <x:c r="AI145" s="7"/>
      <x:c r="AJ145" s="9" t="str">
        <x:f>IF($A145="","",SUMIF(Sales_Items!$A$2:$A$501,$A145,Sales_Items!$O$2:$O$501))</x:f>
      </x:c>
      <x:c r="AK145" s="9" t="str">
        <x:f>IF($A145="","",$AJ145*$L145/100)</x:f>
      </x:c>
      <x:c r="AL145" s="9" t="str">
        <x:f>IF($A145="","",MAX(0,$AJ145-$AK145))</x:f>
      </x:c>
      <x:c r="AM145" s="9" t="str">
        <x:f>IF($A145="","",MAX(0,$AL145*$M145/100))</x:f>
      </x:c>
      <x:c r="AN145" s="9" t="str">
        <x:f>IF($A145="","",MAX(0,$AL145*$N145/100))</x:f>
      </x:c>
      <x:c r="AO145" s="9" t="str">
        <x:f>IF($A145="","",MAX(0,$AL145*$O145/100))</x:f>
      </x:c>
      <x:c r="AP145" s="9" t="str">
        <x:f>IF($A145="","",MAX(0,$AL145+$AM145+$P145+$W145-$AN145-$AO145-$Q145))</x:f>
      </x:c>
    </x:row>
    <x:row r="146">
      <x:c r="A146" s="13"/>
      <x:c r="B146" s="7"/>
      <x:c r="C146" s="13"/>
      <x:c r="D146" s="14"/>
      <x:c r="E146" s="8"/>
      <x:c r="F146" s="13"/>
      <x:c r="G146" s="7"/>
      <x:c r="H146" s="7"/>
      <x:c r="I146" s="7"/>
      <x:c r="J146" s="13"/>
      <x:c r="K146" s="16"/>
      <x:c r="L146" s="10"/>
      <x:c r="M146" s="10"/>
      <x:c r="N146" s="10"/>
      <x:c r="O146" s="10"/>
      <x:c r="P146" s="9"/>
      <x:c r="Q146" s="9"/>
      <x:c r="R146" s="7"/>
      <x:c r="S146" s="7"/>
      <x:c r="T146" s="7"/>
      <x:c r="U146" s="7"/>
      <x:c r="V146" s="7"/>
      <x:c r="W146" s="9"/>
      <x:c r="X146" s="7"/>
      <x:c r="Y146" s="9"/>
      <x:c r="Z146" s="8"/>
      <x:c r="AA146" s="8"/>
      <x:c r="AB146" s="7"/>
      <x:c r="AC146" s="7"/>
      <x:c r="AD146" s="13"/>
      <x:c r="AE146" s="7"/>
      <x:c r="AF146" s="7"/>
      <x:c r="AG146" s="7"/>
      <x:c r="AH146" s="7"/>
      <x:c r="AI146" s="7"/>
      <x:c r="AJ146" s="9" t="str">
        <x:f>IF($A146="","",SUMIF(Sales_Items!$A$2:$A$501,$A146,Sales_Items!$O$2:$O$501))</x:f>
      </x:c>
      <x:c r="AK146" s="9" t="str">
        <x:f>IF($A146="","",$AJ146*$L146/100)</x:f>
      </x:c>
      <x:c r="AL146" s="9" t="str">
        <x:f>IF($A146="","",MAX(0,$AJ146-$AK146))</x:f>
      </x:c>
      <x:c r="AM146" s="9" t="str">
        <x:f>IF($A146="","",MAX(0,$AL146*$M146/100))</x:f>
      </x:c>
      <x:c r="AN146" s="9" t="str">
        <x:f>IF($A146="","",MAX(0,$AL146*$N146/100))</x:f>
      </x:c>
      <x:c r="AO146" s="9" t="str">
        <x:f>IF($A146="","",MAX(0,$AL146*$O146/100))</x:f>
      </x:c>
      <x:c r="AP146" s="9" t="str">
        <x:f>IF($A146="","",MAX(0,$AL146+$AM146+$P146+$W146-$AN146-$AO146-$Q146))</x:f>
      </x:c>
    </x:row>
    <x:row r="147">
      <x:c r="A147" s="13"/>
      <x:c r="B147" s="7"/>
      <x:c r="C147" s="13"/>
      <x:c r="D147" s="14"/>
      <x:c r="E147" s="8"/>
      <x:c r="F147" s="13"/>
      <x:c r="G147" s="7"/>
      <x:c r="H147" s="7"/>
      <x:c r="I147" s="7"/>
      <x:c r="J147" s="13"/>
      <x:c r="K147" s="16"/>
      <x:c r="L147" s="10"/>
      <x:c r="M147" s="10"/>
      <x:c r="N147" s="10"/>
      <x:c r="O147" s="10"/>
      <x:c r="P147" s="9"/>
      <x:c r="Q147" s="9"/>
      <x:c r="R147" s="7"/>
      <x:c r="S147" s="7"/>
      <x:c r="T147" s="7"/>
      <x:c r="U147" s="7"/>
      <x:c r="V147" s="7"/>
      <x:c r="W147" s="9"/>
      <x:c r="X147" s="7"/>
      <x:c r="Y147" s="9"/>
      <x:c r="Z147" s="8"/>
      <x:c r="AA147" s="8"/>
      <x:c r="AB147" s="7"/>
      <x:c r="AC147" s="7"/>
      <x:c r="AD147" s="13"/>
      <x:c r="AE147" s="7"/>
      <x:c r="AF147" s="7"/>
      <x:c r="AG147" s="7"/>
      <x:c r="AH147" s="7"/>
      <x:c r="AI147" s="7"/>
      <x:c r="AJ147" s="9" t="str">
        <x:f>IF($A147="","",SUMIF(Sales_Items!$A$2:$A$501,$A147,Sales_Items!$O$2:$O$501))</x:f>
      </x:c>
      <x:c r="AK147" s="9" t="str">
        <x:f>IF($A147="","",$AJ147*$L147/100)</x:f>
      </x:c>
      <x:c r="AL147" s="9" t="str">
        <x:f>IF($A147="","",MAX(0,$AJ147-$AK147))</x:f>
      </x:c>
      <x:c r="AM147" s="9" t="str">
        <x:f>IF($A147="","",MAX(0,$AL147*$M147/100))</x:f>
      </x:c>
      <x:c r="AN147" s="9" t="str">
        <x:f>IF($A147="","",MAX(0,$AL147*$N147/100))</x:f>
      </x:c>
      <x:c r="AO147" s="9" t="str">
        <x:f>IF($A147="","",MAX(0,$AL147*$O147/100))</x:f>
      </x:c>
      <x:c r="AP147" s="9" t="str">
        <x:f>IF($A147="","",MAX(0,$AL147+$AM147+$P147+$W147-$AN147-$AO147-$Q147))</x:f>
      </x:c>
    </x:row>
    <x:row r="148">
      <x:c r="A148" s="13"/>
      <x:c r="B148" s="7"/>
      <x:c r="C148" s="13"/>
      <x:c r="D148" s="14"/>
      <x:c r="E148" s="8"/>
      <x:c r="F148" s="13"/>
      <x:c r="G148" s="7"/>
      <x:c r="H148" s="7"/>
      <x:c r="I148" s="7"/>
      <x:c r="J148" s="13"/>
      <x:c r="K148" s="16"/>
      <x:c r="L148" s="10"/>
      <x:c r="M148" s="10"/>
      <x:c r="N148" s="10"/>
      <x:c r="O148" s="10"/>
      <x:c r="P148" s="9"/>
      <x:c r="Q148" s="9"/>
      <x:c r="R148" s="7"/>
      <x:c r="S148" s="7"/>
      <x:c r="T148" s="7"/>
      <x:c r="U148" s="7"/>
      <x:c r="V148" s="7"/>
      <x:c r="W148" s="9"/>
      <x:c r="X148" s="7"/>
      <x:c r="Y148" s="9"/>
      <x:c r="Z148" s="8"/>
      <x:c r="AA148" s="8"/>
      <x:c r="AB148" s="7"/>
      <x:c r="AC148" s="7"/>
      <x:c r="AD148" s="13"/>
      <x:c r="AE148" s="7"/>
      <x:c r="AF148" s="7"/>
      <x:c r="AG148" s="7"/>
      <x:c r="AH148" s="7"/>
      <x:c r="AI148" s="7"/>
      <x:c r="AJ148" s="9" t="str">
        <x:f>IF($A148="","",SUMIF(Sales_Items!$A$2:$A$501,$A148,Sales_Items!$O$2:$O$501))</x:f>
      </x:c>
      <x:c r="AK148" s="9" t="str">
        <x:f>IF($A148="","",$AJ148*$L148/100)</x:f>
      </x:c>
      <x:c r="AL148" s="9" t="str">
        <x:f>IF($A148="","",MAX(0,$AJ148-$AK148))</x:f>
      </x:c>
      <x:c r="AM148" s="9" t="str">
        <x:f>IF($A148="","",MAX(0,$AL148*$M148/100))</x:f>
      </x:c>
      <x:c r="AN148" s="9" t="str">
        <x:f>IF($A148="","",MAX(0,$AL148*$N148/100))</x:f>
      </x:c>
      <x:c r="AO148" s="9" t="str">
        <x:f>IF($A148="","",MAX(0,$AL148*$O148/100))</x:f>
      </x:c>
      <x:c r="AP148" s="9" t="str">
        <x:f>IF($A148="","",MAX(0,$AL148+$AM148+$P148+$W148-$AN148-$AO148-$Q148))</x:f>
      </x:c>
    </x:row>
    <x:row r="149">
      <x:c r="A149" s="13"/>
      <x:c r="B149" s="7"/>
      <x:c r="C149" s="13"/>
      <x:c r="D149" s="14"/>
      <x:c r="E149" s="8"/>
      <x:c r="F149" s="13"/>
      <x:c r="G149" s="7"/>
      <x:c r="H149" s="7"/>
      <x:c r="I149" s="7"/>
      <x:c r="J149" s="13"/>
      <x:c r="K149" s="16"/>
      <x:c r="L149" s="10"/>
      <x:c r="M149" s="10"/>
      <x:c r="N149" s="10"/>
      <x:c r="O149" s="10"/>
      <x:c r="P149" s="9"/>
      <x:c r="Q149" s="9"/>
      <x:c r="R149" s="7"/>
      <x:c r="S149" s="7"/>
      <x:c r="T149" s="7"/>
      <x:c r="U149" s="7"/>
      <x:c r="V149" s="7"/>
      <x:c r="W149" s="9"/>
      <x:c r="X149" s="7"/>
      <x:c r="Y149" s="9"/>
      <x:c r="Z149" s="8"/>
      <x:c r="AA149" s="8"/>
      <x:c r="AB149" s="7"/>
      <x:c r="AC149" s="7"/>
      <x:c r="AD149" s="13"/>
      <x:c r="AE149" s="7"/>
      <x:c r="AF149" s="7"/>
      <x:c r="AG149" s="7"/>
      <x:c r="AH149" s="7"/>
      <x:c r="AI149" s="7"/>
      <x:c r="AJ149" s="9" t="str">
        <x:f>IF($A149="","",SUMIF(Sales_Items!$A$2:$A$501,$A149,Sales_Items!$O$2:$O$501))</x:f>
      </x:c>
      <x:c r="AK149" s="9" t="str">
        <x:f>IF($A149="","",$AJ149*$L149/100)</x:f>
      </x:c>
      <x:c r="AL149" s="9" t="str">
        <x:f>IF($A149="","",MAX(0,$AJ149-$AK149))</x:f>
      </x:c>
      <x:c r="AM149" s="9" t="str">
        <x:f>IF($A149="","",MAX(0,$AL149*$M149/100))</x:f>
      </x:c>
      <x:c r="AN149" s="9" t="str">
        <x:f>IF($A149="","",MAX(0,$AL149*$N149/100))</x:f>
      </x:c>
      <x:c r="AO149" s="9" t="str">
        <x:f>IF($A149="","",MAX(0,$AL149*$O149/100))</x:f>
      </x:c>
      <x:c r="AP149" s="9" t="str">
        <x:f>IF($A149="","",MAX(0,$AL149+$AM149+$P149+$W149-$AN149-$AO149-$Q149))</x:f>
      </x:c>
    </x:row>
    <x:row r="150">
      <x:c r="A150" s="13"/>
      <x:c r="B150" s="7"/>
      <x:c r="C150" s="13"/>
      <x:c r="D150" s="14"/>
      <x:c r="E150" s="8"/>
      <x:c r="F150" s="13"/>
      <x:c r="G150" s="7"/>
      <x:c r="H150" s="7"/>
      <x:c r="I150" s="7"/>
      <x:c r="J150" s="13"/>
      <x:c r="K150" s="16"/>
      <x:c r="L150" s="10"/>
      <x:c r="M150" s="10"/>
      <x:c r="N150" s="10"/>
      <x:c r="O150" s="10"/>
      <x:c r="P150" s="9"/>
      <x:c r="Q150" s="9"/>
      <x:c r="R150" s="7"/>
      <x:c r="S150" s="7"/>
      <x:c r="T150" s="7"/>
      <x:c r="U150" s="7"/>
      <x:c r="V150" s="7"/>
      <x:c r="W150" s="9"/>
      <x:c r="X150" s="7"/>
      <x:c r="Y150" s="9"/>
      <x:c r="Z150" s="8"/>
      <x:c r="AA150" s="8"/>
      <x:c r="AB150" s="7"/>
      <x:c r="AC150" s="7"/>
      <x:c r="AD150" s="13"/>
      <x:c r="AE150" s="7"/>
      <x:c r="AF150" s="7"/>
      <x:c r="AG150" s="7"/>
      <x:c r="AH150" s="7"/>
      <x:c r="AI150" s="7"/>
      <x:c r="AJ150" s="9" t="str">
        <x:f>IF($A150="","",SUMIF(Sales_Items!$A$2:$A$501,$A150,Sales_Items!$O$2:$O$501))</x:f>
      </x:c>
      <x:c r="AK150" s="9" t="str">
        <x:f>IF($A150="","",$AJ150*$L150/100)</x:f>
      </x:c>
      <x:c r="AL150" s="9" t="str">
        <x:f>IF($A150="","",MAX(0,$AJ150-$AK150))</x:f>
      </x:c>
      <x:c r="AM150" s="9" t="str">
        <x:f>IF($A150="","",MAX(0,$AL150*$M150/100))</x:f>
      </x:c>
      <x:c r="AN150" s="9" t="str">
        <x:f>IF($A150="","",MAX(0,$AL150*$N150/100))</x:f>
      </x:c>
      <x:c r="AO150" s="9" t="str">
        <x:f>IF($A150="","",MAX(0,$AL150*$O150/100))</x:f>
      </x:c>
      <x:c r="AP150" s="9" t="str">
        <x:f>IF($A150="","",MAX(0,$AL150+$AM150+$P150+$W150-$AN150-$AO150-$Q150))</x:f>
      </x:c>
    </x:row>
    <x:row r="151">
      <x:c r="A151" s="13"/>
      <x:c r="B151" s="7"/>
      <x:c r="C151" s="13"/>
      <x:c r="D151" s="14"/>
      <x:c r="E151" s="8"/>
      <x:c r="F151" s="13"/>
      <x:c r="G151" s="7"/>
      <x:c r="H151" s="7"/>
      <x:c r="I151" s="7"/>
      <x:c r="J151" s="13"/>
      <x:c r="K151" s="16"/>
      <x:c r="L151" s="10"/>
      <x:c r="M151" s="10"/>
      <x:c r="N151" s="10"/>
      <x:c r="O151" s="10"/>
      <x:c r="P151" s="9"/>
      <x:c r="Q151" s="9"/>
      <x:c r="R151" s="7"/>
      <x:c r="S151" s="7"/>
      <x:c r="T151" s="7"/>
      <x:c r="U151" s="7"/>
      <x:c r="V151" s="7"/>
      <x:c r="W151" s="9"/>
      <x:c r="X151" s="7"/>
      <x:c r="Y151" s="9"/>
      <x:c r="Z151" s="8"/>
      <x:c r="AA151" s="8"/>
      <x:c r="AB151" s="7"/>
      <x:c r="AC151" s="7"/>
      <x:c r="AD151" s="13"/>
      <x:c r="AE151" s="7"/>
      <x:c r="AF151" s="7"/>
      <x:c r="AG151" s="7"/>
      <x:c r="AH151" s="7"/>
      <x:c r="AI151" s="7"/>
      <x:c r="AJ151" s="9" t="str">
        <x:f>IF($A151="","",SUMIF(Sales_Items!$A$2:$A$501,$A151,Sales_Items!$O$2:$O$501))</x:f>
      </x:c>
      <x:c r="AK151" s="9" t="str">
        <x:f>IF($A151="","",$AJ151*$L151/100)</x:f>
      </x:c>
      <x:c r="AL151" s="9" t="str">
        <x:f>IF($A151="","",MAX(0,$AJ151-$AK151))</x:f>
      </x:c>
      <x:c r="AM151" s="9" t="str">
        <x:f>IF($A151="","",MAX(0,$AL151*$M151/100))</x:f>
      </x:c>
      <x:c r="AN151" s="9" t="str">
        <x:f>IF($A151="","",MAX(0,$AL151*$N151/100))</x:f>
      </x:c>
      <x:c r="AO151" s="9" t="str">
        <x:f>IF($A151="","",MAX(0,$AL151*$O151/100))</x:f>
      </x:c>
      <x:c r="AP151" s="9" t="str">
        <x:f>IF($A151="","",MAX(0,$AL151+$AM151+$P151+$W151-$AN151-$AO151-$Q151))</x:f>
      </x:c>
    </x:row>
    <x:row r="152">
      <x:c r="A152" s="13"/>
      <x:c r="B152" s="7"/>
      <x:c r="C152" s="13"/>
      <x:c r="D152" s="14"/>
      <x:c r="E152" s="8"/>
      <x:c r="F152" s="13"/>
      <x:c r="G152" s="7"/>
      <x:c r="H152" s="7"/>
      <x:c r="I152" s="7"/>
      <x:c r="J152" s="13"/>
      <x:c r="K152" s="16"/>
      <x:c r="L152" s="10"/>
      <x:c r="M152" s="10"/>
      <x:c r="N152" s="10"/>
      <x:c r="O152" s="10"/>
      <x:c r="P152" s="9"/>
      <x:c r="Q152" s="9"/>
      <x:c r="R152" s="7"/>
      <x:c r="S152" s="7"/>
      <x:c r="T152" s="7"/>
      <x:c r="U152" s="7"/>
      <x:c r="V152" s="7"/>
      <x:c r="W152" s="9"/>
      <x:c r="X152" s="7"/>
      <x:c r="Y152" s="9"/>
      <x:c r="Z152" s="8"/>
      <x:c r="AA152" s="8"/>
      <x:c r="AB152" s="7"/>
      <x:c r="AC152" s="7"/>
      <x:c r="AD152" s="13"/>
      <x:c r="AE152" s="7"/>
      <x:c r="AF152" s="7"/>
      <x:c r="AG152" s="7"/>
      <x:c r="AH152" s="7"/>
      <x:c r="AI152" s="7"/>
      <x:c r="AJ152" s="9" t="str">
        <x:f>IF($A152="","",SUMIF(Sales_Items!$A$2:$A$501,$A152,Sales_Items!$O$2:$O$501))</x:f>
      </x:c>
      <x:c r="AK152" s="9" t="str">
        <x:f>IF($A152="","",$AJ152*$L152/100)</x:f>
      </x:c>
      <x:c r="AL152" s="9" t="str">
        <x:f>IF($A152="","",MAX(0,$AJ152-$AK152))</x:f>
      </x:c>
      <x:c r="AM152" s="9" t="str">
        <x:f>IF($A152="","",MAX(0,$AL152*$M152/100))</x:f>
      </x:c>
      <x:c r="AN152" s="9" t="str">
        <x:f>IF($A152="","",MAX(0,$AL152*$N152/100))</x:f>
      </x:c>
      <x:c r="AO152" s="9" t="str">
        <x:f>IF($A152="","",MAX(0,$AL152*$O152/100))</x:f>
      </x:c>
      <x:c r="AP152" s="9" t="str">
        <x:f>IF($A152="","",MAX(0,$AL152+$AM152+$P152+$W152-$AN152-$AO152-$Q152))</x:f>
      </x:c>
    </x:row>
    <x:row r="153">
      <x:c r="A153" s="13"/>
      <x:c r="B153" s="7"/>
      <x:c r="C153" s="13"/>
      <x:c r="D153" s="14"/>
      <x:c r="E153" s="8"/>
      <x:c r="F153" s="13"/>
      <x:c r="G153" s="7"/>
      <x:c r="H153" s="7"/>
      <x:c r="I153" s="7"/>
      <x:c r="J153" s="13"/>
      <x:c r="K153" s="16"/>
      <x:c r="L153" s="10"/>
      <x:c r="M153" s="10"/>
      <x:c r="N153" s="10"/>
      <x:c r="O153" s="10"/>
      <x:c r="P153" s="9"/>
      <x:c r="Q153" s="9"/>
      <x:c r="R153" s="7"/>
      <x:c r="S153" s="7"/>
      <x:c r="T153" s="7"/>
      <x:c r="U153" s="7"/>
      <x:c r="V153" s="7"/>
      <x:c r="W153" s="9"/>
      <x:c r="X153" s="7"/>
      <x:c r="Y153" s="9"/>
      <x:c r="Z153" s="8"/>
      <x:c r="AA153" s="8"/>
      <x:c r="AB153" s="7"/>
      <x:c r="AC153" s="7"/>
      <x:c r="AD153" s="13"/>
      <x:c r="AE153" s="7"/>
      <x:c r="AF153" s="7"/>
      <x:c r="AG153" s="7"/>
      <x:c r="AH153" s="7"/>
      <x:c r="AI153" s="7"/>
      <x:c r="AJ153" s="9" t="str">
        <x:f>IF($A153="","",SUMIF(Sales_Items!$A$2:$A$501,$A153,Sales_Items!$O$2:$O$501))</x:f>
      </x:c>
      <x:c r="AK153" s="9" t="str">
        <x:f>IF($A153="","",$AJ153*$L153/100)</x:f>
      </x:c>
      <x:c r="AL153" s="9" t="str">
        <x:f>IF($A153="","",MAX(0,$AJ153-$AK153))</x:f>
      </x:c>
      <x:c r="AM153" s="9" t="str">
        <x:f>IF($A153="","",MAX(0,$AL153*$M153/100))</x:f>
      </x:c>
      <x:c r="AN153" s="9" t="str">
        <x:f>IF($A153="","",MAX(0,$AL153*$N153/100))</x:f>
      </x:c>
      <x:c r="AO153" s="9" t="str">
        <x:f>IF($A153="","",MAX(0,$AL153*$O153/100))</x:f>
      </x:c>
      <x:c r="AP153" s="9" t="str">
        <x:f>IF($A153="","",MAX(0,$AL153+$AM153+$P153+$W153-$AN153-$AO153-$Q153))</x:f>
      </x:c>
    </x:row>
    <x:row r="154">
      <x:c r="A154" s="13"/>
      <x:c r="B154" s="7"/>
      <x:c r="C154" s="13"/>
      <x:c r="D154" s="14"/>
      <x:c r="E154" s="8"/>
      <x:c r="F154" s="13"/>
      <x:c r="G154" s="7"/>
      <x:c r="H154" s="7"/>
      <x:c r="I154" s="7"/>
      <x:c r="J154" s="13"/>
      <x:c r="K154" s="16"/>
      <x:c r="L154" s="10"/>
      <x:c r="M154" s="10"/>
      <x:c r="N154" s="10"/>
      <x:c r="O154" s="10"/>
      <x:c r="P154" s="9"/>
      <x:c r="Q154" s="9"/>
      <x:c r="R154" s="7"/>
      <x:c r="S154" s="7"/>
      <x:c r="T154" s="7"/>
      <x:c r="U154" s="7"/>
      <x:c r="V154" s="7"/>
      <x:c r="W154" s="9"/>
      <x:c r="X154" s="7"/>
      <x:c r="Y154" s="9"/>
      <x:c r="Z154" s="8"/>
      <x:c r="AA154" s="8"/>
      <x:c r="AB154" s="7"/>
      <x:c r="AC154" s="7"/>
      <x:c r="AD154" s="13"/>
      <x:c r="AE154" s="7"/>
      <x:c r="AF154" s="7"/>
      <x:c r="AG154" s="7"/>
      <x:c r="AH154" s="7"/>
      <x:c r="AI154" s="7"/>
      <x:c r="AJ154" s="9" t="str">
        <x:f>IF($A154="","",SUMIF(Sales_Items!$A$2:$A$501,$A154,Sales_Items!$O$2:$O$501))</x:f>
      </x:c>
      <x:c r="AK154" s="9" t="str">
        <x:f>IF($A154="","",$AJ154*$L154/100)</x:f>
      </x:c>
      <x:c r="AL154" s="9" t="str">
        <x:f>IF($A154="","",MAX(0,$AJ154-$AK154))</x:f>
      </x:c>
      <x:c r="AM154" s="9" t="str">
        <x:f>IF($A154="","",MAX(0,$AL154*$M154/100))</x:f>
      </x:c>
      <x:c r="AN154" s="9" t="str">
        <x:f>IF($A154="","",MAX(0,$AL154*$N154/100))</x:f>
      </x:c>
      <x:c r="AO154" s="9" t="str">
        <x:f>IF($A154="","",MAX(0,$AL154*$O154/100))</x:f>
      </x:c>
      <x:c r="AP154" s="9" t="str">
        <x:f>IF($A154="","",MAX(0,$AL154+$AM154+$P154+$W154-$AN154-$AO154-$Q154))</x:f>
      </x:c>
    </x:row>
    <x:row r="155">
      <x:c r="A155" s="13"/>
      <x:c r="B155" s="7"/>
      <x:c r="C155" s="13"/>
      <x:c r="D155" s="14"/>
      <x:c r="E155" s="8"/>
      <x:c r="F155" s="13"/>
      <x:c r="G155" s="7"/>
      <x:c r="H155" s="7"/>
      <x:c r="I155" s="7"/>
      <x:c r="J155" s="13"/>
      <x:c r="K155" s="16"/>
      <x:c r="L155" s="10"/>
      <x:c r="M155" s="10"/>
      <x:c r="N155" s="10"/>
      <x:c r="O155" s="10"/>
      <x:c r="P155" s="9"/>
      <x:c r="Q155" s="9"/>
      <x:c r="R155" s="7"/>
      <x:c r="S155" s="7"/>
      <x:c r="T155" s="7"/>
      <x:c r="U155" s="7"/>
      <x:c r="V155" s="7"/>
      <x:c r="W155" s="9"/>
      <x:c r="X155" s="7"/>
      <x:c r="Y155" s="9"/>
      <x:c r="Z155" s="8"/>
      <x:c r="AA155" s="8"/>
      <x:c r="AB155" s="7"/>
      <x:c r="AC155" s="7"/>
      <x:c r="AD155" s="13"/>
      <x:c r="AE155" s="7"/>
      <x:c r="AF155" s="7"/>
      <x:c r="AG155" s="7"/>
      <x:c r="AH155" s="7"/>
      <x:c r="AI155" s="7"/>
      <x:c r="AJ155" s="9" t="str">
        <x:f>IF($A155="","",SUMIF(Sales_Items!$A$2:$A$501,$A155,Sales_Items!$O$2:$O$501))</x:f>
      </x:c>
      <x:c r="AK155" s="9" t="str">
        <x:f>IF($A155="","",$AJ155*$L155/100)</x:f>
      </x:c>
      <x:c r="AL155" s="9" t="str">
        <x:f>IF($A155="","",MAX(0,$AJ155-$AK155))</x:f>
      </x:c>
      <x:c r="AM155" s="9" t="str">
        <x:f>IF($A155="","",MAX(0,$AL155*$M155/100))</x:f>
      </x:c>
      <x:c r="AN155" s="9" t="str">
        <x:f>IF($A155="","",MAX(0,$AL155*$N155/100))</x:f>
      </x:c>
      <x:c r="AO155" s="9" t="str">
        <x:f>IF($A155="","",MAX(0,$AL155*$O155/100))</x:f>
      </x:c>
      <x:c r="AP155" s="9" t="str">
        <x:f>IF($A155="","",MAX(0,$AL155+$AM155+$P155+$W155-$AN155-$AO155-$Q155))</x:f>
      </x:c>
    </x:row>
    <x:row r="156">
      <x:c r="A156" s="13"/>
      <x:c r="B156" s="7"/>
      <x:c r="C156" s="13"/>
      <x:c r="D156" s="14"/>
      <x:c r="E156" s="8"/>
      <x:c r="F156" s="13"/>
      <x:c r="G156" s="7"/>
      <x:c r="H156" s="7"/>
      <x:c r="I156" s="7"/>
      <x:c r="J156" s="13"/>
      <x:c r="K156" s="16"/>
      <x:c r="L156" s="10"/>
      <x:c r="M156" s="10"/>
      <x:c r="N156" s="10"/>
      <x:c r="O156" s="10"/>
      <x:c r="P156" s="9"/>
      <x:c r="Q156" s="9"/>
      <x:c r="R156" s="7"/>
      <x:c r="S156" s="7"/>
      <x:c r="T156" s="7"/>
      <x:c r="U156" s="7"/>
      <x:c r="V156" s="7"/>
      <x:c r="W156" s="9"/>
      <x:c r="X156" s="7"/>
      <x:c r="Y156" s="9"/>
      <x:c r="Z156" s="8"/>
      <x:c r="AA156" s="8"/>
      <x:c r="AB156" s="7"/>
      <x:c r="AC156" s="7"/>
      <x:c r="AD156" s="13"/>
      <x:c r="AE156" s="7"/>
      <x:c r="AF156" s="7"/>
      <x:c r="AG156" s="7"/>
      <x:c r="AH156" s="7"/>
      <x:c r="AI156" s="7"/>
      <x:c r="AJ156" s="9" t="str">
        <x:f>IF($A156="","",SUMIF(Sales_Items!$A$2:$A$501,$A156,Sales_Items!$O$2:$O$501))</x:f>
      </x:c>
      <x:c r="AK156" s="9" t="str">
        <x:f>IF($A156="","",$AJ156*$L156/100)</x:f>
      </x:c>
      <x:c r="AL156" s="9" t="str">
        <x:f>IF($A156="","",MAX(0,$AJ156-$AK156))</x:f>
      </x:c>
      <x:c r="AM156" s="9" t="str">
        <x:f>IF($A156="","",MAX(0,$AL156*$M156/100))</x:f>
      </x:c>
      <x:c r="AN156" s="9" t="str">
        <x:f>IF($A156="","",MAX(0,$AL156*$N156/100))</x:f>
      </x:c>
      <x:c r="AO156" s="9" t="str">
        <x:f>IF($A156="","",MAX(0,$AL156*$O156/100))</x:f>
      </x:c>
      <x:c r="AP156" s="9" t="str">
        <x:f>IF($A156="","",MAX(0,$AL156+$AM156+$P156+$W156-$AN156-$AO156-$Q156))</x:f>
      </x:c>
    </x:row>
    <x:row r="157">
      <x:c r="A157" s="13"/>
      <x:c r="B157" s="7"/>
      <x:c r="C157" s="13"/>
      <x:c r="D157" s="14"/>
      <x:c r="E157" s="8"/>
      <x:c r="F157" s="13"/>
      <x:c r="G157" s="7"/>
      <x:c r="H157" s="7"/>
      <x:c r="I157" s="7"/>
      <x:c r="J157" s="13"/>
      <x:c r="K157" s="16"/>
      <x:c r="L157" s="10"/>
      <x:c r="M157" s="10"/>
      <x:c r="N157" s="10"/>
      <x:c r="O157" s="10"/>
      <x:c r="P157" s="9"/>
      <x:c r="Q157" s="9"/>
      <x:c r="R157" s="7"/>
      <x:c r="S157" s="7"/>
      <x:c r="T157" s="7"/>
      <x:c r="U157" s="7"/>
      <x:c r="V157" s="7"/>
      <x:c r="W157" s="9"/>
      <x:c r="X157" s="7"/>
      <x:c r="Y157" s="9"/>
      <x:c r="Z157" s="8"/>
      <x:c r="AA157" s="8"/>
      <x:c r="AB157" s="7"/>
      <x:c r="AC157" s="7"/>
      <x:c r="AD157" s="13"/>
      <x:c r="AE157" s="7"/>
      <x:c r="AF157" s="7"/>
      <x:c r="AG157" s="7"/>
      <x:c r="AH157" s="7"/>
      <x:c r="AI157" s="7"/>
      <x:c r="AJ157" s="9" t="str">
        <x:f>IF($A157="","",SUMIF(Sales_Items!$A$2:$A$501,$A157,Sales_Items!$O$2:$O$501))</x:f>
      </x:c>
      <x:c r="AK157" s="9" t="str">
        <x:f>IF($A157="","",$AJ157*$L157/100)</x:f>
      </x:c>
      <x:c r="AL157" s="9" t="str">
        <x:f>IF($A157="","",MAX(0,$AJ157-$AK157))</x:f>
      </x:c>
      <x:c r="AM157" s="9" t="str">
        <x:f>IF($A157="","",MAX(0,$AL157*$M157/100))</x:f>
      </x:c>
      <x:c r="AN157" s="9" t="str">
        <x:f>IF($A157="","",MAX(0,$AL157*$N157/100))</x:f>
      </x:c>
      <x:c r="AO157" s="9" t="str">
        <x:f>IF($A157="","",MAX(0,$AL157*$O157/100))</x:f>
      </x:c>
      <x:c r="AP157" s="9" t="str">
        <x:f>IF($A157="","",MAX(0,$AL157+$AM157+$P157+$W157-$AN157-$AO157-$Q157))</x:f>
      </x:c>
    </x:row>
    <x:row r="158">
      <x:c r="A158" s="13"/>
      <x:c r="B158" s="7"/>
      <x:c r="C158" s="13"/>
      <x:c r="D158" s="14"/>
      <x:c r="E158" s="8"/>
      <x:c r="F158" s="13"/>
      <x:c r="G158" s="7"/>
      <x:c r="H158" s="7"/>
      <x:c r="I158" s="7"/>
      <x:c r="J158" s="13"/>
      <x:c r="K158" s="16"/>
      <x:c r="L158" s="10"/>
      <x:c r="M158" s="10"/>
      <x:c r="N158" s="10"/>
      <x:c r="O158" s="10"/>
      <x:c r="P158" s="9"/>
      <x:c r="Q158" s="9"/>
      <x:c r="R158" s="7"/>
      <x:c r="S158" s="7"/>
      <x:c r="T158" s="7"/>
      <x:c r="U158" s="7"/>
      <x:c r="V158" s="7"/>
      <x:c r="W158" s="9"/>
      <x:c r="X158" s="7"/>
      <x:c r="Y158" s="9"/>
      <x:c r="Z158" s="8"/>
      <x:c r="AA158" s="8"/>
      <x:c r="AB158" s="7"/>
      <x:c r="AC158" s="7"/>
      <x:c r="AD158" s="13"/>
      <x:c r="AE158" s="7"/>
      <x:c r="AF158" s="7"/>
      <x:c r="AG158" s="7"/>
      <x:c r="AH158" s="7"/>
      <x:c r="AI158" s="7"/>
      <x:c r="AJ158" s="9" t="str">
        <x:f>IF($A158="","",SUMIF(Sales_Items!$A$2:$A$501,$A158,Sales_Items!$O$2:$O$501))</x:f>
      </x:c>
      <x:c r="AK158" s="9" t="str">
        <x:f>IF($A158="","",$AJ158*$L158/100)</x:f>
      </x:c>
      <x:c r="AL158" s="9" t="str">
        <x:f>IF($A158="","",MAX(0,$AJ158-$AK158))</x:f>
      </x:c>
      <x:c r="AM158" s="9" t="str">
        <x:f>IF($A158="","",MAX(0,$AL158*$M158/100))</x:f>
      </x:c>
      <x:c r="AN158" s="9" t="str">
        <x:f>IF($A158="","",MAX(0,$AL158*$N158/100))</x:f>
      </x:c>
      <x:c r="AO158" s="9" t="str">
        <x:f>IF($A158="","",MAX(0,$AL158*$O158/100))</x:f>
      </x:c>
      <x:c r="AP158" s="9" t="str">
        <x:f>IF($A158="","",MAX(0,$AL158+$AM158+$P158+$W158-$AN158-$AO158-$Q158))</x:f>
      </x:c>
    </x:row>
    <x:row r="159">
      <x:c r="A159" s="13"/>
      <x:c r="B159" s="7"/>
      <x:c r="C159" s="13"/>
      <x:c r="D159" s="14"/>
      <x:c r="E159" s="8"/>
      <x:c r="F159" s="13"/>
      <x:c r="G159" s="7"/>
      <x:c r="H159" s="7"/>
      <x:c r="I159" s="7"/>
      <x:c r="J159" s="13"/>
      <x:c r="K159" s="16"/>
      <x:c r="L159" s="10"/>
      <x:c r="M159" s="10"/>
      <x:c r="N159" s="10"/>
      <x:c r="O159" s="10"/>
      <x:c r="P159" s="9"/>
      <x:c r="Q159" s="9"/>
      <x:c r="R159" s="7"/>
      <x:c r="S159" s="7"/>
      <x:c r="T159" s="7"/>
      <x:c r="U159" s="7"/>
      <x:c r="V159" s="7"/>
      <x:c r="W159" s="9"/>
      <x:c r="X159" s="7"/>
      <x:c r="Y159" s="9"/>
      <x:c r="Z159" s="8"/>
      <x:c r="AA159" s="8"/>
      <x:c r="AB159" s="7"/>
      <x:c r="AC159" s="7"/>
      <x:c r="AD159" s="13"/>
      <x:c r="AE159" s="7"/>
      <x:c r="AF159" s="7"/>
      <x:c r="AG159" s="7"/>
      <x:c r="AH159" s="7"/>
      <x:c r="AI159" s="7"/>
      <x:c r="AJ159" s="9" t="str">
        <x:f>IF($A159="","",SUMIF(Sales_Items!$A$2:$A$501,$A159,Sales_Items!$O$2:$O$501))</x:f>
      </x:c>
      <x:c r="AK159" s="9" t="str">
        <x:f>IF($A159="","",$AJ159*$L159/100)</x:f>
      </x:c>
      <x:c r="AL159" s="9" t="str">
        <x:f>IF($A159="","",MAX(0,$AJ159-$AK159))</x:f>
      </x:c>
      <x:c r="AM159" s="9" t="str">
        <x:f>IF($A159="","",MAX(0,$AL159*$M159/100))</x:f>
      </x:c>
      <x:c r="AN159" s="9" t="str">
        <x:f>IF($A159="","",MAX(0,$AL159*$N159/100))</x:f>
      </x:c>
      <x:c r="AO159" s="9" t="str">
        <x:f>IF($A159="","",MAX(0,$AL159*$O159/100))</x:f>
      </x:c>
      <x:c r="AP159" s="9" t="str">
        <x:f>IF($A159="","",MAX(0,$AL159+$AM159+$P159+$W159-$AN159-$AO159-$Q159))</x:f>
      </x:c>
    </x:row>
    <x:row r="160">
      <x:c r="A160" s="13"/>
      <x:c r="B160" s="7"/>
      <x:c r="C160" s="13"/>
      <x:c r="D160" s="14"/>
      <x:c r="E160" s="8"/>
      <x:c r="F160" s="13"/>
      <x:c r="G160" s="7"/>
      <x:c r="H160" s="7"/>
      <x:c r="I160" s="7"/>
      <x:c r="J160" s="13"/>
      <x:c r="K160" s="16"/>
      <x:c r="L160" s="10"/>
      <x:c r="M160" s="10"/>
      <x:c r="N160" s="10"/>
      <x:c r="O160" s="10"/>
      <x:c r="P160" s="9"/>
      <x:c r="Q160" s="9"/>
      <x:c r="R160" s="7"/>
      <x:c r="S160" s="7"/>
      <x:c r="T160" s="7"/>
      <x:c r="U160" s="7"/>
      <x:c r="V160" s="7"/>
      <x:c r="W160" s="9"/>
      <x:c r="X160" s="7"/>
      <x:c r="Y160" s="9"/>
      <x:c r="Z160" s="8"/>
      <x:c r="AA160" s="8"/>
      <x:c r="AB160" s="7"/>
      <x:c r="AC160" s="7"/>
      <x:c r="AD160" s="13"/>
      <x:c r="AE160" s="7"/>
      <x:c r="AF160" s="7"/>
      <x:c r="AG160" s="7"/>
      <x:c r="AH160" s="7"/>
      <x:c r="AI160" s="7"/>
      <x:c r="AJ160" s="9" t="str">
        <x:f>IF($A160="","",SUMIF(Sales_Items!$A$2:$A$501,$A160,Sales_Items!$O$2:$O$501))</x:f>
      </x:c>
      <x:c r="AK160" s="9" t="str">
        <x:f>IF($A160="","",$AJ160*$L160/100)</x:f>
      </x:c>
      <x:c r="AL160" s="9" t="str">
        <x:f>IF($A160="","",MAX(0,$AJ160-$AK160))</x:f>
      </x:c>
      <x:c r="AM160" s="9" t="str">
        <x:f>IF($A160="","",MAX(0,$AL160*$M160/100))</x:f>
      </x:c>
      <x:c r="AN160" s="9" t="str">
        <x:f>IF($A160="","",MAX(0,$AL160*$N160/100))</x:f>
      </x:c>
      <x:c r="AO160" s="9" t="str">
        <x:f>IF($A160="","",MAX(0,$AL160*$O160/100))</x:f>
      </x:c>
      <x:c r="AP160" s="9" t="str">
        <x:f>IF($A160="","",MAX(0,$AL160+$AM160+$P160+$W160-$AN160-$AO160-$Q160))</x:f>
      </x:c>
    </x:row>
    <x:row r="161">
      <x:c r="A161" s="13"/>
      <x:c r="B161" s="7"/>
      <x:c r="C161" s="13"/>
      <x:c r="D161" s="14"/>
      <x:c r="E161" s="8"/>
      <x:c r="F161" s="13"/>
      <x:c r="G161" s="7"/>
      <x:c r="H161" s="7"/>
      <x:c r="I161" s="7"/>
      <x:c r="J161" s="13"/>
      <x:c r="K161" s="16"/>
      <x:c r="L161" s="10"/>
      <x:c r="M161" s="10"/>
      <x:c r="N161" s="10"/>
      <x:c r="O161" s="10"/>
      <x:c r="P161" s="9"/>
      <x:c r="Q161" s="9"/>
      <x:c r="R161" s="7"/>
      <x:c r="S161" s="7"/>
      <x:c r="T161" s="7"/>
      <x:c r="U161" s="7"/>
      <x:c r="V161" s="7"/>
      <x:c r="W161" s="9"/>
      <x:c r="X161" s="7"/>
      <x:c r="Y161" s="9"/>
      <x:c r="Z161" s="8"/>
      <x:c r="AA161" s="8"/>
      <x:c r="AB161" s="7"/>
      <x:c r="AC161" s="7"/>
      <x:c r="AD161" s="13"/>
      <x:c r="AE161" s="7"/>
      <x:c r="AF161" s="7"/>
      <x:c r="AG161" s="7"/>
      <x:c r="AH161" s="7"/>
      <x:c r="AI161" s="7"/>
      <x:c r="AJ161" s="9" t="str">
        <x:f>IF($A161="","",SUMIF(Sales_Items!$A$2:$A$501,$A161,Sales_Items!$O$2:$O$501))</x:f>
      </x:c>
      <x:c r="AK161" s="9" t="str">
        <x:f>IF($A161="","",$AJ161*$L161/100)</x:f>
      </x:c>
      <x:c r="AL161" s="9" t="str">
        <x:f>IF($A161="","",MAX(0,$AJ161-$AK161))</x:f>
      </x:c>
      <x:c r="AM161" s="9" t="str">
        <x:f>IF($A161="","",MAX(0,$AL161*$M161/100))</x:f>
      </x:c>
      <x:c r="AN161" s="9" t="str">
        <x:f>IF($A161="","",MAX(0,$AL161*$N161/100))</x:f>
      </x:c>
      <x:c r="AO161" s="9" t="str">
        <x:f>IF($A161="","",MAX(0,$AL161*$O161/100))</x:f>
      </x:c>
      <x:c r="AP161" s="9" t="str">
        <x:f>IF($A161="","",MAX(0,$AL161+$AM161+$P161+$W161-$AN161-$AO161-$Q161))</x:f>
      </x:c>
    </x:row>
    <x:row r="162">
      <x:c r="A162" s="13"/>
      <x:c r="B162" s="7"/>
      <x:c r="C162" s="13"/>
      <x:c r="D162" s="14"/>
      <x:c r="E162" s="8"/>
      <x:c r="F162" s="13"/>
      <x:c r="G162" s="7"/>
      <x:c r="H162" s="7"/>
      <x:c r="I162" s="7"/>
      <x:c r="J162" s="13"/>
      <x:c r="K162" s="16"/>
      <x:c r="L162" s="10"/>
      <x:c r="M162" s="10"/>
      <x:c r="N162" s="10"/>
      <x:c r="O162" s="10"/>
      <x:c r="P162" s="9"/>
      <x:c r="Q162" s="9"/>
      <x:c r="R162" s="7"/>
      <x:c r="S162" s="7"/>
      <x:c r="T162" s="7"/>
      <x:c r="U162" s="7"/>
      <x:c r="V162" s="7"/>
      <x:c r="W162" s="9"/>
      <x:c r="X162" s="7"/>
      <x:c r="Y162" s="9"/>
      <x:c r="Z162" s="8"/>
      <x:c r="AA162" s="8"/>
      <x:c r="AB162" s="7"/>
      <x:c r="AC162" s="7"/>
      <x:c r="AD162" s="13"/>
      <x:c r="AE162" s="7"/>
      <x:c r="AF162" s="7"/>
      <x:c r="AG162" s="7"/>
      <x:c r="AH162" s="7"/>
      <x:c r="AI162" s="7"/>
      <x:c r="AJ162" s="9" t="str">
        <x:f>IF($A162="","",SUMIF(Sales_Items!$A$2:$A$501,$A162,Sales_Items!$O$2:$O$501))</x:f>
      </x:c>
      <x:c r="AK162" s="9" t="str">
        <x:f>IF($A162="","",$AJ162*$L162/100)</x:f>
      </x:c>
      <x:c r="AL162" s="9" t="str">
        <x:f>IF($A162="","",MAX(0,$AJ162-$AK162))</x:f>
      </x:c>
      <x:c r="AM162" s="9" t="str">
        <x:f>IF($A162="","",MAX(0,$AL162*$M162/100))</x:f>
      </x:c>
      <x:c r="AN162" s="9" t="str">
        <x:f>IF($A162="","",MAX(0,$AL162*$N162/100))</x:f>
      </x:c>
      <x:c r="AO162" s="9" t="str">
        <x:f>IF($A162="","",MAX(0,$AL162*$O162/100))</x:f>
      </x:c>
      <x:c r="AP162" s="9" t="str">
        <x:f>IF($A162="","",MAX(0,$AL162+$AM162+$P162+$W162-$AN162-$AO162-$Q162))</x:f>
      </x:c>
    </x:row>
    <x:row r="163">
      <x:c r="A163" s="13"/>
      <x:c r="B163" s="7"/>
      <x:c r="C163" s="13"/>
      <x:c r="D163" s="14"/>
      <x:c r="E163" s="8"/>
      <x:c r="F163" s="13"/>
      <x:c r="G163" s="7"/>
      <x:c r="H163" s="7"/>
      <x:c r="I163" s="7"/>
      <x:c r="J163" s="13"/>
      <x:c r="K163" s="16"/>
      <x:c r="L163" s="10"/>
      <x:c r="M163" s="10"/>
      <x:c r="N163" s="10"/>
      <x:c r="O163" s="10"/>
      <x:c r="P163" s="9"/>
      <x:c r="Q163" s="9"/>
      <x:c r="R163" s="7"/>
      <x:c r="S163" s="7"/>
      <x:c r="T163" s="7"/>
      <x:c r="U163" s="7"/>
      <x:c r="V163" s="7"/>
      <x:c r="W163" s="9"/>
      <x:c r="X163" s="7"/>
      <x:c r="Y163" s="9"/>
      <x:c r="Z163" s="8"/>
      <x:c r="AA163" s="8"/>
      <x:c r="AB163" s="7"/>
      <x:c r="AC163" s="7"/>
      <x:c r="AD163" s="13"/>
      <x:c r="AE163" s="7"/>
      <x:c r="AF163" s="7"/>
      <x:c r="AG163" s="7"/>
      <x:c r="AH163" s="7"/>
      <x:c r="AI163" s="7"/>
      <x:c r="AJ163" s="9" t="str">
        <x:f>IF($A163="","",SUMIF(Sales_Items!$A$2:$A$501,$A163,Sales_Items!$O$2:$O$501))</x:f>
      </x:c>
      <x:c r="AK163" s="9" t="str">
        <x:f>IF($A163="","",$AJ163*$L163/100)</x:f>
      </x:c>
      <x:c r="AL163" s="9" t="str">
        <x:f>IF($A163="","",MAX(0,$AJ163-$AK163))</x:f>
      </x:c>
      <x:c r="AM163" s="9" t="str">
        <x:f>IF($A163="","",MAX(0,$AL163*$M163/100))</x:f>
      </x:c>
      <x:c r="AN163" s="9" t="str">
        <x:f>IF($A163="","",MAX(0,$AL163*$N163/100))</x:f>
      </x:c>
      <x:c r="AO163" s="9" t="str">
        <x:f>IF($A163="","",MAX(0,$AL163*$O163/100))</x:f>
      </x:c>
      <x:c r="AP163" s="9" t="str">
        <x:f>IF($A163="","",MAX(0,$AL163+$AM163+$P163+$W163-$AN163-$AO163-$Q163))</x:f>
      </x:c>
    </x:row>
    <x:row r="164">
      <x:c r="A164" s="13"/>
      <x:c r="B164" s="7"/>
      <x:c r="C164" s="13"/>
      <x:c r="D164" s="14"/>
      <x:c r="E164" s="8"/>
      <x:c r="F164" s="13"/>
      <x:c r="G164" s="7"/>
      <x:c r="H164" s="7"/>
      <x:c r="I164" s="7"/>
      <x:c r="J164" s="13"/>
      <x:c r="K164" s="16"/>
      <x:c r="L164" s="10"/>
      <x:c r="M164" s="10"/>
      <x:c r="N164" s="10"/>
      <x:c r="O164" s="10"/>
      <x:c r="P164" s="9"/>
      <x:c r="Q164" s="9"/>
      <x:c r="R164" s="7"/>
      <x:c r="S164" s="7"/>
      <x:c r="T164" s="7"/>
      <x:c r="U164" s="7"/>
      <x:c r="V164" s="7"/>
      <x:c r="W164" s="9"/>
      <x:c r="X164" s="7"/>
      <x:c r="Y164" s="9"/>
      <x:c r="Z164" s="8"/>
      <x:c r="AA164" s="8"/>
      <x:c r="AB164" s="7"/>
      <x:c r="AC164" s="7"/>
      <x:c r="AD164" s="13"/>
      <x:c r="AE164" s="7"/>
      <x:c r="AF164" s="7"/>
      <x:c r="AG164" s="7"/>
      <x:c r="AH164" s="7"/>
      <x:c r="AI164" s="7"/>
      <x:c r="AJ164" s="9" t="str">
        <x:f>IF($A164="","",SUMIF(Sales_Items!$A$2:$A$501,$A164,Sales_Items!$O$2:$O$501))</x:f>
      </x:c>
      <x:c r="AK164" s="9" t="str">
        <x:f>IF($A164="","",$AJ164*$L164/100)</x:f>
      </x:c>
      <x:c r="AL164" s="9" t="str">
        <x:f>IF($A164="","",MAX(0,$AJ164-$AK164))</x:f>
      </x:c>
      <x:c r="AM164" s="9" t="str">
        <x:f>IF($A164="","",MAX(0,$AL164*$M164/100))</x:f>
      </x:c>
      <x:c r="AN164" s="9" t="str">
        <x:f>IF($A164="","",MAX(0,$AL164*$N164/100))</x:f>
      </x:c>
      <x:c r="AO164" s="9" t="str">
        <x:f>IF($A164="","",MAX(0,$AL164*$O164/100))</x:f>
      </x:c>
      <x:c r="AP164" s="9" t="str">
        <x:f>IF($A164="","",MAX(0,$AL164+$AM164+$P164+$W164-$AN164-$AO164-$Q164))</x:f>
      </x:c>
    </x:row>
    <x:row r="165">
      <x:c r="A165" s="13"/>
      <x:c r="B165" s="7"/>
      <x:c r="C165" s="13"/>
      <x:c r="D165" s="14"/>
      <x:c r="E165" s="8"/>
      <x:c r="F165" s="13"/>
      <x:c r="G165" s="7"/>
      <x:c r="H165" s="7"/>
      <x:c r="I165" s="7"/>
      <x:c r="J165" s="13"/>
      <x:c r="K165" s="16"/>
      <x:c r="L165" s="10"/>
      <x:c r="M165" s="10"/>
      <x:c r="N165" s="10"/>
      <x:c r="O165" s="10"/>
      <x:c r="P165" s="9"/>
      <x:c r="Q165" s="9"/>
      <x:c r="R165" s="7"/>
      <x:c r="S165" s="7"/>
      <x:c r="T165" s="7"/>
      <x:c r="U165" s="7"/>
      <x:c r="V165" s="7"/>
      <x:c r="W165" s="9"/>
      <x:c r="X165" s="7"/>
      <x:c r="Y165" s="9"/>
      <x:c r="Z165" s="8"/>
      <x:c r="AA165" s="8"/>
      <x:c r="AB165" s="7"/>
      <x:c r="AC165" s="7"/>
      <x:c r="AD165" s="13"/>
      <x:c r="AE165" s="7"/>
      <x:c r="AF165" s="7"/>
      <x:c r="AG165" s="7"/>
      <x:c r="AH165" s="7"/>
      <x:c r="AI165" s="7"/>
      <x:c r="AJ165" s="9" t="str">
        <x:f>IF($A165="","",SUMIF(Sales_Items!$A$2:$A$501,$A165,Sales_Items!$O$2:$O$501))</x:f>
      </x:c>
      <x:c r="AK165" s="9" t="str">
        <x:f>IF($A165="","",$AJ165*$L165/100)</x:f>
      </x:c>
      <x:c r="AL165" s="9" t="str">
        <x:f>IF($A165="","",MAX(0,$AJ165-$AK165))</x:f>
      </x:c>
      <x:c r="AM165" s="9" t="str">
        <x:f>IF($A165="","",MAX(0,$AL165*$M165/100))</x:f>
      </x:c>
      <x:c r="AN165" s="9" t="str">
        <x:f>IF($A165="","",MAX(0,$AL165*$N165/100))</x:f>
      </x:c>
      <x:c r="AO165" s="9" t="str">
        <x:f>IF($A165="","",MAX(0,$AL165*$O165/100))</x:f>
      </x:c>
      <x:c r="AP165" s="9" t="str">
        <x:f>IF($A165="","",MAX(0,$AL165+$AM165+$P165+$W165-$AN165-$AO165-$Q165))</x:f>
      </x:c>
    </x:row>
    <x:row r="166">
      <x:c r="A166" s="13"/>
      <x:c r="B166" s="7"/>
      <x:c r="C166" s="13"/>
      <x:c r="D166" s="14"/>
      <x:c r="E166" s="8"/>
      <x:c r="F166" s="13"/>
      <x:c r="G166" s="7"/>
      <x:c r="H166" s="7"/>
      <x:c r="I166" s="7"/>
      <x:c r="J166" s="13"/>
      <x:c r="K166" s="16"/>
      <x:c r="L166" s="10"/>
      <x:c r="M166" s="10"/>
      <x:c r="N166" s="10"/>
      <x:c r="O166" s="10"/>
      <x:c r="P166" s="9"/>
      <x:c r="Q166" s="9"/>
      <x:c r="R166" s="7"/>
      <x:c r="S166" s="7"/>
      <x:c r="T166" s="7"/>
      <x:c r="U166" s="7"/>
      <x:c r="V166" s="7"/>
      <x:c r="W166" s="9"/>
      <x:c r="X166" s="7"/>
      <x:c r="Y166" s="9"/>
      <x:c r="Z166" s="8"/>
      <x:c r="AA166" s="8"/>
      <x:c r="AB166" s="7"/>
      <x:c r="AC166" s="7"/>
      <x:c r="AD166" s="13"/>
      <x:c r="AE166" s="7"/>
      <x:c r="AF166" s="7"/>
      <x:c r="AG166" s="7"/>
      <x:c r="AH166" s="7"/>
      <x:c r="AI166" s="7"/>
      <x:c r="AJ166" s="9" t="str">
        <x:f>IF($A166="","",SUMIF(Sales_Items!$A$2:$A$501,$A166,Sales_Items!$O$2:$O$501))</x:f>
      </x:c>
      <x:c r="AK166" s="9" t="str">
        <x:f>IF($A166="","",$AJ166*$L166/100)</x:f>
      </x:c>
      <x:c r="AL166" s="9" t="str">
        <x:f>IF($A166="","",MAX(0,$AJ166-$AK166))</x:f>
      </x:c>
      <x:c r="AM166" s="9" t="str">
        <x:f>IF($A166="","",MAX(0,$AL166*$M166/100))</x:f>
      </x:c>
      <x:c r="AN166" s="9" t="str">
        <x:f>IF($A166="","",MAX(0,$AL166*$N166/100))</x:f>
      </x:c>
      <x:c r="AO166" s="9" t="str">
        <x:f>IF($A166="","",MAX(0,$AL166*$O166/100))</x:f>
      </x:c>
      <x:c r="AP166" s="9" t="str">
        <x:f>IF($A166="","",MAX(0,$AL166+$AM166+$P166+$W166-$AN166-$AO166-$Q166))</x:f>
      </x:c>
    </x:row>
    <x:row r="167">
      <x:c r="A167" s="13"/>
      <x:c r="B167" s="7"/>
      <x:c r="C167" s="13"/>
      <x:c r="D167" s="14"/>
      <x:c r="E167" s="8"/>
      <x:c r="F167" s="13"/>
      <x:c r="G167" s="7"/>
      <x:c r="H167" s="7"/>
      <x:c r="I167" s="7"/>
      <x:c r="J167" s="13"/>
      <x:c r="K167" s="16"/>
      <x:c r="L167" s="10"/>
      <x:c r="M167" s="10"/>
      <x:c r="N167" s="10"/>
      <x:c r="O167" s="10"/>
      <x:c r="P167" s="9"/>
      <x:c r="Q167" s="9"/>
      <x:c r="R167" s="7"/>
      <x:c r="S167" s="7"/>
      <x:c r="T167" s="7"/>
      <x:c r="U167" s="7"/>
      <x:c r="V167" s="7"/>
      <x:c r="W167" s="9"/>
      <x:c r="X167" s="7"/>
      <x:c r="Y167" s="9"/>
      <x:c r="Z167" s="8"/>
      <x:c r="AA167" s="8"/>
      <x:c r="AB167" s="7"/>
      <x:c r="AC167" s="7"/>
      <x:c r="AD167" s="13"/>
      <x:c r="AE167" s="7"/>
      <x:c r="AF167" s="7"/>
      <x:c r="AG167" s="7"/>
      <x:c r="AH167" s="7"/>
      <x:c r="AI167" s="7"/>
      <x:c r="AJ167" s="9" t="str">
        <x:f>IF($A167="","",SUMIF(Sales_Items!$A$2:$A$501,$A167,Sales_Items!$O$2:$O$501))</x:f>
      </x:c>
      <x:c r="AK167" s="9" t="str">
        <x:f>IF($A167="","",$AJ167*$L167/100)</x:f>
      </x:c>
      <x:c r="AL167" s="9" t="str">
        <x:f>IF($A167="","",MAX(0,$AJ167-$AK167))</x:f>
      </x:c>
      <x:c r="AM167" s="9" t="str">
        <x:f>IF($A167="","",MAX(0,$AL167*$M167/100))</x:f>
      </x:c>
      <x:c r="AN167" s="9" t="str">
        <x:f>IF($A167="","",MAX(0,$AL167*$N167/100))</x:f>
      </x:c>
      <x:c r="AO167" s="9" t="str">
        <x:f>IF($A167="","",MAX(0,$AL167*$O167/100))</x:f>
      </x:c>
      <x:c r="AP167" s="9" t="str">
        <x:f>IF($A167="","",MAX(0,$AL167+$AM167+$P167+$W167-$AN167-$AO167-$Q167))</x:f>
      </x:c>
    </x:row>
    <x:row r="168">
      <x:c r="A168" s="13"/>
      <x:c r="B168" s="7"/>
      <x:c r="C168" s="13"/>
      <x:c r="D168" s="14"/>
      <x:c r="E168" s="8"/>
      <x:c r="F168" s="13"/>
      <x:c r="G168" s="7"/>
      <x:c r="H168" s="7"/>
      <x:c r="I168" s="7"/>
      <x:c r="J168" s="13"/>
      <x:c r="K168" s="16"/>
      <x:c r="L168" s="10"/>
      <x:c r="M168" s="10"/>
      <x:c r="N168" s="10"/>
      <x:c r="O168" s="10"/>
      <x:c r="P168" s="9"/>
      <x:c r="Q168" s="9"/>
      <x:c r="R168" s="7"/>
      <x:c r="S168" s="7"/>
      <x:c r="T168" s="7"/>
      <x:c r="U168" s="7"/>
      <x:c r="V168" s="7"/>
      <x:c r="W168" s="9"/>
      <x:c r="X168" s="7"/>
      <x:c r="Y168" s="9"/>
      <x:c r="Z168" s="8"/>
      <x:c r="AA168" s="8"/>
      <x:c r="AB168" s="7"/>
      <x:c r="AC168" s="7"/>
      <x:c r="AD168" s="13"/>
      <x:c r="AE168" s="7"/>
      <x:c r="AF168" s="7"/>
      <x:c r="AG168" s="7"/>
      <x:c r="AH168" s="7"/>
      <x:c r="AI168" s="7"/>
      <x:c r="AJ168" s="9" t="str">
        <x:f>IF($A168="","",SUMIF(Sales_Items!$A$2:$A$501,$A168,Sales_Items!$O$2:$O$501))</x:f>
      </x:c>
      <x:c r="AK168" s="9" t="str">
        <x:f>IF($A168="","",$AJ168*$L168/100)</x:f>
      </x:c>
      <x:c r="AL168" s="9" t="str">
        <x:f>IF($A168="","",MAX(0,$AJ168-$AK168))</x:f>
      </x:c>
      <x:c r="AM168" s="9" t="str">
        <x:f>IF($A168="","",MAX(0,$AL168*$M168/100))</x:f>
      </x:c>
      <x:c r="AN168" s="9" t="str">
        <x:f>IF($A168="","",MAX(0,$AL168*$N168/100))</x:f>
      </x:c>
      <x:c r="AO168" s="9" t="str">
        <x:f>IF($A168="","",MAX(0,$AL168*$O168/100))</x:f>
      </x:c>
      <x:c r="AP168" s="9" t="str">
        <x:f>IF($A168="","",MAX(0,$AL168+$AM168+$P168+$W168-$AN168-$AO168-$Q168))</x:f>
      </x:c>
    </x:row>
    <x:row r="169">
      <x:c r="A169" s="13"/>
      <x:c r="B169" s="7"/>
      <x:c r="C169" s="13"/>
      <x:c r="D169" s="14"/>
      <x:c r="E169" s="8"/>
      <x:c r="F169" s="13"/>
      <x:c r="G169" s="7"/>
      <x:c r="H169" s="7"/>
      <x:c r="I169" s="7"/>
      <x:c r="J169" s="13"/>
      <x:c r="K169" s="16"/>
      <x:c r="L169" s="10"/>
      <x:c r="M169" s="10"/>
      <x:c r="N169" s="10"/>
      <x:c r="O169" s="10"/>
      <x:c r="P169" s="9"/>
      <x:c r="Q169" s="9"/>
      <x:c r="R169" s="7"/>
      <x:c r="S169" s="7"/>
      <x:c r="T169" s="7"/>
      <x:c r="U169" s="7"/>
      <x:c r="V169" s="7"/>
      <x:c r="W169" s="9"/>
      <x:c r="X169" s="7"/>
      <x:c r="Y169" s="9"/>
      <x:c r="Z169" s="8"/>
      <x:c r="AA169" s="8"/>
      <x:c r="AB169" s="7"/>
      <x:c r="AC169" s="7"/>
      <x:c r="AD169" s="13"/>
      <x:c r="AE169" s="7"/>
      <x:c r="AF169" s="7"/>
      <x:c r="AG169" s="7"/>
      <x:c r="AH169" s="7"/>
      <x:c r="AI169" s="7"/>
      <x:c r="AJ169" s="9" t="str">
        <x:f>IF($A169="","",SUMIF(Sales_Items!$A$2:$A$501,$A169,Sales_Items!$O$2:$O$501))</x:f>
      </x:c>
      <x:c r="AK169" s="9" t="str">
        <x:f>IF($A169="","",$AJ169*$L169/100)</x:f>
      </x:c>
      <x:c r="AL169" s="9" t="str">
        <x:f>IF($A169="","",MAX(0,$AJ169-$AK169))</x:f>
      </x:c>
      <x:c r="AM169" s="9" t="str">
        <x:f>IF($A169="","",MAX(0,$AL169*$M169/100))</x:f>
      </x:c>
      <x:c r="AN169" s="9" t="str">
        <x:f>IF($A169="","",MAX(0,$AL169*$N169/100))</x:f>
      </x:c>
      <x:c r="AO169" s="9" t="str">
        <x:f>IF($A169="","",MAX(0,$AL169*$O169/100))</x:f>
      </x:c>
      <x:c r="AP169" s="9" t="str">
        <x:f>IF($A169="","",MAX(0,$AL169+$AM169+$P169+$W169-$AN169-$AO169-$Q169))</x:f>
      </x:c>
    </x:row>
    <x:row r="170">
      <x:c r="A170" s="13"/>
      <x:c r="B170" s="7"/>
      <x:c r="C170" s="13"/>
      <x:c r="D170" s="14"/>
      <x:c r="E170" s="8"/>
      <x:c r="F170" s="13"/>
      <x:c r="G170" s="7"/>
      <x:c r="H170" s="7"/>
      <x:c r="I170" s="7"/>
      <x:c r="J170" s="13"/>
      <x:c r="K170" s="16"/>
      <x:c r="L170" s="10"/>
      <x:c r="M170" s="10"/>
      <x:c r="N170" s="10"/>
      <x:c r="O170" s="10"/>
      <x:c r="P170" s="9"/>
      <x:c r="Q170" s="9"/>
      <x:c r="R170" s="7"/>
      <x:c r="S170" s="7"/>
      <x:c r="T170" s="7"/>
      <x:c r="U170" s="7"/>
      <x:c r="V170" s="7"/>
      <x:c r="W170" s="9"/>
      <x:c r="X170" s="7"/>
      <x:c r="Y170" s="9"/>
      <x:c r="Z170" s="8"/>
      <x:c r="AA170" s="8"/>
      <x:c r="AB170" s="7"/>
      <x:c r="AC170" s="7"/>
      <x:c r="AD170" s="13"/>
      <x:c r="AE170" s="7"/>
      <x:c r="AF170" s="7"/>
      <x:c r="AG170" s="7"/>
      <x:c r="AH170" s="7"/>
      <x:c r="AI170" s="7"/>
      <x:c r="AJ170" s="9" t="str">
        <x:f>IF($A170="","",SUMIF(Sales_Items!$A$2:$A$501,$A170,Sales_Items!$O$2:$O$501))</x:f>
      </x:c>
      <x:c r="AK170" s="9" t="str">
        <x:f>IF($A170="","",$AJ170*$L170/100)</x:f>
      </x:c>
      <x:c r="AL170" s="9" t="str">
        <x:f>IF($A170="","",MAX(0,$AJ170-$AK170))</x:f>
      </x:c>
      <x:c r="AM170" s="9" t="str">
        <x:f>IF($A170="","",MAX(0,$AL170*$M170/100))</x:f>
      </x:c>
      <x:c r="AN170" s="9" t="str">
        <x:f>IF($A170="","",MAX(0,$AL170*$N170/100))</x:f>
      </x:c>
      <x:c r="AO170" s="9" t="str">
        <x:f>IF($A170="","",MAX(0,$AL170*$O170/100))</x:f>
      </x:c>
      <x:c r="AP170" s="9" t="str">
        <x:f>IF($A170="","",MAX(0,$AL170+$AM170+$P170+$W170-$AN170-$AO170-$Q170))</x:f>
      </x:c>
    </x:row>
    <x:row r="171">
      <x:c r="A171" s="13"/>
      <x:c r="B171" s="7"/>
      <x:c r="C171" s="13"/>
      <x:c r="D171" s="14"/>
      <x:c r="E171" s="8"/>
      <x:c r="F171" s="13"/>
      <x:c r="G171" s="7"/>
      <x:c r="H171" s="7"/>
      <x:c r="I171" s="7"/>
      <x:c r="J171" s="13"/>
      <x:c r="K171" s="16"/>
      <x:c r="L171" s="10"/>
      <x:c r="M171" s="10"/>
      <x:c r="N171" s="10"/>
      <x:c r="O171" s="10"/>
      <x:c r="P171" s="9"/>
      <x:c r="Q171" s="9"/>
      <x:c r="R171" s="7"/>
      <x:c r="S171" s="7"/>
      <x:c r="T171" s="7"/>
      <x:c r="U171" s="7"/>
      <x:c r="V171" s="7"/>
      <x:c r="W171" s="9"/>
      <x:c r="X171" s="7"/>
      <x:c r="Y171" s="9"/>
      <x:c r="Z171" s="8"/>
      <x:c r="AA171" s="8"/>
      <x:c r="AB171" s="7"/>
      <x:c r="AC171" s="7"/>
      <x:c r="AD171" s="13"/>
      <x:c r="AE171" s="7"/>
      <x:c r="AF171" s="7"/>
      <x:c r="AG171" s="7"/>
      <x:c r="AH171" s="7"/>
      <x:c r="AI171" s="7"/>
      <x:c r="AJ171" s="9" t="str">
        <x:f>IF($A171="","",SUMIF(Sales_Items!$A$2:$A$501,$A171,Sales_Items!$O$2:$O$501))</x:f>
      </x:c>
      <x:c r="AK171" s="9" t="str">
        <x:f>IF($A171="","",$AJ171*$L171/100)</x:f>
      </x:c>
      <x:c r="AL171" s="9" t="str">
        <x:f>IF($A171="","",MAX(0,$AJ171-$AK171))</x:f>
      </x:c>
      <x:c r="AM171" s="9" t="str">
        <x:f>IF($A171="","",MAX(0,$AL171*$M171/100))</x:f>
      </x:c>
      <x:c r="AN171" s="9" t="str">
        <x:f>IF($A171="","",MAX(0,$AL171*$N171/100))</x:f>
      </x:c>
      <x:c r="AO171" s="9" t="str">
        <x:f>IF($A171="","",MAX(0,$AL171*$O171/100))</x:f>
      </x:c>
      <x:c r="AP171" s="9" t="str">
        <x:f>IF($A171="","",MAX(0,$AL171+$AM171+$P171+$W171-$AN171-$AO171-$Q171))</x:f>
      </x:c>
    </x:row>
    <x:row r="172">
      <x:c r="A172" s="13"/>
      <x:c r="B172" s="7"/>
      <x:c r="C172" s="13"/>
      <x:c r="D172" s="14"/>
      <x:c r="E172" s="8"/>
      <x:c r="F172" s="13"/>
      <x:c r="G172" s="7"/>
      <x:c r="H172" s="7"/>
      <x:c r="I172" s="7"/>
      <x:c r="J172" s="13"/>
      <x:c r="K172" s="16"/>
      <x:c r="L172" s="10"/>
      <x:c r="M172" s="10"/>
      <x:c r="N172" s="10"/>
      <x:c r="O172" s="10"/>
      <x:c r="P172" s="9"/>
      <x:c r="Q172" s="9"/>
      <x:c r="R172" s="7"/>
      <x:c r="S172" s="7"/>
      <x:c r="T172" s="7"/>
      <x:c r="U172" s="7"/>
      <x:c r="V172" s="7"/>
      <x:c r="W172" s="9"/>
      <x:c r="X172" s="7"/>
      <x:c r="Y172" s="9"/>
      <x:c r="Z172" s="8"/>
      <x:c r="AA172" s="8"/>
      <x:c r="AB172" s="7"/>
      <x:c r="AC172" s="7"/>
      <x:c r="AD172" s="13"/>
      <x:c r="AE172" s="7"/>
      <x:c r="AF172" s="7"/>
      <x:c r="AG172" s="7"/>
      <x:c r="AH172" s="7"/>
      <x:c r="AI172" s="7"/>
      <x:c r="AJ172" s="9" t="str">
        <x:f>IF($A172="","",SUMIF(Sales_Items!$A$2:$A$501,$A172,Sales_Items!$O$2:$O$501))</x:f>
      </x:c>
      <x:c r="AK172" s="9" t="str">
        <x:f>IF($A172="","",$AJ172*$L172/100)</x:f>
      </x:c>
      <x:c r="AL172" s="9" t="str">
        <x:f>IF($A172="","",MAX(0,$AJ172-$AK172))</x:f>
      </x:c>
      <x:c r="AM172" s="9" t="str">
        <x:f>IF($A172="","",MAX(0,$AL172*$M172/100))</x:f>
      </x:c>
      <x:c r="AN172" s="9" t="str">
        <x:f>IF($A172="","",MAX(0,$AL172*$N172/100))</x:f>
      </x:c>
      <x:c r="AO172" s="9" t="str">
        <x:f>IF($A172="","",MAX(0,$AL172*$O172/100))</x:f>
      </x:c>
      <x:c r="AP172" s="9" t="str">
        <x:f>IF($A172="","",MAX(0,$AL172+$AM172+$P172+$W172-$AN172-$AO172-$Q172))</x:f>
      </x:c>
    </x:row>
    <x:row r="173">
      <x:c r="A173" s="13"/>
      <x:c r="B173" s="7"/>
      <x:c r="C173" s="13"/>
      <x:c r="D173" s="14"/>
      <x:c r="E173" s="8"/>
      <x:c r="F173" s="13"/>
      <x:c r="G173" s="7"/>
      <x:c r="H173" s="7"/>
      <x:c r="I173" s="7"/>
      <x:c r="J173" s="13"/>
      <x:c r="K173" s="16"/>
      <x:c r="L173" s="10"/>
      <x:c r="M173" s="10"/>
      <x:c r="N173" s="10"/>
      <x:c r="O173" s="10"/>
      <x:c r="P173" s="9"/>
      <x:c r="Q173" s="9"/>
      <x:c r="R173" s="7"/>
      <x:c r="S173" s="7"/>
      <x:c r="T173" s="7"/>
      <x:c r="U173" s="7"/>
      <x:c r="V173" s="7"/>
      <x:c r="W173" s="9"/>
      <x:c r="X173" s="7"/>
      <x:c r="Y173" s="9"/>
      <x:c r="Z173" s="8"/>
      <x:c r="AA173" s="8"/>
      <x:c r="AB173" s="7"/>
      <x:c r="AC173" s="7"/>
      <x:c r="AD173" s="13"/>
      <x:c r="AE173" s="7"/>
      <x:c r="AF173" s="7"/>
      <x:c r="AG173" s="7"/>
      <x:c r="AH173" s="7"/>
      <x:c r="AI173" s="7"/>
      <x:c r="AJ173" s="9" t="str">
        <x:f>IF($A173="","",SUMIF(Sales_Items!$A$2:$A$501,$A173,Sales_Items!$O$2:$O$501))</x:f>
      </x:c>
      <x:c r="AK173" s="9" t="str">
        <x:f>IF($A173="","",$AJ173*$L173/100)</x:f>
      </x:c>
      <x:c r="AL173" s="9" t="str">
        <x:f>IF($A173="","",MAX(0,$AJ173-$AK173))</x:f>
      </x:c>
      <x:c r="AM173" s="9" t="str">
        <x:f>IF($A173="","",MAX(0,$AL173*$M173/100))</x:f>
      </x:c>
      <x:c r="AN173" s="9" t="str">
        <x:f>IF($A173="","",MAX(0,$AL173*$N173/100))</x:f>
      </x:c>
      <x:c r="AO173" s="9" t="str">
        <x:f>IF($A173="","",MAX(0,$AL173*$O173/100))</x:f>
      </x:c>
      <x:c r="AP173" s="9" t="str">
        <x:f>IF($A173="","",MAX(0,$AL173+$AM173+$P173+$W173-$AN173-$AO173-$Q173))</x:f>
      </x:c>
    </x:row>
    <x:row r="174">
      <x:c r="A174" s="13"/>
      <x:c r="B174" s="7"/>
      <x:c r="C174" s="13"/>
      <x:c r="D174" s="14"/>
      <x:c r="E174" s="8"/>
      <x:c r="F174" s="13"/>
      <x:c r="G174" s="7"/>
      <x:c r="H174" s="7"/>
      <x:c r="I174" s="7"/>
      <x:c r="J174" s="13"/>
      <x:c r="K174" s="16"/>
      <x:c r="L174" s="10"/>
      <x:c r="M174" s="10"/>
      <x:c r="N174" s="10"/>
      <x:c r="O174" s="10"/>
      <x:c r="P174" s="9"/>
      <x:c r="Q174" s="9"/>
      <x:c r="R174" s="7"/>
      <x:c r="S174" s="7"/>
      <x:c r="T174" s="7"/>
      <x:c r="U174" s="7"/>
      <x:c r="V174" s="7"/>
      <x:c r="W174" s="9"/>
      <x:c r="X174" s="7"/>
      <x:c r="Y174" s="9"/>
      <x:c r="Z174" s="8"/>
      <x:c r="AA174" s="8"/>
      <x:c r="AB174" s="7"/>
      <x:c r="AC174" s="7"/>
      <x:c r="AD174" s="13"/>
      <x:c r="AE174" s="7"/>
      <x:c r="AF174" s="7"/>
      <x:c r="AG174" s="7"/>
      <x:c r="AH174" s="7"/>
      <x:c r="AI174" s="7"/>
      <x:c r="AJ174" s="9" t="str">
        <x:f>IF($A174="","",SUMIF(Sales_Items!$A$2:$A$501,$A174,Sales_Items!$O$2:$O$501))</x:f>
      </x:c>
      <x:c r="AK174" s="9" t="str">
        <x:f>IF($A174="","",$AJ174*$L174/100)</x:f>
      </x:c>
      <x:c r="AL174" s="9" t="str">
        <x:f>IF($A174="","",MAX(0,$AJ174-$AK174))</x:f>
      </x:c>
      <x:c r="AM174" s="9" t="str">
        <x:f>IF($A174="","",MAX(0,$AL174*$M174/100))</x:f>
      </x:c>
      <x:c r="AN174" s="9" t="str">
        <x:f>IF($A174="","",MAX(0,$AL174*$N174/100))</x:f>
      </x:c>
      <x:c r="AO174" s="9" t="str">
        <x:f>IF($A174="","",MAX(0,$AL174*$O174/100))</x:f>
      </x:c>
      <x:c r="AP174" s="9" t="str">
        <x:f>IF($A174="","",MAX(0,$AL174+$AM174+$P174+$W174-$AN174-$AO174-$Q174))</x:f>
      </x:c>
    </x:row>
    <x:row r="175">
      <x:c r="A175" s="13"/>
      <x:c r="B175" s="7"/>
      <x:c r="C175" s="13"/>
      <x:c r="D175" s="14"/>
      <x:c r="E175" s="8"/>
      <x:c r="F175" s="13"/>
      <x:c r="G175" s="7"/>
      <x:c r="H175" s="7"/>
      <x:c r="I175" s="7"/>
      <x:c r="J175" s="13"/>
      <x:c r="K175" s="16"/>
      <x:c r="L175" s="10"/>
      <x:c r="M175" s="10"/>
      <x:c r="N175" s="10"/>
      <x:c r="O175" s="10"/>
      <x:c r="P175" s="9"/>
      <x:c r="Q175" s="9"/>
      <x:c r="R175" s="7"/>
      <x:c r="S175" s="7"/>
      <x:c r="T175" s="7"/>
      <x:c r="U175" s="7"/>
      <x:c r="V175" s="7"/>
      <x:c r="W175" s="9"/>
      <x:c r="X175" s="7"/>
      <x:c r="Y175" s="9"/>
      <x:c r="Z175" s="8"/>
      <x:c r="AA175" s="8"/>
      <x:c r="AB175" s="7"/>
      <x:c r="AC175" s="7"/>
      <x:c r="AD175" s="13"/>
      <x:c r="AE175" s="7"/>
      <x:c r="AF175" s="7"/>
      <x:c r="AG175" s="7"/>
      <x:c r="AH175" s="7"/>
      <x:c r="AI175" s="7"/>
      <x:c r="AJ175" s="9" t="str">
        <x:f>IF($A175="","",SUMIF(Sales_Items!$A$2:$A$501,$A175,Sales_Items!$O$2:$O$501))</x:f>
      </x:c>
      <x:c r="AK175" s="9" t="str">
        <x:f>IF($A175="","",$AJ175*$L175/100)</x:f>
      </x:c>
      <x:c r="AL175" s="9" t="str">
        <x:f>IF($A175="","",MAX(0,$AJ175-$AK175))</x:f>
      </x:c>
      <x:c r="AM175" s="9" t="str">
        <x:f>IF($A175="","",MAX(0,$AL175*$M175/100))</x:f>
      </x:c>
      <x:c r="AN175" s="9" t="str">
        <x:f>IF($A175="","",MAX(0,$AL175*$N175/100))</x:f>
      </x:c>
      <x:c r="AO175" s="9" t="str">
        <x:f>IF($A175="","",MAX(0,$AL175*$O175/100))</x:f>
      </x:c>
      <x:c r="AP175" s="9" t="str">
        <x:f>IF($A175="","",MAX(0,$AL175+$AM175+$P175+$W175-$AN175-$AO175-$Q175))</x:f>
      </x:c>
    </x:row>
    <x:row r="176">
      <x:c r="A176" s="13"/>
      <x:c r="B176" s="7"/>
      <x:c r="C176" s="13"/>
      <x:c r="D176" s="14"/>
      <x:c r="E176" s="8"/>
      <x:c r="F176" s="13"/>
      <x:c r="G176" s="7"/>
      <x:c r="H176" s="7"/>
      <x:c r="I176" s="7"/>
      <x:c r="J176" s="13"/>
      <x:c r="K176" s="16"/>
      <x:c r="L176" s="10"/>
      <x:c r="M176" s="10"/>
      <x:c r="N176" s="10"/>
      <x:c r="O176" s="10"/>
      <x:c r="P176" s="9"/>
      <x:c r="Q176" s="9"/>
      <x:c r="R176" s="7"/>
      <x:c r="S176" s="7"/>
      <x:c r="T176" s="7"/>
      <x:c r="U176" s="7"/>
      <x:c r="V176" s="7"/>
      <x:c r="W176" s="9"/>
      <x:c r="X176" s="7"/>
      <x:c r="Y176" s="9"/>
      <x:c r="Z176" s="8"/>
      <x:c r="AA176" s="8"/>
      <x:c r="AB176" s="7"/>
      <x:c r="AC176" s="7"/>
      <x:c r="AD176" s="13"/>
      <x:c r="AE176" s="7"/>
      <x:c r="AF176" s="7"/>
      <x:c r="AG176" s="7"/>
      <x:c r="AH176" s="7"/>
      <x:c r="AI176" s="7"/>
      <x:c r="AJ176" s="9" t="str">
        <x:f>IF($A176="","",SUMIF(Sales_Items!$A$2:$A$501,$A176,Sales_Items!$O$2:$O$501))</x:f>
      </x:c>
      <x:c r="AK176" s="9" t="str">
        <x:f>IF($A176="","",$AJ176*$L176/100)</x:f>
      </x:c>
      <x:c r="AL176" s="9" t="str">
        <x:f>IF($A176="","",MAX(0,$AJ176-$AK176))</x:f>
      </x:c>
      <x:c r="AM176" s="9" t="str">
        <x:f>IF($A176="","",MAX(0,$AL176*$M176/100))</x:f>
      </x:c>
      <x:c r="AN176" s="9" t="str">
        <x:f>IF($A176="","",MAX(0,$AL176*$N176/100))</x:f>
      </x:c>
      <x:c r="AO176" s="9" t="str">
        <x:f>IF($A176="","",MAX(0,$AL176*$O176/100))</x:f>
      </x:c>
      <x:c r="AP176" s="9" t="str">
        <x:f>IF($A176="","",MAX(0,$AL176+$AM176+$P176+$W176-$AN176-$AO176-$Q176))</x:f>
      </x:c>
    </x:row>
    <x:row r="177">
      <x:c r="A177" s="13"/>
      <x:c r="B177" s="7"/>
      <x:c r="C177" s="13"/>
      <x:c r="D177" s="14"/>
      <x:c r="E177" s="8"/>
      <x:c r="F177" s="13"/>
      <x:c r="G177" s="7"/>
      <x:c r="H177" s="7"/>
      <x:c r="I177" s="7"/>
      <x:c r="J177" s="13"/>
      <x:c r="K177" s="16"/>
      <x:c r="L177" s="10"/>
      <x:c r="M177" s="10"/>
      <x:c r="N177" s="10"/>
      <x:c r="O177" s="10"/>
      <x:c r="P177" s="9"/>
      <x:c r="Q177" s="9"/>
      <x:c r="R177" s="7"/>
      <x:c r="S177" s="7"/>
      <x:c r="T177" s="7"/>
      <x:c r="U177" s="7"/>
      <x:c r="V177" s="7"/>
      <x:c r="W177" s="9"/>
      <x:c r="X177" s="7"/>
      <x:c r="Y177" s="9"/>
      <x:c r="Z177" s="8"/>
      <x:c r="AA177" s="8"/>
      <x:c r="AB177" s="7"/>
      <x:c r="AC177" s="7"/>
      <x:c r="AD177" s="13"/>
      <x:c r="AE177" s="7"/>
      <x:c r="AF177" s="7"/>
      <x:c r="AG177" s="7"/>
      <x:c r="AH177" s="7"/>
      <x:c r="AI177" s="7"/>
      <x:c r="AJ177" s="9" t="str">
        <x:f>IF($A177="","",SUMIF(Sales_Items!$A$2:$A$501,$A177,Sales_Items!$O$2:$O$501))</x:f>
      </x:c>
      <x:c r="AK177" s="9" t="str">
        <x:f>IF($A177="","",$AJ177*$L177/100)</x:f>
      </x:c>
      <x:c r="AL177" s="9" t="str">
        <x:f>IF($A177="","",MAX(0,$AJ177-$AK177))</x:f>
      </x:c>
      <x:c r="AM177" s="9" t="str">
        <x:f>IF($A177="","",MAX(0,$AL177*$M177/100))</x:f>
      </x:c>
      <x:c r="AN177" s="9" t="str">
        <x:f>IF($A177="","",MAX(0,$AL177*$N177/100))</x:f>
      </x:c>
      <x:c r="AO177" s="9" t="str">
        <x:f>IF($A177="","",MAX(0,$AL177*$O177/100))</x:f>
      </x:c>
      <x:c r="AP177" s="9" t="str">
        <x:f>IF($A177="","",MAX(0,$AL177+$AM177+$P177+$W177-$AN177-$AO177-$Q177))</x:f>
      </x:c>
    </x:row>
    <x:row r="178">
      <x:c r="A178" s="13"/>
      <x:c r="B178" s="7"/>
      <x:c r="C178" s="13"/>
      <x:c r="D178" s="14"/>
      <x:c r="E178" s="8"/>
      <x:c r="F178" s="13"/>
      <x:c r="G178" s="7"/>
      <x:c r="H178" s="7"/>
      <x:c r="I178" s="7"/>
      <x:c r="J178" s="13"/>
      <x:c r="K178" s="16"/>
      <x:c r="L178" s="10"/>
      <x:c r="M178" s="10"/>
      <x:c r="N178" s="10"/>
      <x:c r="O178" s="10"/>
      <x:c r="P178" s="9"/>
      <x:c r="Q178" s="9"/>
      <x:c r="R178" s="7"/>
      <x:c r="S178" s="7"/>
      <x:c r="T178" s="7"/>
      <x:c r="U178" s="7"/>
      <x:c r="V178" s="7"/>
      <x:c r="W178" s="9"/>
      <x:c r="X178" s="7"/>
      <x:c r="Y178" s="9"/>
      <x:c r="Z178" s="8"/>
      <x:c r="AA178" s="8"/>
      <x:c r="AB178" s="7"/>
      <x:c r="AC178" s="7"/>
      <x:c r="AD178" s="13"/>
      <x:c r="AE178" s="7"/>
      <x:c r="AF178" s="7"/>
      <x:c r="AG178" s="7"/>
      <x:c r="AH178" s="7"/>
      <x:c r="AI178" s="7"/>
      <x:c r="AJ178" s="9" t="str">
        <x:f>IF($A178="","",SUMIF(Sales_Items!$A$2:$A$501,$A178,Sales_Items!$O$2:$O$501))</x:f>
      </x:c>
      <x:c r="AK178" s="9" t="str">
        <x:f>IF($A178="","",$AJ178*$L178/100)</x:f>
      </x:c>
      <x:c r="AL178" s="9" t="str">
        <x:f>IF($A178="","",MAX(0,$AJ178-$AK178))</x:f>
      </x:c>
      <x:c r="AM178" s="9" t="str">
        <x:f>IF($A178="","",MAX(0,$AL178*$M178/100))</x:f>
      </x:c>
      <x:c r="AN178" s="9" t="str">
        <x:f>IF($A178="","",MAX(0,$AL178*$N178/100))</x:f>
      </x:c>
      <x:c r="AO178" s="9" t="str">
        <x:f>IF($A178="","",MAX(0,$AL178*$O178/100))</x:f>
      </x:c>
      <x:c r="AP178" s="9" t="str">
        <x:f>IF($A178="","",MAX(0,$AL178+$AM178+$P178+$W178-$AN178-$AO178-$Q178))</x:f>
      </x:c>
    </x:row>
    <x:row r="179">
      <x:c r="A179" s="13"/>
      <x:c r="B179" s="7"/>
      <x:c r="C179" s="13"/>
      <x:c r="D179" s="14"/>
      <x:c r="E179" s="8"/>
      <x:c r="F179" s="13"/>
      <x:c r="G179" s="7"/>
      <x:c r="H179" s="7"/>
      <x:c r="I179" s="7"/>
      <x:c r="J179" s="13"/>
      <x:c r="K179" s="16"/>
      <x:c r="L179" s="10"/>
      <x:c r="M179" s="10"/>
      <x:c r="N179" s="10"/>
      <x:c r="O179" s="10"/>
      <x:c r="P179" s="9"/>
      <x:c r="Q179" s="9"/>
      <x:c r="R179" s="7"/>
      <x:c r="S179" s="7"/>
      <x:c r="T179" s="7"/>
      <x:c r="U179" s="7"/>
      <x:c r="V179" s="7"/>
      <x:c r="W179" s="9"/>
      <x:c r="X179" s="7"/>
      <x:c r="Y179" s="9"/>
      <x:c r="Z179" s="8"/>
      <x:c r="AA179" s="8"/>
      <x:c r="AB179" s="7"/>
      <x:c r="AC179" s="7"/>
      <x:c r="AD179" s="13"/>
      <x:c r="AE179" s="7"/>
      <x:c r="AF179" s="7"/>
      <x:c r="AG179" s="7"/>
      <x:c r="AH179" s="7"/>
      <x:c r="AI179" s="7"/>
      <x:c r="AJ179" s="9" t="str">
        <x:f>IF($A179="","",SUMIF(Sales_Items!$A$2:$A$501,$A179,Sales_Items!$O$2:$O$501))</x:f>
      </x:c>
      <x:c r="AK179" s="9" t="str">
        <x:f>IF($A179="","",$AJ179*$L179/100)</x:f>
      </x:c>
      <x:c r="AL179" s="9" t="str">
        <x:f>IF($A179="","",MAX(0,$AJ179-$AK179))</x:f>
      </x:c>
      <x:c r="AM179" s="9" t="str">
        <x:f>IF($A179="","",MAX(0,$AL179*$M179/100))</x:f>
      </x:c>
      <x:c r="AN179" s="9" t="str">
        <x:f>IF($A179="","",MAX(0,$AL179*$N179/100))</x:f>
      </x:c>
      <x:c r="AO179" s="9" t="str">
        <x:f>IF($A179="","",MAX(0,$AL179*$O179/100))</x:f>
      </x:c>
      <x:c r="AP179" s="9" t="str">
        <x:f>IF($A179="","",MAX(0,$AL179+$AM179+$P179+$W179-$AN179-$AO179-$Q179))</x:f>
      </x:c>
    </x:row>
    <x:row r="180">
      <x:c r="A180" s="13"/>
      <x:c r="B180" s="7"/>
      <x:c r="C180" s="13"/>
      <x:c r="D180" s="14"/>
      <x:c r="E180" s="8"/>
      <x:c r="F180" s="13"/>
      <x:c r="G180" s="7"/>
      <x:c r="H180" s="7"/>
      <x:c r="I180" s="7"/>
      <x:c r="J180" s="13"/>
      <x:c r="K180" s="16"/>
      <x:c r="L180" s="10"/>
      <x:c r="M180" s="10"/>
      <x:c r="N180" s="10"/>
      <x:c r="O180" s="10"/>
      <x:c r="P180" s="9"/>
      <x:c r="Q180" s="9"/>
      <x:c r="R180" s="7"/>
      <x:c r="S180" s="7"/>
      <x:c r="T180" s="7"/>
      <x:c r="U180" s="7"/>
      <x:c r="V180" s="7"/>
      <x:c r="W180" s="9"/>
      <x:c r="X180" s="7"/>
      <x:c r="Y180" s="9"/>
      <x:c r="Z180" s="8"/>
      <x:c r="AA180" s="8"/>
      <x:c r="AB180" s="7"/>
      <x:c r="AC180" s="7"/>
      <x:c r="AD180" s="13"/>
      <x:c r="AE180" s="7"/>
      <x:c r="AF180" s="7"/>
      <x:c r="AG180" s="7"/>
      <x:c r="AH180" s="7"/>
      <x:c r="AI180" s="7"/>
      <x:c r="AJ180" s="9" t="str">
        <x:f>IF($A180="","",SUMIF(Sales_Items!$A$2:$A$501,$A180,Sales_Items!$O$2:$O$501))</x:f>
      </x:c>
      <x:c r="AK180" s="9" t="str">
        <x:f>IF($A180="","",$AJ180*$L180/100)</x:f>
      </x:c>
      <x:c r="AL180" s="9" t="str">
        <x:f>IF($A180="","",MAX(0,$AJ180-$AK180))</x:f>
      </x:c>
      <x:c r="AM180" s="9" t="str">
        <x:f>IF($A180="","",MAX(0,$AL180*$M180/100))</x:f>
      </x:c>
      <x:c r="AN180" s="9" t="str">
        <x:f>IF($A180="","",MAX(0,$AL180*$N180/100))</x:f>
      </x:c>
      <x:c r="AO180" s="9" t="str">
        <x:f>IF($A180="","",MAX(0,$AL180*$O180/100))</x:f>
      </x:c>
      <x:c r="AP180" s="9" t="str">
        <x:f>IF($A180="","",MAX(0,$AL180+$AM180+$P180+$W180-$AN180-$AO180-$Q180))</x:f>
      </x:c>
    </x:row>
    <x:row r="181">
      <x:c r="A181" s="13"/>
      <x:c r="B181" s="7"/>
      <x:c r="C181" s="13"/>
      <x:c r="D181" s="14"/>
      <x:c r="E181" s="8"/>
      <x:c r="F181" s="13"/>
      <x:c r="G181" s="7"/>
      <x:c r="H181" s="7"/>
      <x:c r="I181" s="7"/>
      <x:c r="J181" s="13"/>
      <x:c r="K181" s="16"/>
      <x:c r="L181" s="10"/>
      <x:c r="M181" s="10"/>
      <x:c r="N181" s="10"/>
      <x:c r="O181" s="10"/>
      <x:c r="P181" s="9"/>
      <x:c r="Q181" s="9"/>
      <x:c r="R181" s="7"/>
      <x:c r="S181" s="7"/>
      <x:c r="T181" s="7"/>
      <x:c r="U181" s="7"/>
      <x:c r="V181" s="7"/>
      <x:c r="W181" s="9"/>
      <x:c r="X181" s="7"/>
      <x:c r="Y181" s="9"/>
      <x:c r="Z181" s="8"/>
      <x:c r="AA181" s="8"/>
      <x:c r="AB181" s="7"/>
      <x:c r="AC181" s="7"/>
      <x:c r="AD181" s="13"/>
      <x:c r="AE181" s="7"/>
      <x:c r="AF181" s="7"/>
      <x:c r="AG181" s="7"/>
      <x:c r="AH181" s="7"/>
      <x:c r="AI181" s="7"/>
      <x:c r="AJ181" s="9" t="str">
        <x:f>IF($A181="","",SUMIF(Sales_Items!$A$2:$A$501,$A181,Sales_Items!$O$2:$O$501))</x:f>
      </x:c>
      <x:c r="AK181" s="9" t="str">
        <x:f>IF($A181="","",$AJ181*$L181/100)</x:f>
      </x:c>
      <x:c r="AL181" s="9" t="str">
        <x:f>IF($A181="","",MAX(0,$AJ181-$AK181))</x:f>
      </x:c>
      <x:c r="AM181" s="9" t="str">
        <x:f>IF($A181="","",MAX(0,$AL181*$M181/100))</x:f>
      </x:c>
      <x:c r="AN181" s="9" t="str">
        <x:f>IF($A181="","",MAX(0,$AL181*$N181/100))</x:f>
      </x:c>
      <x:c r="AO181" s="9" t="str">
        <x:f>IF($A181="","",MAX(0,$AL181*$O181/100))</x:f>
      </x:c>
      <x:c r="AP181" s="9" t="str">
        <x:f>IF($A181="","",MAX(0,$AL181+$AM181+$P181+$W181-$AN181-$AO181-$Q181))</x:f>
      </x:c>
    </x:row>
    <x:row r="182">
      <x:c r="A182" s="13"/>
      <x:c r="B182" s="7"/>
      <x:c r="C182" s="13"/>
      <x:c r="D182" s="14"/>
      <x:c r="E182" s="8"/>
      <x:c r="F182" s="13"/>
      <x:c r="G182" s="7"/>
      <x:c r="H182" s="7"/>
      <x:c r="I182" s="7"/>
      <x:c r="J182" s="13"/>
      <x:c r="K182" s="16"/>
      <x:c r="L182" s="10"/>
      <x:c r="M182" s="10"/>
      <x:c r="N182" s="10"/>
      <x:c r="O182" s="10"/>
      <x:c r="P182" s="9"/>
      <x:c r="Q182" s="9"/>
      <x:c r="R182" s="7"/>
      <x:c r="S182" s="7"/>
      <x:c r="T182" s="7"/>
      <x:c r="U182" s="7"/>
      <x:c r="V182" s="7"/>
      <x:c r="W182" s="9"/>
      <x:c r="X182" s="7"/>
      <x:c r="Y182" s="9"/>
      <x:c r="Z182" s="8"/>
      <x:c r="AA182" s="8"/>
      <x:c r="AB182" s="7"/>
      <x:c r="AC182" s="7"/>
      <x:c r="AD182" s="13"/>
      <x:c r="AE182" s="7"/>
      <x:c r="AF182" s="7"/>
      <x:c r="AG182" s="7"/>
      <x:c r="AH182" s="7"/>
      <x:c r="AI182" s="7"/>
      <x:c r="AJ182" s="9" t="str">
        <x:f>IF($A182="","",SUMIF(Sales_Items!$A$2:$A$501,$A182,Sales_Items!$O$2:$O$501))</x:f>
      </x:c>
      <x:c r="AK182" s="9" t="str">
        <x:f>IF($A182="","",$AJ182*$L182/100)</x:f>
      </x:c>
      <x:c r="AL182" s="9" t="str">
        <x:f>IF($A182="","",MAX(0,$AJ182-$AK182))</x:f>
      </x:c>
      <x:c r="AM182" s="9" t="str">
        <x:f>IF($A182="","",MAX(0,$AL182*$M182/100))</x:f>
      </x:c>
      <x:c r="AN182" s="9" t="str">
        <x:f>IF($A182="","",MAX(0,$AL182*$N182/100))</x:f>
      </x:c>
      <x:c r="AO182" s="9" t="str">
        <x:f>IF($A182="","",MAX(0,$AL182*$O182/100))</x:f>
      </x:c>
      <x:c r="AP182" s="9" t="str">
        <x:f>IF($A182="","",MAX(0,$AL182+$AM182+$P182+$W182-$AN182-$AO182-$Q182))</x:f>
      </x:c>
    </x:row>
    <x:row r="183">
      <x:c r="A183" s="13"/>
      <x:c r="B183" s="7"/>
      <x:c r="C183" s="13"/>
      <x:c r="D183" s="14"/>
      <x:c r="E183" s="8"/>
      <x:c r="F183" s="13"/>
      <x:c r="G183" s="7"/>
      <x:c r="H183" s="7"/>
      <x:c r="I183" s="7"/>
      <x:c r="J183" s="13"/>
      <x:c r="K183" s="16"/>
      <x:c r="L183" s="10"/>
      <x:c r="M183" s="10"/>
      <x:c r="N183" s="10"/>
      <x:c r="O183" s="10"/>
      <x:c r="P183" s="9"/>
      <x:c r="Q183" s="9"/>
      <x:c r="R183" s="7"/>
      <x:c r="S183" s="7"/>
      <x:c r="T183" s="7"/>
      <x:c r="U183" s="7"/>
      <x:c r="V183" s="7"/>
      <x:c r="W183" s="9"/>
      <x:c r="X183" s="7"/>
      <x:c r="Y183" s="9"/>
      <x:c r="Z183" s="8"/>
      <x:c r="AA183" s="8"/>
      <x:c r="AB183" s="7"/>
      <x:c r="AC183" s="7"/>
      <x:c r="AD183" s="13"/>
      <x:c r="AE183" s="7"/>
      <x:c r="AF183" s="7"/>
      <x:c r="AG183" s="7"/>
      <x:c r="AH183" s="7"/>
      <x:c r="AI183" s="7"/>
      <x:c r="AJ183" s="9" t="str">
        <x:f>IF($A183="","",SUMIF(Sales_Items!$A$2:$A$501,$A183,Sales_Items!$O$2:$O$501))</x:f>
      </x:c>
      <x:c r="AK183" s="9" t="str">
        <x:f>IF($A183="","",$AJ183*$L183/100)</x:f>
      </x:c>
      <x:c r="AL183" s="9" t="str">
        <x:f>IF($A183="","",MAX(0,$AJ183-$AK183))</x:f>
      </x:c>
      <x:c r="AM183" s="9" t="str">
        <x:f>IF($A183="","",MAX(0,$AL183*$M183/100))</x:f>
      </x:c>
      <x:c r="AN183" s="9" t="str">
        <x:f>IF($A183="","",MAX(0,$AL183*$N183/100))</x:f>
      </x:c>
      <x:c r="AO183" s="9" t="str">
        <x:f>IF($A183="","",MAX(0,$AL183*$O183/100))</x:f>
      </x:c>
      <x:c r="AP183" s="9" t="str">
        <x:f>IF($A183="","",MAX(0,$AL183+$AM183+$P183+$W183-$AN183-$AO183-$Q183))</x:f>
      </x:c>
    </x:row>
    <x:row r="184">
      <x:c r="A184" s="13"/>
      <x:c r="B184" s="7"/>
      <x:c r="C184" s="13"/>
      <x:c r="D184" s="14"/>
      <x:c r="E184" s="8"/>
      <x:c r="F184" s="13"/>
      <x:c r="G184" s="7"/>
      <x:c r="H184" s="7"/>
      <x:c r="I184" s="7"/>
      <x:c r="J184" s="13"/>
      <x:c r="K184" s="16"/>
      <x:c r="L184" s="10"/>
      <x:c r="M184" s="10"/>
      <x:c r="N184" s="10"/>
      <x:c r="O184" s="10"/>
      <x:c r="P184" s="9"/>
      <x:c r="Q184" s="9"/>
      <x:c r="R184" s="7"/>
      <x:c r="S184" s="7"/>
      <x:c r="T184" s="7"/>
      <x:c r="U184" s="7"/>
      <x:c r="V184" s="7"/>
      <x:c r="W184" s="9"/>
      <x:c r="X184" s="7"/>
      <x:c r="Y184" s="9"/>
      <x:c r="Z184" s="8"/>
      <x:c r="AA184" s="8"/>
      <x:c r="AB184" s="7"/>
      <x:c r="AC184" s="7"/>
      <x:c r="AD184" s="13"/>
      <x:c r="AE184" s="7"/>
      <x:c r="AF184" s="7"/>
      <x:c r="AG184" s="7"/>
      <x:c r="AH184" s="7"/>
      <x:c r="AI184" s="7"/>
      <x:c r="AJ184" s="9" t="str">
        <x:f>IF($A184="","",SUMIF(Sales_Items!$A$2:$A$501,$A184,Sales_Items!$O$2:$O$501))</x:f>
      </x:c>
      <x:c r="AK184" s="9" t="str">
        <x:f>IF($A184="","",$AJ184*$L184/100)</x:f>
      </x:c>
      <x:c r="AL184" s="9" t="str">
        <x:f>IF($A184="","",MAX(0,$AJ184-$AK184))</x:f>
      </x:c>
      <x:c r="AM184" s="9" t="str">
        <x:f>IF($A184="","",MAX(0,$AL184*$M184/100))</x:f>
      </x:c>
      <x:c r="AN184" s="9" t="str">
        <x:f>IF($A184="","",MAX(0,$AL184*$N184/100))</x:f>
      </x:c>
      <x:c r="AO184" s="9" t="str">
        <x:f>IF($A184="","",MAX(0,$AL184*$O184/100))</x:f>
      </x:c>
      <x:c r="AP184" s="9" t="str">
        <x:f>IF($A184="","",MAX(0,$AL184+$AM184+$P184+$W184-$AN184-$AO184-$Q184))</x:f>
      </x:c>
    </x:row>
    <x:row r="185">
      <x:c r="A185" s="13"/>
      <x:c r="B185" s="7"/>
      <x:c r="C185" s="13"/>
      <x:c r="D185" s="14"/>
      <x:c r="E185" s="8"/>
      <x:c r="F185" s="13"/>
      <x:c r="G185" s="7"/>
      <x:c r="H185" s="7"/>
      <x:c r="I185" s="7"/>
      <x:c r="J185" s="13"/>
      <x:c r="K185" s="16"/>
      <x:c r="L185" s="10"/>
      <x:c r="M185" s="10"/>
      <x:c r="N185" s="10"/>
      <x:c r="O185" s="10"/>
      <x:c r="P185" s="9"/>
      <x:c r="Q185" s="9"/>
      <x:c r="R185" s="7"/>
      <x:c r="S185" s="7"/>
      <x:c r="T185" s="7"/>
      <x:c r="U185" s="7"/>
      <x:c r="V185" s="7"/>
      <x:c r="W185" s="9"/>
      <x:c r="X185" s="7"/>
      <x:c r="Y185" s="9"/>
      <x:c r="Z185" s="8"/>
      <x:c r="AA185" s="8"/>
      <x:c r="AB185" s="7"/>
      <x:c r="AC185" s="7"/>
      <x:c r="AD185" s="13"/>
      <x:c r="AE185" s="7"/>
      <x:c r="AF185" s="7"/>
      <x:c r="AG185" s="7"/>
      <x:c r="AH185" s="7"/>
      <x:c r="AI185" s="7"/>
      <x:c r="AJ185" s="9" t="str">
        <x:f>IF($A185="","",SUMIF(Sales_Items!$A$2:$A$501,$A185,Sales_Items!$O$2:$O$501))</x:f>
      </x:c>
      <x:c r="AK185" s="9" t="str">
        <x:f>IF($A185="","",$AJ185*$L185/100)</x:f>
      </x:c>
      <x:c r="AL185" s="9" t="str">
        <x:f>IF($A185="","",MAX(0,$AJ185-$AK185))</x:f>
      </x:c>
      <x:c r="AM185" s="9" t="str">
        <x:f>IF($A185="","",MAX(0,$AL185*$M185/100))</x:f>
      </x:c>
      <x:c r="AN185" s="9" t="str">
        <x:f>IF($A185="","",MAX(0,$AL185*$N185/100))</x:f>
      </x:c>
      <x:c r="AO185" s="9" t="str">
        <x:f>IF($A185="","",MAX(0,$AL185*$O185/100))</x:f>
      </x:c>
      <x:c r="AP185" s="9" t="str">
        <x:f>IF($A185="","",MAX(0,$AL185+$AM185+$P185+$W185-$AN185-$AO185-$Q185))</x:f>
      </x:c>
    </x:row>
    <x:row r="186">
      <x:c r="A186" s="13"/>
      <x:c r="B186" s="7"/>
      <x:c r="C186" s="13"/>
      <x:c r="D186" s="14"/>
      <x:c r="E186" s="8"/>
      <x:c r="F186" s="13"/>
      <x:c r="G186" s="7"/>
      <x:c r="H186" s="7"/>
      <x:c r="I186" s="7"/>
      <x:c r="J186" s="13"/>
      <x:c r="K186" s="16"/>
      <x:c r="L186" s="10"/>
      <x:c r="M186" s="10"/>
      <x:c r="N186" s="10"/>
      <x:c r="O186" s="10"/>
      <x:c r="P186" s="9"/>
      <x:c r="Q186" s="9"/>
      <x:c r="R186" s="7"/>
      <x:c r="S186" s="7"/>
      <x:c r="T186" s="7"/>
      <x:c r="U186" s="7"/>
      <x:c r="V186" s="7"/>
      <x:c r="W186" s="9"/>
      <x:c r="X186" s="7"/>
      <x:c r="Y186" s="9"/>
      <x:c r="Z186" s="8"/>
      <x:c r="AA186" s="8"/>
      <x:c r="AB186" s="7"/>
      <x:c r="AC186" s="7"/>
      <x:c r="AD186" s="13"/>
      <x:c r="AE186" s="7"/>
      <x:c r="AF186" s="7"/>
      <x:c r="AG186" s="7"/>
      <x:c r="AH186" s="7"/>
      <x:c r="AI186" s="7"/>
      <x:c r="AJ186" s="9" t="str">
        <x:f>IF($A186="","",SUMIF(Sales_Items!$A$2:$A$501,$A186,Sales_Items!$O$2:$O$501))</x:f>
      </x:c>
      <x:c r="AK186" s="9" t="str">
        <x:f>IF($A186="","",$AJ186*$L186/100)</x:f>
      </x:c>
      <x:c r="AL186" s="9" t="str">
        <x:f>IF($A186="","",MAX(0,$AJ186-$AK186))</x:f>
      </x:c>
      <x:c r="AM186" s="9" t="str">
        <x:f>IF($A186="","",MAX(0,$AL186*$M186/100))</x:f>
      </x:c>
      <x:c r="AN186" s="9" t="str">
        <x:f>IF($A186="","",MAX(0,$AL186*$N186/100))</x:f>
      </x:c>
      <x:c r="AO186" s="9" t="str">
        <x:f>IF($A186="","",MAX(0,$AL186*$O186/100))</x:f>
      </x:c>
      <x:c r="AP186" s="9" t="str">
        <x:f>IF($A186="","",MAX(0,$AL186+$AM186+$P186+$W186-$AN186-$AO186-$Q186))</x:f>
      </x:c>
    </x:row>
    <x:row r="187">
      <x:c r="A187" s="13"/>
      <x:c r="B187" s="7"/>
      <x:c r="C187" s="13"/>
      <x:c r="D187" s="14"/>
      <x:c r="E187" s="8"/>
      <x:c r="F187" s="13"/>
      <x:c r="G187" s="7"/>
      <x:c r="H187" s="7"/>
      <x:c r="I187" s="7"/>
      <x:c r="J187" s="13"/>
      <x:c r="K187" s="16"/>
      <x:c r="L187" s="10"/>
      <x:c r="M187" s="10"/>
      <x:c r="N187" s="10"/>
      <x:c r="O187" s="10"/>
      <x:c r="P187" s="9"/>
      <x:c r="Q187" s="9"/>
      <x:c r="R187" s="7"/>
      <x:c r="S187" s="7"/>
      <x:c r="T187" s="7"/>
      <x:c r="U187" s="7"/>
      <x:c r="V187" s="7"/>
      <x:c r="W187" s="9"/>
      <x:c r="X187" s="7"/>
      <x:c r="Y187" s="9"/>
      <x:c r="Z187" s="8"/>
      <x:c r="AA187" s="8"/>
      <x:c r="AB187" s="7"/>
      <x:c r="AC187" s="7"/>
      <x:c r="AD187" s="13"/>
      <x:c r="AE187" s="7"/>
      <x:c r="AF187" s="7"/>
      <x:c r="AG187" s="7"/>
      <x:c r="AH187" s="7"/>
      <x:c r="AI187" s="7"/>
      <x:c r="AJ187" s="9" t="str">
        <x:f>IF($A187="","",SUMIF(Sales_Items!$A$2:$A$501,$A187,Sales_Items!$O$2:$O$501))</x:f>
      </x:c>
      <x:c r="AK187" s="9" t="str">
        <x:f>IF($A187="","",$AJ187*$L187/100)</x:f>
      </x:c>
      <x:c r="AL187" s="9" t="str">
        <x:f>IF($A187="","",MAX(0,$AJ187-$AK187))</x:f>
      </x:c>
      <x:c r="AM187" s="9" t="str">
        <x:f>IF($A187="","",MAX(0,$AL187*$M187/100))</x:f>
      </x:c>
      <x:c r="AN187" s="9" t="str">
        <x:f>IF($A187="","",MAX(0,$AL187*$N187/100))</x:f>
      </x:c>
      <x:c r="AO187" s="9" t="str">
        <x:f>IF($A187="","",MAX(0,$AL187*$O187/100))</x:f>
      </x:c>
      <x:c r="AP187" s="9" t="str">
        <x:f>IF($A187="","",MAX(0,$AL187+$AM187+$P187+$W187-$AN187-$AO187-$Q187))</x:f>
      </x:c>
    </x:row>
    <x:row r="188">
      <x:c r="A188" s="13"/>
      <x:c r="B188" s="7"/>
      <x:c r="C188" s="13"/>
      <x:c r="D188" s="14"/>
      <x:c r="E188" s="8"/>
      <x:c r="F188" s="13"/>
      <x:c r="G188" s="7"/>
      <x:c r="H188" s="7"/>
      <x:c r="I188" s="7"/>
      <x:c r="J188" s="13"/>
      <x:c r="K188" s="16"/>
      <x:c r="L188" s="10"/>
      <x:c r="M188" s="10"/>
      <x:c r="N188" s="10"/>
      <x:c r="O188" s="10"/>
      <x:c r="P188" s="9"/>
      <x:c r="Q188" s="9"/>
      <x:c r="R188" s="7"/>
      <x:c r="S188" s="7"/>
      <x:c r="T188" s="7"/>
      <x:c r="U188" s="7"/>
      <x:c r="V188" s="7"/>
      <x:c r="W188" s="9"/>
      <x:c r="X188" s="7"/>
      <x:c r="Y188" s="9"/>
      <x:c r="Z188" s="8"/>
      <x:c r="AA188" s="8"/>
      <x:c r="AB188" s="7"/>
      <x:c r="AC188" s="7"/>
      <x:c r="AD188" s="13"/>
      <x:c r="AE188" s="7"/>
      <x:c r="AF188" s="7"/>
      <x:c r="AG188" s="7"/>
      <x:c r="AH188" s="7"/>
      <x:c r="AI188" s="7"/>
      <x:c r="AJ188" s="9" t="str">
        <x:f>IF($A188="","",SUMIF(Sales_Items!$A$2:$A$501,$A188,Sales_Items!$O$2:$O$501))</x:f>
      </x:c>
      <x:c r="AK188" s="9" t="str">
        <x:f>IF($A188="","",$AJ188*$L188/100)</x:f>
      </x:c>
      <x:c r="AL188" s="9" t="str">
        <x:f>IF($A188="","",MAX(0,$AJ188-$AK188))</x:f>
      </x:c>
      <x:c r="AM188" s="9" t="str">
        <x:f>IF($A188="","",MAX(0,$AL188*$M188/100))</x:f>
      </x:c>
      <x:c r="AN188" s="9" t="str">
        <x:f>IF($A188="","",MAX(0,$AL188*$N188/100))</x:f>
      </x:c>
      <x:c r="AO188" s="9" t="str">
        <x:f>IF($A188="","",MAX(0,$AL188*$O188/100))</x:f>
      </x:c>
      <x:c r="AP188" s="9" t="str">
        <x:f>IF($A188="","",MAX(0,$AL188+$AM188+$P188+$W188-$AN188-$AO188-$Q188))</x:f>
      </x:c>
    </x:row>
    <x:row r="189">
      <x:c r="A189" s="13"/>
      <x:c r="B189" s="7"/>
      <x:c r="C189" s="13"/>
      <x:c r="D189" s="14"/>
      <x:c r="E189" s="8"/>
      <x:c r="F189" s="13"/>
      <x:c r="G189" s="7"/>
      <x:c r="H189" s="7"/>
      <x:c r="I189" s="7"/>
      <x:c r="J189" s="13"/>
      <x:c r="K189" s="16"/>
      <x:c r="L189" s="10"/>
      <x:c r="M189" s="10"/>
      <x:c r="N189" s="10"/>
      <x:c r="O189" s="10"/>
      <x:c r="P189" s="9"/>
      <x:c r="Q189" s="9"/>
      <x:c r="R189" s="7"/>
      <x:c r="S189" s="7"/>
      <x:c r="T189" s="7"/>
      <x:c r="U189" s="7"/>
      <x:c r="V189" s="7"/>
      <x:c r="W189" s="9"/>
      <x:c r="X189" s="7"/>
      <x:c r="Y189" s="9"/>
      <x:c r="Z189" s="8"/>
      <x:c r="AA189" s="8"/>
      <x:c r="AB189" s="7"/>
      <x:c r="AC189" s="7"/>
      <x:c r="AD189" s="13"/>
      <x:c r="AE189" s="7"/>
      <x:c r="AF189" s="7"/>
      <x:c r="AG189" s="7"/>
      <x:c r="AH189" s="7"/>
      <x:c r="AI189" s="7"/>
      <x:c r="AJ189" s="9" t="str">
        <x:f>IF($A189="","",SUMIF(Sales_Items!$A$2:$A$501,$A189,Sales_Items!$O$2:$O$501))</x:f>
      </x:c>
      <x:c r="AK189" s="9" t="str">
        <x:f>IF($A189="","",$AJ189*$L189/100)</x:f>
      </x:c>
      <x:c r="AL189" s="9" t="str">
        <x:f>IF($A189="","",MAX(0,$AJ189-$AK189))</x:f>
      </x:c>
      <x:c r="AM189" s="9" t="str">
        <x:f>IF($A189="","",MAX(0,$AL189*$M189/100))</x:f>
      </x:c>
      <x:c r="AN189" s="9" t="str">
        <x:f>IF($A189="","",MAX(0,$AL189*$N189/100))</x:f>
      </x:c>
      <x:c r="AO189" s="9" t="str">
        <x:f>IF($A189="","",MAX(0,$AL189*$O189/100))</x:f>
      </x:c>
      <x:c r="AP189" s="9" t="str">
        <x:f>IF($A189="","",MAX(0,$AL189+$AM189+$P189+$W189-$AN189-$AO189-$Q189))</x:f>
      </x:c>
    </x:row>
    <x:row r="190">
      <x:c r="A190" s="13"/>
      <x:c r="B190" s="7"/>
      <x:c r="C190" s="13"/>
      <x:c r="D190" s="14"/>
      <x:c r="E190" s="8"/>
      <x:c r="F190" s="13"/>
      <x:c r="G190" s="7"/>
      <x:c r="H190" s="7"/>
      <x:c r="I190" s="7"/>
      <x:c r="J190" s="13"/>
      <x:c r="K190" s="16"/>
      <x:c r="L190" s="10"/>
      <x:c r="M190" s="10"/>
      <x:c r="N190" s="10"/>
      <x:c r="O190" s="10"/>
      <x:c r="P190" s="9"/>
      <x:c r="Q190" s="9"/>
      <x:c r="R190" s="7"/>
      <x:c r="S190" s="7"/>
      <x:c r="T190" s="7"/>
      <x:c r="U190" s="7"/>
      <x:c r="V190" s="7"/>
      <x:c r="W190" s="9"/>
      <x:c r="X190" s="7"/>
      <x:c r="Y190" s="9"/>
      <x:c r="Z190" s="8"/>
      <x:c r="AA190" s="8"/>
      <x:c r="AB190" s="7"/>
      <x:c r="AC190" s="7"/>
      <x:c r="AD190" s="13"/>
      <x:c r="AE190" s="7"/>
      <x:c r="AF190" s="7"/>
      <x:c r="AG190" s="7"/>
      <x:c r="AH190" s="7"/>
      <x:c r="AI190" s="7"/>
      <x:c r="AJ190" s="9" t="str">
        <x:f>IF($A190="","",SUMIF(Sales_Items!$A$2:$A$501,$A190,Sales_Items!$O$2:$O$501))</x:f>
      </x:c>
      <x:c r="AK190" s="9" t="str">
        <x:f>IF($A190="","",$AJ190*$L190/100)</x:f>
      </x:c>
      <x:c r="AL190" s="9" t="str">
        <x:f>IF($A190="","",MAX(0,$AJ190-$AK190))</x:f>
      </x:c>
      <x:c r="AM190" s="9" t="str">
        <x:f>IF($A190="","",MAX(0,$AL190*$M190/100))</x:f>
      </x:c>
      <x:c r="AN190" s="9" t="str">
        <x:f>IF($A190="","",MAX(0,$AL190*$N190/100))</x:f>
      </x:c>
      <x:c r="AO190" s="9" t="str">
        <x:f>IF($A190="","",MAX(0,$AL190*$O190/100))</x:f>
      </x:c>
      <x:c r="AP190" s="9" t="str">
        <x:f>IF($A190="","",MAX(0,$AL190+$AM190+$P190+$W190-$AN190-$AO190-$Q190))</x:f>
      </x:c>
    </x:row>
    <x:row r="191">
      <x:c r="A191" s="13"/>
      <x:c r="B191" s="7"/>
      <x:c r="C191" s="13"/>
      <x:c r="D191" s="14"/>
      <x:c r="E191" s="8"/>
      <x:c r="F191" s="13"/>
      <x:c r="G191" s="7"/>
      <x:c r="H191" s="7"/>
      <x:c r="I191" s="7"/>
      <x:c r="J191" s="13"/>
      <x:c r="K191" s="16"/>
      <x:c r="L191" s="10"/>
      <x:c r="M191" s="10"/>
      <x:c r="N191" s="10"/>
      <x:c r="O191" s="10"/>
      <x:c r="P191" s="9"/>
      <x:c r="Q191" s="9"/>
      <x:c r="R191" s="7"/>
      <x:c r="S191" s="7"/>
      <x:c r="T191" s="7"/>
      <x:c r="U191" s="7"/>
      <x:c r="V191" s="7"/>
      <x:c r="W191" s="9"/>
      <x:c r="X191" s="7"/>
      <x:c r="Y191" s="9"/>
      <x:c r="Z191" s="8"/>
      <x:c r="AA191" s="8"/>
      <x:c r="AB191" s="7"/>
      <x:c r="AC191" s="7"/>
      <x:c r="AD191" s="13"/>
      <x:c r="AE191" s="7"/>
      <x:c r="AF191" s="7"/>
      <x:c r="AG191" s="7"/>
      <x:c r="AH191" s="7"/>
      <x:c r="AI191" s="7"/>
      <x:c r="AJ191" s="9" t="str">
        <x:f>IF($A191="","",SUMIF(Sales_Items!$A$2:$A$501,$A191,Sales_Items!$O$2:$O$501))</x:f>
      </x:c>
      <x:c r="AK191" s="9" t="str">
        <x:f>IF($A191="","",$AJ191*$L191/100)</x:f>
      </x:c>
      <x:c r="AL191" s="9" t="str">
        <x:f>IF($A191="","",MAX(0,$AJ191-$AK191))</x:f>
      </x:c>
      <x:c r="AM191" s="9" t="str">
        <x:f>IF($A191="","",MAX(0,$AL191*$M191/100))</x:f>
      </x:c>
      <x:c r="AN191" s="9" t="str">
        <x:f>IF($A191="","",MAX(0,$AL191*$N191/100))</x:f>
      </x:c>
      <x:c r="AO191" s="9" t="str">
        <x:f>IF($A191="","",MAX(0,$AL191*$O191/100))</x:f>
      </x:c>
      <x:c r="AP191" s="9" t="str">
        <x:f>IF($A191="","",MAX(0,$AL191+$AM191+$P191+$W191-$AN191-$AO191-$Q191))</x:f>
      </x:c>
    </x:row>
    <x:row r="192">
      <x:c r="A192" s="13"/>
      <x:c r="B192" s="7"/>
      <x:c r="C192" s="13"/>
      <x:c r="D192" s="14"/>
      <x:c r="E192" s="8"/>
      <x:c r="F192" s="13"/>
      <x:c r="G192" s="7"/>
      <x:c r="H192" s="7"/>
      <x:c r="I192" s="7"/>
      <x:c r="J192" s="13"/>
      <x:c r="K192" s="16"/>
      <x:c r="L192" s="10"/>
      <x:c r="M192" s="10"/>
      <x:c r="N192" s="10"/>
      <x:c r="O192" s="10"/>
      <x:c r="P192" s="9"/>
      <x:c r="Q192" s="9"/>
      <x:c r="R192" s="7"/>
      <x:c r="S192" s="7"/>
      <x:c r="T192" s="7"/>
      <x:c r="U192" s="7"/>
      <x:c r="V192" s="7"/>
      <x:c r="W192" s="9"/>
      <x:c r="X192" s="7"/>
      <x:c r="Y192" s="9"/>
      <x:c r="Z192" s="8"/>
      <x:c r="AA192" s="8"/>
      <x:c r="AB192" s="7"/>
      <x:c r="AC192" s="7"/>
      <x:c r="AD192" s="13"/>
      <x:c r="AE192" s="7"/>
      <x:c r="AF192" s="7"/>
      <x:c r="AG192" s="7"/>
      <x:c r="AH192" s="7"/>
      <x:c r="AI192" s="7"/>
      <x:c r="AJ192" s="9" t="str">
        <x:f>IF($A192="","",SUMIF(Sales_Items!$A$2:$A$501,$A192,Sales_Items!$O$2:$O$501))</x:f>
      </x:c>
      <x:c r="AK192" s="9" t="str">
        <x:f>IF($A192="","",$AJ192*$L192/100)</x:f>
      </x:c>
      <x:c r="AL192" s="9" t="str">
        <x:f>IF($A192="","",MAX(0,$AJ192-$AK192))</x:f>
      </x:c>
      <x:c r="AM192" s="9" t="str">
        <x:f>IF($A192="","",MAX(0,$AL192*$M192/100))</x:f>
      </x:c>
      <x:c r="AN192" s="9" t="str">
        <x:f>IF($A192="","",MAX(0,$AL192*$N192/100))</x:f>
      </x:c>
      <x:c r="AO192" s="9" t="str">
        <x:f>IF($A192="","",MAX(0,$AL192*$O192/100))</x:f>
      </x:c>
      <x:c r="AP192" s="9" t="str">
        <x:f>IF($A192="","",MAX(0,$AL192+$AM192+$P192+$W192-$AN192-$AO192-$Q192))</x:f>
      </x:c>
    </x:row>
    <x:row r="193">
      <x:c r="A193" s="13"/>
      <x:c r="B193" s="7"/>
      <x:c r="C193" s="13"/>
      <x:c r="D193" s="14"/>
      <x:c r="E193" s="8"/>
      <x:c r="F193" s="13"/>
      <x:c r="G193" s="7"/>
      <x:c r="H193" s="7"/>
      <x:c r="I193" s="7"/>
      <x:c r="J193" s="13"/>
      <x:c r="K193" s="16"/>
      <x:c r="L193" s="10"/>
      <x:c r="M193" s="10"/>
      <x:c r="N193" s="10"/>
      <x:c r="O193" s="10"/>
      <x:c r="P193" s="9"/>
      <x:c r="Q193" s="9"/>
      <x:c r="R193" s="7"/>
      <x:c r="S193" s="7"/>
      <x:c r="T193" s="7"/>
      <x:c r="U193" s="7"/>
      <x:c r="V193" s="7"/>
      <x:c r="W193" s="9"/>
      <x:c r="X193" s="7"/>
      <x:c r="Y193" s="9"/>
      <x:c r="Z193" s="8"/>
      <x:c r="AA193" s="8"/>
      <x:c r="AB193" s="7"/>
      <x:c r="AC193" s="7"/>
      <x:c r="AD193" s="13"/>
      <x:c r="AE193" s="7"/>
      <x:c r="AF193" s="7"/>
      <x:c r="AG193" s="7"/>
      <x:c r="AH193" s="7"/>
      <x:c r="AI193" s="7"/>
      <x:c r="AJ193" s="9" t="str">
        <x:f>IF($A193="","",SUMIF(Sales_Items!$A$2:$A$501,$A193,Sales_Items!$O$2:$O$501))</x:f>
      </x:c>
      <x:c r="AK193" s="9" t="str">
        <x:f>IF($A193="","",$AJ193*$L193/100)</x:f>
      </x:c>
      <x:c r="AL193" s="9" t="str">
        <x:f>IF($A193="","",MAX(0,$AJ193-$AK193))</x:f>
      </x:c>
      <x:c r="AM193" s="9" t="str">
        <x:f>IF($A193="","",MAX(0,$AL193*$M193/100))</x:f>
      </x:c>
      <x:c r="AN193" s="9" t="str">
        <x:f>IF($A193="","",MAX(0,$AL193*$N193/100))</x:f>
      </x:c>
      <x:c r="AO193" s="9" t="str">
        <x:f>IF($A193="","",MAX(0,$AL193*$O193/100))</x:f>
      </x:c>
      <x:c r="AP193" s="9" t="str">
        <x:f>IF($A193="","",MAX(0,$AL193+$AM193+$P193+$W193-$AN193-$AO193-$Q193))</x:f>
      </x:c>
    </x:row>
    <x:row r="194">
      <x:c r="A194" s="13"/>
      <x:c r="B194" s="7"/>
      <x:c r="C194" s="13"/>
      <x:c r="D194" s="14"/>
      <x:c r="E194" s="8"/>
      <x:c r="F194" s="13"/>
      <x:c r="G194" s="7"/>
      <x:c r="H194" s="7"/>
      <x:c r="I194" s="7"/>
      <x:c r="J194" s="13"/>
      <x:c r="K194" s="16"/>
      <x:c r="L194" s="10"/>
      <x:c r="M194" s="10"/>
      <x:c r="N194" s="10"/>
      <x:c r="O194" s="10"/>
      <x:c r="P194" s="9"/>
      <x:c r="Q194" s="9"/>
      <x:c r="R194" s="7"/>
      <x:c r="S194" s="7"/>
      <x:c r="T194" s="7"/>
      <x:c r="U194" s="7"/>
      <x:c r="V194" s="7"/>
      <x:c r="W194" s="9"/>
      <x:c r="X194" s="7"/>
      <x:c r="Y194" s="9"/>
      <x:c r="Z194" s="8"/>
      <x:c r="AA194" s="8"/>
      <x:c r="AB194" s="7"/>
      <x:c r="AC194" s="7"/>
      <x:c r="AD194" s="13"/>
      <x:c r="AE194" s="7"/>
      <x:c r="AF194" s="7"/>
      <x:c r="AG194" s="7"/>
      <x:c r="AH194" s="7"/>
      <x:c r="AI194" s="7"/>
      <x:c r="AJ194" s="9" t="str">
        <x:f>IF($A194="","",SUMIF(Sales_Items!$A$2:$A$501,$A194,Sales_Items!$O$2:$O$501))</x:f>
      </x:c>
      <x:c r="AK194" s="9" t="str">
        <x:f>IF($A194="","",$AJ194*$L194/100)</x:f>
      </x:c>
      <x:c r="AL194" s="9" t="str">
        <x:f>IF($A194="","",MAX(0,$AJ194-$AK194))</x:f>
      </x:c>
      <x:c r="AM194" s="9" t="str">
        <x:f>IF($A194="","",MAX(0,$AL194*$M194/100))</x:f>
      </x:c>
      <x:c r="AN194" s="9" t="str">
        <x:f>IF($A194="","",MAX(0,$AL194*$N194/100))</x:f>
      </x:c>
      <x:c r="AO194" s="9" t="str">
        <x:f>IF($A194="","",MAX(0,$AL194*$O194/100))</x:f>
      </x:c>
      <x:c r="AP194" s="9" t="str">
        <x:f>IF($A194="","",MAX(0,$AL194+$AM194+$P194+$W194-$AN194-$AO194-$Q194))</x:f>
      </x:c>
    </x:row>
    <x:row r="195">
      <x:c r="A195" s="13"/>
      <x:c r="B195" s="7"/>
      <x:c r="C195" s="13"/>
      <x:c r="D195" s="14"/>
      <x:c r="E195" s="8"/>
      <x:c r="F195" s="13"/>
      <x:c r="G195" s="7"/>
      <x:c r="H195" s="7"/>
      <x:c r="I195" s="7"/>
      <x:c r="J195" s="13"/>
      <x:c r="K195" s="16"/>
      <x:c r="L195" s="10"/>
      <x:c r="M195" s="10"/>
      <x:c r="N195" s="10"/>
      <x:c r="O195" s="10"/>
      <x:c r="P195" s="9"/>
      <x:c r="Q195" s="9"/>
      <x:c r="R195" s="7"/>
      <x:c r="S195" s="7"/>
      <x:c r="T195" s="7"/>
      <x:c r="U195" s="7"/>
      <x:c r="V195" s="7"/>
      <x:c r="W195" s="9"/>
      <x:c r="X195" s="7"/>
      <x:c r="Y195" s="9"/>
      <x:c r="Z195" s="8"/>
      <x:c r="AA195" s="8"/>
      <x:c r="AB195" s="7"/>
      <x:c r="AC195" s="7"/>
      <x:c r="AD195" s="13"/>
      <x:c r="AE195" s="7"/>
      <x:c r="AF195" s="7"/>
      <x:c r="AG195" s="7"/>
      <x:c r="AH195" s="7"/>
      <x:c r="AI195" s="7"/>
      <x:c r="AJ195" s="9" t="str">
        <x:f>IF($A195="","",SUMIF(Sales_Items!$A$2:$A$501,$A195,Sales_Items!$O$2:$O$501))</x:f>
      </x:c>
      <x:c r="AK195" s="9" t="str">
        <x:f>IF($A195="","",$AJ195*$L195/100)</x:f>
      </x:c>
      <x:c r="AL195" s="9" t="str">
        <x:f>IF($A195="","",MAX(0,$AJ195-$AK195))</x:f>
      </x:c>
      <x:c r="AM195" s="9" t="str">
        <x:f>IF($A195="","",MAX(0,$AL195*$M195/100))</x:f>
      </x:c>
      <x:c r="AN195" s="9" t="str">
        <x:f>IF($A195="","",MAX(0,$AL195*$N195/100))</x:f>
      </x:c>
      <x:c r="AO195" s="9" t="str">
        <x:f>IF($A195="","",MAX(0,$AL195*$O195/100))</x:f>
      </x:c>
      <x:c r="AP195" s="9" t="str">
        <x:f>IF($A195="","",MAX(0,$AL195+$AM195+$P195+$W195-$AN195-$AO195-$Q195))</x:f>
      </x:c>
    </x:row>
    <x:row r="196">
      <x:c r="A196" s="13"/>
      <x:c r="B196" s="7"/>
      <x:c r="C196" s="13"/>
      <x:c r="D196" s="14"/>
      <x:c r="E196" s="8"/>
      <x:c r="F196" s="13"/>
      <x:c r="G196" s="7"/>
      <x:c r="H196" s="7"/>
      <x:c r="I196" s="7"/>
      <x:c r="J196" s="13"/>
      <x:c r="K196" s="16"/>
      <x:c r="L196" s="10"/>
      <x:c r="M196" s="10"/>
      <x:c r="N196" s="10"/>
      <x:c r="O196" s="10"/>
      <x:c r="P196" s="9"/>
      <x:c r="Q196" s="9"/>
      <x:c r="R196" s="7"/>
      <x:c r="S196" s="7"/>
      <x:c r="T196" s="7"/>
      <x:c r="U196" s="7"/>
      <x:c r="V196" s="7"/>
      <x:c r="W196" s="9"/>
      <x:c r="X196" s="7"/>
      <x:c r="Y196" s="9"/>
      <x:c r="Z196" s="8"/>
      <x:c r="AA196" s="8"/>
      <x:c r="AB196" s="7"/>
      <x:c r="AC196" s="7"/>
      <x:c r="AD196" s="13"/>
      <x:c r="AE196" s="7"/>
      <x:c r="AF196" s="7"/>
      <x:c r="AG196" s="7"/>
      <x:c r="AH196" s="7"/>
      <x:c r="AI196" s="7"/>
      <x:c r="AJ196" s="9" t="str">
        <x:f>IF($A196="","",SUMIF(Sales_Items!$A$2:$A$501,$A196,Sales_Items!$O$2:$O$501))</x:f>
      </x:c>
      <x:c r="AK196" s="9" t="str">
        <x:f>IF($A196="","",$AJ196*$L196/100)</x:f>
      </x:c>
      <x:c r="AL196" s="9" t="str">
        <x:f>IF($A196="","",MAX(0,$AJ196-$AK196))</x:f>
      </x:c>
      <x:c r="AM196" s="9" t="str">
        <x:f>IF($A196="","",MAX(0,$AL196*$M196/100))</x:f>
      </x:c>
      <x:c r="AN196" s="9" t="str">
        <x:f>IF($A196="","",MAX(0,$AL196*$N196/100))</x:f>
      </x:c>
      <x:c r="AO196" s="9" t="str">
        <x:f>IF($A196="","",MAX(0,$AL196*$O196/100))</x:f>
      </x:c>
      <x:c r="AP196" s="9" t="str">
        <x:f>IF($A196="","",MAX(0,$AL196+$AM196+$P196+$W196-$AN196-$AO196-$Q196))</x:f>
      </x:c>
    </x:row>
    <x:row r="197">
      <x:c r="A197" s="13"/>
      <x:c r="B197" s="7"/>
      <x:c r="C197" s="13"/>
      <x:c r="D197" s="14"/>
      <x:c r="E197" s="8"/>
      <x:c r="F197" s="13"/>
      <x:c r="G197" s="7"/>
      <x:c r="H197" s="7"/>
      <x:c r="I197" s="7"/>
      <x:c r="J197" s="13"/>
      <x:c r="K197" s="16"/>
      <x:c r="L197" s="10"/>
      <x:c r="M197" s="10"/>
      <x:c r="N197" s="10"/>
      <x:c r="O197" s="10"/>
      <x:c r="P197" s="9"/>
      <x:c r="Q197" s="9"/>
      <x:c r="R197" s="7"/>
      <x:c r="S197" s="7"/>
      <x:c r="T197" s="7"/>
      <x:c r="U197" s="7"/>
      <x:c r="V197" s="7"/>
      <x:c r="W197" s="9"/>
      <x:c r="X197" s="7"/>
      <x:c r="Y197" s="9"/>
      <x:c r="Z197" s="8"/>
      <x:c r="AA197" s="8"/>
      <x:c r="AB197" s="7"/>
      <x:c r="AC197" s="7"/>
      <x:c r="AD197" s="13"/>
      <x:c r="AE197" s="7"/>
      <x:c r="AF197" s="7"/>
      <x:c r="AG197" s="7"/>
      <x:c r="AH197" s="7"/>
      <x:c r="AI197" s="7"/>
      <x:c r="AJ197" s="9" t="str">
        <x:f>IF($A197="","",SUMIF(Sales_Items!$A$2:$A$501,$A197,Sales_Items!$O$2:$O$501))</x:f>
      </x:c>
      <x:c r="AK197" s="9" t="str">
        <x:f>IF($A197="","",$AJ197*$L197/100)</x:f>
      </x:c>
      <x:c r="AL197" s="9" t="str">
        <x:f>IF($A197="","",MAX(0,$AJ197-$AK197))</x:f>
      </x:c>
      <x:c r="AM197" s="9" t="str">
        <x:f>IF($A197="","",MAX(0,$AL197*$M197/100))</x:f>
      </x:c>
      <x:c r="AN197" s="9" t="str">
        <x:f>IF($A197="","",MAX(0,$AL197*$N197/100))</x:f>
      </x:c>
      <x:c r="AO197" s="9" t="str">
        <x:f>IF($A197="","",MAX(0,$AL197*$O197/100))</x:f>
      </x:c>
      <x:c r="AP197" s="9" t="str">
        <x:f>IF($A197="","",MAX(0,$AL197+$AM197+$P197+$W197-$AN197-$AO197-$Q197))</x:f>
      </x:c>
    </x:row>
    <x:row r="198">
      <x:c r="A198" s="13"/>
      <x:c r="B198" s="7"/>
      <x:c r="C198" s="13"/>
      <x:c r="D198" s="14"/>
      <x:c r="E198" s="8"/>
      <x:c r="F198" s="13"/>
      <x:c r="G198" s="7"/>
      <x:c r="H198" s="7"/>
      <x:c r="I198" s="7"/>
      <x:c r="J198" s="13"/>
      <x:c r="K198" s="16"/>
      <x:c r="L198" s="10"/>
      <x:c r="M198" s="10"/>
      <x:c r="N198" s="10"/>
      <x:c r="O198" s="10"/>
      <x:c r="P198" s="9"/>
      <x:c r="Q198" s="9"/>
      <x:c r="R198" s="7"/>
      <x:c r="S198" s="7"/>
      <x:c r="T198" s="7"/>
      <x:c r="U198" s="7"/>
      <x:c r="V198" s="7"/>
      <x:c r="W198" s="9"/>
      <x:c r="X198" s="7"/>
      <x:c r="Y198" s="9"/>
      <x:c r="Z198" s="8"/>
      <x:c r="AA198" s="8"/>
      <x:c r="AB198" s="7"/>
      <x:c r="AC198" s="7"/>
      <x:c r="AD198" s="13"/>
      <x:c r="AE198" s="7"/>
      <x:c r="AF198" s="7"/>
      <x:c r="AG198" s="7"/>
      <x:c r="AH198" s="7"/>
      <x:c r="AI198" s="7"/>
      <x:c r="AJ198" s="9" t="str">
        <x:f>IF($A198="","",SUMIF(Sales_Items!$A$2:$A$501,$A198,Sales_Items!$O$2:$O$501))</x:f>
      </x:c>
      <x:c r="AK198" s="9" t="str">
        <x:f>IF($A198="","",$AJ198*$L198/100)</x:f>
      </x:c>
      <x:c r="AL198" s="9" t="str">
        <x:f>IF($A198="","",MAX(0,$AJ198-$AK198))</x:f>
      </x:c>
      <x:c r="AM198" s="9" t="str">
        <x:f>IF($A198="","",MAX(0,$AL198*$M198/100))</x:f>
      </x:c>
      <x:c r="AN198" s="9" t="str">
        <x:f>IF($A198="","",MAX(0,$AL198*$N198/100))</x:f>
      </x:c>
      <x:c r="AO198" s="9" t="str">
        <x:f>IF($A198="","",MAX(0,$AL198*$O198/100))</x:f>
      </x:c>
      <x:c r="AP198" s="9" t="str">
        <x:f>IF($A198="","",MAX(0,$AL198+$AM198+$P198+$W198-$AN198-$AO198-$Q198))</x:f>
      </x:c>
    </x:row>
    <x:row r="199">
      <x:c r="A199" s="13"/>
      <x:c r="B199" s="7"/>
      <x:c r="C199" s="13"/>
      <x:c r="D199" s="14"/>
      <x:c r="E199" s="8"/>
      <x:c r="F199" s="13"/>
      <x:c r="G199" s="7"/>
      <x:c r="H199" s="7"/>
      <x:c r="I199" s="7"/>
      <x:c r="J199" s="13"/>
      <x:c r="K199" s="16"/>
      <x:c r="L199" s="10"/>
      <x:c r="M199" s="10"/>
      <x:c r="N199" s="10"/>
      <x:c r="O199" s="10"/>
      <x:c r="P199" s="9"/>
      <x:c r="Q199" s="9"/>
      <x:c r="R199" s="7"/>
      <x:c r="S199" s="7"/>
      <x:c r="T199" s="7"/>
      <x:c r="U199" s="7"/>
      <x:c r="V199" s="7"/>
      <x:c r="W199" s="9"/>
      <x:c r="X199" s="7"/>
      <x:c r="Y199" s="9"/>
      <x:c r="Z199" s="8"/>
      <x:c r="AA199" s="8"/>
      <x:c r="AB199" s="7"/>
      <x:c r="AC199" s="7"/>
      <x:c r="AD199" s="13"/>
      <x:c r="AE199" s="7"/>
      <x:c r="AF199" s="7"/>
      <x:c r="AG199" s="7"/>
      <x:c r="AH199" s="7"/>
      <x:c r="AI199" s="7"/>
      <x:c r="AJ199" s="9" t="str">
        <x:f>IF($A199="","",SUMIF(Sales_Items!$A$2:$A$501,$A199,Sales_Items!$O$2:$O$501))</x:f>
      </x:c>
      <x:c r="AK199" s="9" t="str">
        <x:f>IF($A199="","",$AJ199*$L199/100)</x:f>
      </x:c>
      <x:c r="AL199" s="9" t="str">
        <x:f>IF($A199="","",MAX(0,$AJ199-$AK199))</x:f>
      </x:c>
      <x:c r="AM199" s="9" t="str">
        <x:f>IF($A199="","",MAX(0,$AL199*$M199/100))</x:f>
      </x:c>
      <x:c r="AN199" s="9" t="str">
        <x:f>IF($A199="","",MAX(0,$AL199*$N199/100))</x:f>
      </x:c>
      <x:c r="AO199" s="9" t="str">
        <x:f>IF($A199="","",MAX(0,$AL199*$O199/100))</x:f>
      </x:c>
      <x:c r="AP199" s="9" t="str">
        <x:f>IF($A199="","",MAX(0,$AL199+$AM199+$P199+$W199-$AN199-$AO199-$Q199))</x:f>
      </x:c>
    </x:row>
    <x:row r="200">
      <x:c r="A200" s="13"/>
      <x:c r="B200" s="7"/>
      <x:c r="C200" s="13"/>
      <x:c r="D200" s="14"/>
      <x:c r="E200" s="8"/>
      <x:c r="F200" s="13"/>
      <x:c r="G200" s="7"/>
      <x:c r="H200" s="7"/>
      <x:c r="I200" s="7"/>
      <x:c r="J200" s="13"/>
      <x:c r="K200" s="16"/>
      <x:c r="L200" s="10"/>
      <x:c r="M200" s="10"/>
      <x:c r="N200" s="10"/>
      <x:c r="O200" s="10"/>
      <x:c r="P200" s="9"/>
      <x:c r="Q200" s="9"/>
      <x:c r="R200" s="7"/>
      <x:c r="S200" s="7"/>
      <x:c r="T200" s="7"/>
      <x:c r="U200" s="7"/>
      <x:c r="V200" s="7"/>
      <x:c r="W200" s="9"/>
      <x:c r="X200" s="7"/>
      <x:c r="Y200" s="9"/>
      <x:c r="Z200" s="8"/>
      <x:c r="AA200" s="8"/>
      <x:c r="AB200" s="7"/>
      <x:c r="AC200" s="7"/>
      <x:c r="AD200" s="13"/>
      <x:c r="AE200" s="7"/>
      <x:c r="AF200" s="7"/>
      <x:c r="AG200" s="7"/>
      <x:c r="AH200" s="7"/>
      <x:c r="AI200" s="7"/>
      <x:c r="AJ200" s="9" t="str">
        <x:f>IF($A200="","",SUMIF(Sales_Items!$A$2:$A$501,$A200,Sales_Items!$O$2:$O$501))</x:f>
      </x:c>
      <x:c r="AK200" s="9" t="str">
        <x:f>IF($A200="","",$AJ200*$L200/100)</x:f>
      </x:c>
      <x:c r="AL200" s="9" t="str">
        <x:f>IF($A200="","",MAX(0,$AJ200-$AK200))</x:f>
      </x:c>
      <x:c r="AM200" s="9" t="str">
        <x:f>IF($A200="","",MAX(0,$AL200*$M200/100))</x:f>
      </x:c>
      <x:c r="AN200" s="9" t="str">
        <x:f>IF($A200="","",MAX(0,$AL200*$N200/100))</x:f>
      </x:c>
      <x:c r="AO200" s="9" t="str">
        <x:f>IF($A200="","",MAX(0,$AL200*$O200/100))</x:f>
      </x:c>
      <x:c r="AP200" s="9" t="str">
        <x:f>IF($A200="","",MAX(0,$AL200+$AM200+$P200+$W200-$AN200-$AO200-$Q200))</x:f>
      </x:c>
    </x:row>
    <x:row r="201">
      <x:c r="A201" s="13"/>
      <x:c r="B201" s="7"/>
      <x:c r="C201" s="13"/>
      <x:c r="D201" s="14"/>
      <x:c r="E201" s="8"/>
      <x:c r="F201" s="13"/>
      <x:c r="G201" s="7"/>
      <x:c r="H201" s="7"/>
      <x:c r="I201" s="7"/>
      <x:c r="J201" s="13"/>
      <x:c r="K201" s="16"/>
      <x:c r="L201" s="10"/>
      <x:c r="M201" s="10"/>
      <x:c r="N201" s="10"/>
      <x:c r="O201" s="10"/>
      <x:c r="P201" s="9"/>
      <x:c r="Q201" s="9"/>
      <x:c r="R201" s="7"/>
      <x:c r="S201" s="7"/>
      <x:c r="T201" s="7"/>
      <x:c r="U201" s="7"/>
      <x:c r="V201" s="7"/>
      <x:c r="W201" s="9"/>
      <x:c r="X201" s="7"/>
      <x:c r="Y201" s="9"/>
      <x:c r="Z201" s="8"/>
      <x:c r="AA201" s="8"/>
      <x:c r="AB201" s="7"/>
      <x:c r="AC201" s="7"/>
      <x:c r="AD201" s="13"/>
      <x:c r="AE201" s="7"/>
      <x:c r="AF201" s="7"/>
      <x:c r="AG201" s="7"/>
      <x:c r="AH201" s="7"/>
      <x:c r="AI201" s="7"/>
      <x:c r="AJ201" s="9" t="str">
        <x:f>IF($A201="","",SUMIF(Sales_Items!$A$2:$A$501,$A201,Sales_Items!$O$2:$O$501))</x:f>
      </x:c>
      <x:c r="AK201" s="9" t="str">
        <x:f>IF($A201="","",$AJ201*$L201/100)</x:f>
      </x:c>
      <x:c r="AL201" s="9" t="str">
        <x:f>IF($A201="","",MAX(0,$AJ201-$AK201))</x:f>
      </x:c>
      <x:c r="AM201" s="9" t="str">
        <x:f>IF($A201="","",MAX(0,$AL201*$M201/100))</x:f>
      </x:c>
      <x:c r="AN201" s="9" t="str">
        <x:f>IF($A201="","",MAX(0,$AL201*$N201/100))</x:f>
      </x:c>
      <x:c r="AO201" s="9" t="str">
        <x:f>IF($A201="","",MAX(0,$AL201*$O201/100))</x:f>
      </x:c>
      <x:c r="AP201" s="9" t="str">
        <x:f>IF($A201="","",MAX(0,$AL201+$AM201+$P201+$W201-$AN201-$AO201-$Q201))</x:f>
      </x:c>
    </x:row>
    <x:row r="202">
      <x:c r="A202" s="13"/>
      <x:c r="B202" s="7"/>
      <x:c r="C202" s="13"/>
      <x:c r="D202" s="14"/>
      <x:c r="E202" s="8"/>
      <x:c r="F202" s="13"/>
      <x:c r="G202" s="7"/>
      <x:c r="H202" s="7"/>
      <x:c r="I202" s="7"/>
      <x:c r="J202" s="13"/>
      <x:c r="K202" s="16"/>
      <x:c r="L202" s="10"/>
      <x:c r="M202" s="10"/>
      <x:c r="N202" s="10"/>
      <x:c r="O202" s="10"/>
      <x:c r="P202" s="9"/>
      <x:c r="Q202" s="9"/>
      <x:c r="R202" s="7"/>
      <x:c r="S202" s="7"/>
      <x:c r="T202" s="7"/>
      <x:c r="U202" s="7"/>
      <x:c r="V202" s="7"/>
      <x:c r="W202" s="9"/>
      <x:c r="X202" s="7"/>
      <x:c r="Y202" s="9"/>
      <x:c r="Z202" s="8"/>
      <x:c r="AA202" s="8"/>
      <x:c r="AB202" s="7"/>
      <x:c r="AC202" s="7"/>
      <x:c r="AD202" s="13"/>
      <x:c r="AE202" s="7"/>
      <x:c r="AF202" s="7"/>
      <x:c r="AG202" s="7"/>
      <x:c r="AH202" s="7"/>
      <x:c r="AI202" s="7"/>
      <x:c r="AJ202" s="9" t="str">
        <x:f>IF($A202="","",SUMIF(Sales_Items!$A$2:$A$501,$A202,Sales_Items!$O$2:$O$501))</x:f>
      </x:c>
      <x:c r="AK202" s="9" t="str">
        <x:f>IF($A202="","",$AJ202*$L202/100)</x:f>
      </x:c>
      <x:c r="AL202" s="9" t="str">
        <x:f>IF($A202="","",MAX(0,$AJ202-$AK202))</x:f>
      </x:c>
      <x:c r="AM202" s="9" t="str">
        <x:f>IF($A202="","",MAX(0,$AL202*$M202/100))</x:f>
      </x:c>
      <x:c r="AN202" s="9" t="str">
        <x:f>IF($A202="","",MAX(0,$AL202*$N202/100))</x:f>
      </x:c>
      <x:c r="AO202" s="9" t="str">
        <x:f>IF($A202="","",MAX(0,$AL202*$O202/100))</x:f>
      </x:c>
      <x:c r="AP202" s="9" t="str">
        <x:f>IF($A202="","",MAX(0,$AL202+$AM202+$P202+$W202-$AN202-$AO202-$Q202))</x:f>
      </x:c>
    </x:row>
    <x:row r="203">
      <x:c r="A203" s="13"/>
      <x:c r="B203" s="7"/>
      <x:c r="C203" s="13"/>
      <x:c r="D203" s="14"/>
      <x:c r="E203" s="8"/>
      <x:c r="F203" s="13"/>
      <x:c r="G203" s="7"/>
      <x:c r="H203" s="7"/>
      <x:c r="I203" s="7"/>
      <x:c r="J203" s="13"/>
      <x:c r="K203" s="16"/>
      <x:c r="L203" s="10"/>
      <x:c r="M203" s="10"/>
      <x:c r="N203" s="10"/>
      <x:c r="O203" s="10"/>
      <x:c r="P203" s="9"/>
      <x:c r="Q203" s="9"/>
      <x:c r="R203" s="7"/>
      <x:c r="S203" s="7"/>
      <x:c r="T203" s="7"/>
      <x:c r="U203" s="7"/>
      <x:c r="V203" s="7"/>
      <x:c r="W203" s="9"/>
      <x:c r="X203" s="7"/>
      <x:c r="Y203" s="9"/>
      <x:c r="Z203" s="8"/>
      <x:c r="AA203" s="8"/>
      <x:c r="AB203" s="7"/>
      <x:c r="AC203" s="7"/>
      <x:c r="AD203" s="13"/>
      <x:c r="AE203" s="7"/>
      <x:c r="AF203" s="7"/>
      <x:c r="AG203" s="7"/>
      <x:c r="AH203" s="7"/>
      <x:c r="AI203" s="7"/>
      <x:c r="AJ203" s="9" t="str">
        <x:f>IF($A203="","",SUMIF(Sales_Items!$A$2:$A$501,$A203,Sales_Items!$O$2:$O$501))</x:f>
      </x:c>
      <x:c r="AK203" s="9" t="str">
        <x:f>IF($A203="","",$AJ203*$L203/100)</x:f>
      </x:c>
      <x:c r="AL203" s="9" t="str">
        <x:f>IF($A203="","",MAX(0,$AJ203-$AK203))</x:f>
      </x:c>
      <x:c r="AM203" s="9" t="str">
        <x:f>IF($A203="","",MAX(0,$AL203*$M203/100))</x:f>
      </x:c>
      <x:c r="AN203" s="9" t="str">
        <x:f>IF($A203="","",MAX(0,$AL203*$N203/100))</x:f>
      </x:c>
      <x:c r="AO203" s="9" t="str">
        <x:f>IF($A203="","",MAX(0,$AL203*$O203/100))</x:f>
      </x:c>
      <x:c r="AP203" s="9" t="str">
        <x:f>IF($A203="","",MAX(0,$AL203+$AM203+$P203+$W203-$AN203-$AO203-$Q203))</x:f>
      </x:c>
    </x:row>
    <x:row r="204">
      <x:c r="A204" s="13"/>
      <x:c r="B204" s="7"/>
      <x:c r="C204" s="13"/>
      <x:c r="D204" s="14"/>
      <x:c r="E204" s="8"/>
      <x:c r="F204" s="13"/>
      <x:c r="G204" s="7"/>
      <x:c r="H204" s="7"/>
      <x:c r="I204" s="7"/>
      <x:c r="J204" s="13"/>
      <x:c r="K204" s="16"/>
      <x:c r="L204" s="10"/>
      <x:c r="M204" s="10"/>
      <x:c r="N204" s="10"/>
      <x:c r="O204" s="10"/>
      <x:c r="P204" s="9"/>
      <x:c r="Q204" s="9"/>
      <x:c r="R204" s="7"/>
      <x:c r="S204" s="7"/>
      <x:c r="T204" s="7"/>
      <x:c r="U204" s="7"/>
      <x:c r="V204" s="7"/>
      <x:c r="W204" s="9"/>
      <x:c r="X204" s="7"/>
      <x:c r="Y204" s="9"/>
      <x:c r="Z204" s="8"/>
      <x:c r="AA204" s="8"/>
      <x:c r="AB204" s="7"/>
      <x:c r="AC204" s="7"/>
      <x:c r="AD204" s="13"/>
      <x:c r="AE204" s="7"/>
      <x:c r="AF204" s="7"/>
      <x:c r="AG204" s="7"/>
      <x:c r="AH204" s="7"/>
      <x:c r="AI204" s="7"/>
      <x:c r="AJ204" s="9" t="str">
        <x:f>IF($A204="","",SUMIF(Sales_Items!$A$2:$A$501,$A204,Sales_Items!$O$2:$O$501))</x:f>
      </x:c>
      <x:c r="AK204" s="9" t="str">
        <x:f>IF($A204="","",$AJ204*$L204/100)</x:f>
      </x:c>
      <x:c r="AL204" s="9" t="str">
        <x:f>IF($A204="","",MAX(0,$AJ204-$AK204))</x:f>
      </x:c>
      <x:c r="AM204" s="9" t="str">
        <x:f>IF($A204="","",MAX(0,$AL204*$M204/100))</x:f>
      </x:c>
      <x:c r="AN204" s="9" t="str">
        <x:f>IF($A204="","",MAX(0,$AL204*$N204/100))</x:f>
      </x:c>
      <x:c r="AO204" s="9" t="str">
        <x:f>IF($A204="","",MAX(0,$AL204*$O204/100))</x:f>
      </x:c>
      <x:c r="AP204" s="9" t="str">
        <x:f>IF($A204="","",MAX(0,$AL204+$AM204+$P204+$W204-$AN204-$AO204-$Q204))</x:f>
      </x:c>
    </x:row>
    <x:row r="205">
      <x:c r="A205" s="13"/>
      <x:c r="B205" s="7"/>
      <x:c r="C205" s="13"/>
      <x:c r="D205" s="14"/>
      <x:c r="E205" s="8"/>
      <x:c r="F205" s="13"/>
      <x:c r="G205" s="7"/>
      <x:c r="H205" s="7"/>
      <x:c r="I205" s="7"/>
      <x:c r="J205" s="13"/>
      <x:c r="K205" s="16"/>
      <x:c r="L205" s="10"/>
      <x:c r="M205" s="10"/>
      <x:c r="N205" s="10"/>
      <x:c r="O205" s="10"/>
      <x:c r="P205" s="9"/>
      <x:c r="Q205" s="9"/>
      <x:c r="R205" s="7"/>
      <x:c r="S205" s="7"/>
      <x:c r="T205" s="7"/>
      <x:c r="U205" s="7"/>
      <x:c r="V205" s="7"/>
      <x:c r="W205" s="9"/>
      <x:c r="X205" s="7"/>
      <x:c r="Y205" s="9"/>
      <x:c r="Z205" s="8"/>
      <x:c r="AA205" s="8"/>
      <x:c r="AB205" s="7"/>
      <x:c r="AC205" s="7"/>
      <x:c r="AD205" s="13"/>
      <x:c r="AE205" s="7"/>
      <x:c r="AF205" s="7"/>
      <x:c r="AG205" s="7"/>
      <x:c r="AH205" s="7"/>
      <x:c r="AI205" s="7"/>
      <x:c r="AJ205" s="9" t="str">
        <x:f>IF($A205="","",SUMIF(Sales_Items!$A$2:$A$501,$A205,Sales_Items!$O$2:$O$501))</x:f>
      </x:c>
      <x:c r="AK205" s="9" t="str">
        <x:f>IF($A205="","",$AJ205*$L205/100)</x:f>
      </x:c>
      <x:c r="AL205" s="9" t="str">
        <x:f>IF($A205="","",MAX(0,$AJ205-$AK205))</x:f>
      </x:c>
      <x:c r="AM205" s="9" t="str">
        <x:f>IF($A205="","",MAX(0,$AL205*$M205/100))</x:f>
      </x:c>
      <x:c r="AN205" s="9" t="str">
        <x:f>IF($A205="","",MAX(0,$AL205*$N205/100))</x:f>
      </x:c>
      <x:c r="AO205" s="9" t="str">
        <x:f>IF($A205="","",MAX(0,$AL205*$O205/100))</x:f>
      </x:c>
      <x:c r="AP205" s="9" t="str">
        <x:f>IF($A205="","",MAX(0,$AL205+$AM205+$P205+$W205-$AN205-$AO205-$Q205))</x:f>
      </x:c>
    </x:row>
    <x:row r="206">
      <x:c r="A206" s="13"/>
      <x:c r="B206" s="7"/>
      <x:c r="C206" s="13"/>
      <x:c r="D206" s="14"/>
      <x:c r="E206" s="8"/>
      <x:c r="F206" s="13"/>
      <x:c r="G206" s="7"/>
      <x:c r="H206" s="7"/>
      <x:c r="I206" s="7"/>
      <x:c r="J206" s="13"/>
      <x:c r="K206" s="16"/>
      <x:c r="L206" s="10"/>
      <x:c r="M206" s="10"/>
      <x:c r="N206" s="10"/>
      <x:c r="O206" s="10"/>
      <x:c r="P206" s="9"/>
      <x:c r="Q206" s="9"/>
      <x:c r="R206" s="7"/>
      <x:c r="S206" s="7"/>
      <x:c r="T206" s="7"/>
      <x:c r="U206" s="7"/>
      <x:c r="V206" s="7"/>
      <x:c r="W206" s="9"/>
      <x:c r="X206" s="7"/>
      <x:c r="Y206" s="9"/>
      <x:c r="Z206" s="8"/>
      <x:c r="AA206" s="8"/>
      <x:c r="AB206" s="7"/>
      <x:c r="AC206" s="7"/>
      <x:c r="AD206" s="13"/>
      <x:c r="AE206" s="7"/>
      <x:c r="AF206" s="7"/>
      <x:c r="AG206" s="7"/>
      <x:c r="AH206" s="7"/>
      <x:c r="AI206" s="7"/>
      <x:c r="AJ206" s="9" t="str">
        <x:f>IF($A206="","",SUMIF(Sales_Items!$A$2:$A$501,$A206,Sales_Items!$O$2:$O$501))</x:f>
      </x:c>
      <x:c r="AK206" s="9" t="str">
        <x:f>IF($A206="","",$AJ206*$L206/100)</x:f>
      </x:c>
      <x:c r="AL206" s="9" t="str">
        <x:f>IF($A206="","",MAX(0,$AJ206-$AK206))</x:f>
      </x:c>
      <x:c r="AM206" s="9" t="str">
        <x:f>IF($A206="","",MAX(0,$AL206*$M206/100))</x:f>
      </x:c>
      <x:c r="AN206" s="9" t="str">
        <x:f>IF($A206="","",MAX(0,$AL206*$N206/100))</x:f>
      </x:c>
      <x:c r="AO206" s="9" t="str">
        <x:f>IF($A206="","",MAX(0,$AL206*$O206/100))</x:f>
      </x:c>
      <x:c r="AP206" s="9" t="str">
        <x:f>IF($A206="","",MAX(0,$AL206+$AM206+$P206+$W206-$AN206-$AO206-$Q206))</x:f>
      </x:c>
    </x:row>
    <x:row r="207">
      <x:c r="A207" s="13"/>
      <x:c r="B207" s="7"/>
      <x:c r="C207" s="13"/>
      <x:c r="D207" s="14"/>
      <x:c r="E207" s="8"/>
      <x:c r="F207" s="13"/>
      <x:c r="G207" s="7"/>
      <x:c r="H207" s="7"/>
      <x:c r="I207" s="7"/>
      <x:c r="J207" s="13"/>
      <x:c r="K207" s="16"/>
      <x:c r="L207" s="10"/>
      <x:c r="M207" s="10"/>
      <x:c r="N207" s="10"/>
      <x:c r="O207" s="10"/>
      <x:c r="P207" s="9"/>
      <x:c r="Q207" s="9"/>
      <x:c r="R207" s="7"/>
      <x:c r="S207" s="7"/>
      <x:c r="T207" s="7"/>
      <x:c r="U207" s="7"/>
      <x:c r="V207" s="7"/>
      <x:c r="W207" s="9"/>
      <x:c r="X207" s="7"/>
      <x:c r="Y207" s="9"/>
      <x:c r="Z207" s="8"/>
      <x:c r="AA207" s="8"/>
      <x:c r="AB207" s="7"/>
      <x:c r="AC207" s="7"/>
      <x:c r="AD207" s="13"/>
      <x:c r="AE207" s="7"/>
      <x:c r="AF207" s="7"/>
      <x:c r="AG207" s="7"/>
      <x:c r="AH207" s="7"/>
      <x:c r="AI207" s="7"/>
      <x:c r="AJ207" s="9" t="str">
        <x:f>IF($A207="","",SUMIF(Sales_Items!$A$2:$A$501,$A207,Sales_Items!$O$2:$O$501))</x:f>
      </x:c>
      <x:c r="AK207" s="9" t="str">
        <x:f>IF($A207="","",$AJ207*$L207/100)</x:f>
      </x:c>
      <x:c r="AL207" s="9" t="str">
        <x:f>IF($A207="","",MAX(0,$AJ207-$AK207))</x:f>
      </x:c>
      <x:c r="AM207" s="9" t="str">
        <x:f>IF($A207="","",MAX(0,$AL207*$M207/100))</x:f>
      </x:c>
      <x:c r="AN207" s="9" t="str">
        <x:f>IF($A207="","",MAX(0,$AL207*$N207/100))</x:f>
      </x:c>
      <x:c r="AO207" s="9" t="str">
        <x:f>IF($A207="","",MAX(0,$AL207*$O207/100))</x:f>
      </x:c>
      <x:c r="AP207" s="9" t="str">
        <x:f>IF($A207="","",MAX(0,$AL207+$AM207+$P207+$W207-$AN207-$AO207-$Q207))</x:f>
      </x:c>
    </x:row>
    <x:row r="208">
      <x:c r="A208" s="13"/>
      <x:c r="B208" s="7"/>
      <x:c r="C208" s="13"/>
      <x:c r="D208" s="14"/>
      <x:c r="E208" s="8"/>
      <x:c r="F208" s="13"/>
      <x:c r="G208" s="7"/>
      <x:c r="H208" s="7"/>
      <x:c r="I208" s="7"/>
      <x:c r="J208" s="13"/>
      <x:c r="K208" s="16"/>
      <x:c r="L208" s="10"/>
      <x:c r="M208" s="10"/>
      <x:c r="N208" s="10"/>
      <x:c r="O208" s="10"/>
      <x:c r="P208" s="9"/>
      <x:c r="Q208" s="9"/>
      <x:c r="R208" s="7"/>
      <x:c r="S208" s="7"/>
      <x:c r="T208" s="7"/>
      <x:c r="U208" s="7"/>
      <x:c r="V208" s="7"/>
      <x:c r="W208" s="9"/>
      <x:c r="X208" s="7"/>
      <x:c r="Y208" s="9"/>
      <x:c r="Z208" s="8"/>
      <x:c r="AA208" s="8"/>
      <x:c r="AB208" s="7"/>
      <x:c r="AC208" s="7"/>
      <x:c r="AD208" s="13"/>
      <x:c r="AE208" s="7"/>
      <x:c r="AF208" s="7"/>
      <x:c r="AG208" s="7"/>
      <x:c r="AH208" s="7"/>
      <x:c r="AI208" s="7"/>
      <x:c r="AJ208" s="9" t="str">
        <x:f>IF($A208="","",SUMIF(Sales_Items!$A$2:$A$501,$A208,Sales_Items!$O$2:$O$501))</x:f>
      </x:c>
      <x:c r="AK208" s="9" t="str">
        <x:f>IF($A208="","",$AJ208*$L208/100)</x:f>
      </x:c>
      <x:c r="AL208" s="9" t="str">
        <x:f>IF($A208="","",MAX(0,$AJ208-$AK208))</x:f>
      </x:c>
      <x:c r="AM208" s="9" t="str">
        <x:f>IF($A208="","",MAX(0,$AL208*$M208/100))</x:f>
      </x:c>
      <x:c r="AN208" s="9" t="str">
        <x:f>IF($A208="","",MAX(0,$AL208*$N208/100))</x:f>
      </x:c>
      <x:c r="AO208" s="9" t="str">
        <x:f>IF($A208="","",MAX(0,$AL208*$O208/100))</x:f>
      </x:c>
      <x:c r="AP208" s="9" t="str">
        <x:f>IF($A208="","",MAX(0,$AL208+$AM208+$P208+$W208-$AN208-$AO208-$Q208))</x:f>
      </x:c>
    </x:row>
    <x:row r="209">
      <x:c r="A209" s="13"/>
      <x:c r="B209" s="7"/>
      <x:c r="C209" s="13"/>
      <x:c r="D209" s="14"/>
      <x:c r="E209" s="8"/>
      <x:c r="F209" s="13"/>
      <x:c r="G209" s="7"/>
      <x:c r="H209" s="7"/>
      <x:c r="I209" s="7"/>
      <x:c r="J209" s="13"/>
      <x:c r="K209" s="16"/>
      <x:c r="L209" s="10"/>
      <x:c r="M209" s="10"/>
      <x:c r="N209" s="10"/>
      <x:c r="O209" s="10"/>
      <x:c r="P209" s="9"/>
      <x:c r="Q209" s="9"/>
      <x:c r="R209" s="7"/>
      <x:c r="S209" s="7"/>
      <x:c r="T209" s="7"/>
      <x:c r="U209" s="7"/>
      <x:c r="V209" s="7"/>
      <x:c r="W209" s="9"/>
      <x:c r="X209" s="7"/>
      <x:c r="Y209" s="9"/>
      <x:c r="Z209" s="8"/>
      <x:c r="AA209" s="8"/>
      <x:c r="AB209" s="7"/>
      <x:c r="AC209" s="7"/>
      <x:c r="AD209" s="13"/>
      <x:c r="AE209" s="7"/>
      <x:c r="AF209" s="7"/>
      <x:c r="AG209" s="7"/>
      <x:c r="AH209" s="7"/>
      <x:c r="AI209" s="7"/>
      <x:c r="AJ209" s="9" t="str">
        <x:f>IF($A209="","",SUMIF(Sales_Items!$A$2:$A$501,$A209,Sales_Items!$O$2:$O$501))</x:f>
      </x:c>
      <x:c r="AK209" s="9" t="str">
        <x:f>IF($A209="","",$AJ209*$L209/100)</x:f>
      </x:c>
      <x:c r="AL209" s="9" t="str">
        <x:f>IF($A209="","",MAX(0,$AJ209-$AK209))</x:f>
      </x:c>
      <x:c r="AM209" s="9" t="str">
        <x:f>IF($A209="","",MAX(0,$AL209*$M209/100))</x:f>
      </x:c>
      <x:c r="AN209" s="9" t="str">
        <x:f>IF($A209="","",MAX(0,$AL209*$N209/100))</x:f>
      </x:c>
      <x:c r="AO209" s="9" t="str">
        <x:f>IF($A209="","",MAX(0,$AL209*$O209/100))</x:f>
      </x:c>
      <x:c r="AP209" s="9" t="str">
        <x:f>IF($A209="","",MAX(0,$AL209+$AM209+$P209+$W209-$AN209-$AO209-$Q209))</x:f>
      </x:c>
    </x:row>
    <x:row r="210">
      <x:c r="A210" s="13"/>
      <x:c r="B210" s="7"/>
      <x:c r="C210" s="13"/>
      <x:c r="D210" s="14"/>
      <x:c r="E210" s="8"/>
      <x:c r="F210" s="13"/>
      <x:c r="G210" s="7"/>
      <x:c r="H210" s="7"/>
      <x:c r="I210" s="7"/>
      <x:c r="J210" s="13"/>
      <x:c r="K210" s="16"/>
      <x:c r="L210" s="10"/>
      <x:c r="M210" s="10"/>
      <x:c r="N210" s="10"/>
      <x:c r="O210" s="10"/>
      <x:c r="P210" s="9"/>
      <x:c r="Q210" s="9"/>
      <x:c r="R210" s="7"/>
      <x:c r="S210" s="7"/>
      <x:c r="T210" s="7"/>
      <x:c r="U210" s="7"/>
      <x:c r="V210" s="7"/>
      <x:c r="W210" s="9"/>
      <x:c r="X210" s="7"/>
      <x:c r="Y210" s="9"/>
      <x:c r="Z210" s="8"/>
      <x:c r="AA210" s="8"/>
      <x:c r="AB210" s="7"/>
      <x:c r="AC210" s="7"/>
      <x:c r="AD210" s="13"/>
      <x:c r="AE210" s="7"/>
      <x:c r="AF210" s="7"/>
      <x:c r="AG210" s="7"/>
      <x:c r="AH210" s="7"/>
      <x:c r="AI210" s="7"/>
      <x:c r="AJ210" s="9" t="str">
        <x:f>IF($A210="","",SUMIF(Sales_Items!$A$2:$A$501,$A210,Sales_Items!$O$2:$O$501))</x:f>
      </x:c>
      <x:c r="AK210" s="9" t="str">
        <x:f>IF($A210="","",$AJ210*$L210/100)</x:f>
      </x:c>
      <x:c r="AL210" s="9" t="str">
        <x:f>IF($A210="","",MAX(0,$AJ210-$AK210))</x:f>
      </x:c>
      <x:c r="AM210" s="9" t="str">
        <x:f>IF($A210="","",MAX(0,$AL210*$M210/100))</x:f>
      </x:c>
      <x:c r="AN210" s="9" t="str">
        <x:f>IF($A210="","",MAX(0,$AL210*$N210/100))</x:f>
      </x:c>
      <x:c r="AO210" s="9" t="str">
        <x:f>IF($A210="","",MAX(0,$AL210*$O210/100))</x:f>
      </x:c>
      <x:c r="AP210" s="9" t="str">
        <x:f>IF($A210="","",MAX(0,$AL210+$AM210+$P210+$W210-$AN210-$AO210-$Q210))</x:f>
      </x:c>
    </x:row>
    <x:row r="211">
      <x:c r="A211" s="13"/>
      <x:c r="B211" s="7"/>
      <x:c r="C211" s="13"/>
      <x:c r="D211" s="14"/>
      <x:c r="E211" s="8"/>
      <x:c r="F211" s="13"/>
      <x:c r="G211" s="7"/>
      <x:c r="H211" s="7"/>
      <x:c r="I211" s="7"/>
      <x:c r="J211" s="13"/>
      <x:c r="K211" s="16"/>
      <x:c r="L211" s="10"/>
      <x:c r="M211" s="10"/>
      <x:c r="N211" s="10"/>
      <x:c r="O211" s="10"/>
      <x:c r="P211" s="9"/>
      <x:c r="Q211" s="9"/>
      <x:c r="R211" s="7"/>
      <x:c r="S211" s="7"/>
      <x:c r="T211" s="7"/>
      <x:c r="U211" s="7"/>
      <x:c r="V211" s="7"/>
      <x:c r="W211" s="9"/>
      <x:c r="X211" s="7"/>
      <x:c r="Y211" s="9"/>
      <x:c r="Z211" s="8"/>
      <x:c r="AA211" s="8"/>
      <x:c r="AB211" s="7"/>
      <x:c r="AC211" s="7"/>
      <x:c r="AD211" s="13"/>
      <x:c r="AE211" s="7"/>
      <x:c r="AF211" s="7"/>
      <x:c r="AG211" s="7"/>
      <x:c r="AH211" s="7"/>
      <x:c r="AI211" s="7"/>
      <x:c r="AJ211" s="9" t="str">
        <x:f>IF($A211="","",SUMIF(Sales_Items!$A$2:$A$501,$A211,Sales_Items!$O$2:$O$501))</x:f>
      </x:c>
      <x:c r="AK211" s="9" t="str">
        <x:f>IF($A211="","",$AJ211*$L211/100)</x:f>
      </x:c>
      <x:c r="AL211" s="9" t="str">
        <x:f>IF($A211="","",MAX(0,$AJ211-$AK211))</x:f>
      </x:c>
      <x:c r="AM211" s="9" t="str">
        <x:f>IF($A211="","",MAX(0,$AL211*$M211/100))</x:f>
      </x:c>
      <x:c r="AN211" s="9" t="str">
        <x:f>IF($A211="","",MAX(0,$AL211*$N211/100))</x:f>
      </x:c>
      <x:c r="AO211" s="9" t="str">
        <x:f>IF($A211="","",MAX(0,$AL211*$O211/100))</x:f>
      </x:c>
      <x:c r="AP211" s="9" t="str">
        <x:f>IF($A211="","",MAX(0,$AL211+$AM211+$P211+$W211-$AN211-$AO211-$Q211))</x:f>
      </x:c>
    </x:row>
    <x:row r="212">
      <x:c r="A212" s="13"/>
      <x:c r="B212" s="7"/>
      <x:c r="C212" s="13"/>
      <x:c r="D212" s="14"/>
      <x:c r="E212" s="8"/>
      <x:c r="F212" s="13"/>
      <x:c r="G212" s="7"/>
      <x:c r="H212" s="7"/>
      <x:c r="I212" s="7"/>
      <x:c r="J212" s="13"/>
      <x:c r="K212" s="16"/>
      <x:c r="L212" s="10"/>
      <x:c r="M212" s="10"/>
      <x:c r="N212" s="10"/>
      <x:c r="O212" s="10"/>
      <x:c r="P212" s="9"/>
      <x:c r="Q212" s="9"/>
      <x:c r="R212" s="7"/>
      <x:c r="S212" s="7"/>
      <x:c r="T212" s="7"/>
      <x:c r="U212" s="7"/>
      <x:c r="V212" s="7"/>
      <x:c r="W212" s="9"/>
      <x:c r="X212" s="7"/>
      <x:c r="Y212" s="9"/>
      <x:c r="Z212" s="8"/>
      <x:c r="AA212" s="8"/>
      <x:c r="AB212" s="7"/>
      <x:c r="AC212" s="7"/>
      <x:c r="AD212" s="13"/>
      <x:c r="AE212" s="7"/>
      <x:c r="AF212" s="7"/>
      <x:c r="AG212" s="7"/>
      <x:c r="AH212" s="7"/>
      <x:c r="AI212" s="7"/>
      <x:c r="AJ212" s="9" t="str">
        <x:f>IF($A212="","",SUMIF(Sales_Items!$A$2:$A$501,$A212,Sales_Items!$O$2:$O$501))</x:f>
      </x:c>
      <x:c r="AK212" s="9" t="str">
        <x:f>IF($A212="","",$AJ212*$L212/100)</x:f>
      </x:c>
      <x:c r="AL212" s="9" t="str">
        <x:f>IF($A212="","",MAX(0,$AJ212-$AK212))</x:f>
      </x:c>
      <x:c r="AM212" s="9" t="str">
        <x:f>IF($A212="","",MAX(0,$AL212*$M212/100))</x:f>
      </x:c>
      <x:c r="AN212" s="9" t="str">
        <x:f>IF($A212="","",MAX(0,$AL212*$N212/100))</x:f>
      </x:c>
      <x:c r="AO212" s="9" t="str">
        <x:f>IF($A212="","",MAX(0,$AL212*$O212/100))</x:f>
      </x:c>
      <x:c r="AP212" s="9" t="str">
        <x:f>IF($A212="","",MAX(0,$AL212+$AM212+$P212+$W212-$AN212-$AO212-$Q212))</x:f>
      </x:c>
    </x:row>
    <x:row r="213">
      <x:c r="A213" s="13"/>
      <x:c r="B213" s="7"/>
      <x:c r="C213" s="13"/>
      <x:c r="D213" s="14"/>
      <x:c r="E213" s="8"/>
      <x:c r="F213" s="13"/>
      <x:c r="G213" s="7"/>
      <x:c r="H213" s="7"/>
      <x:c r="I213" s="7"/>
      <x:c r="J213" s="13"/>
      <x:c r="K213" s="16"/>
      <x:c r="L213" s="10"/>
      <x:c r="M213" s="10"/>
      <x:c r="N213" s="10"/>
      <x:c r="O213" s="10"/>
      <x:c r="P213" s="9"/>
      <x:c r="Q213" s="9"/>
      <x:c r="R213" s="7"/>
      <x:c r="S213" s="7"/>
      <x:c r="T213" s="7"/>
      <x:c r="U213" s="7"/>
      <x:c r="V213" s="7"/>
      <x:c r="W213" s="9"/>
      <x:c r="X213" s="7"/>
      <x:c r="Y213" s="9"/>
      <x:c r="Z213" s="8"/>
      <x:c r="AA213" s="8"/>
      <x:c r="AB213" s="7"/>
      <x:c r="AC213" s="7"/>
      <x:c r="AD213" s="13"/>
      <x:c r="AE213" s="7"/>
      <x:c r="AF213" s="7"/>
      <x:c r="AG213" s="7"/>
      <x:c r="AH213" s="7"/>
      <x:c r="AI213" s="7"/>
      <x:c r="AJ213" s="9" t="str">
        <x:f>IF($A213="","",SUMIF(Sales_Items!$A$2:$A$501,$A213,Sales_Items!$O$2:$O$501))</x:f>
      </x:c>
      <x:c r="AK213" s="9" t="str">
        <x:f>IF($A213="","",$AJ213*$L213/100)</x:f>
      </x:c>
      <x:c r="AL213" s="9" t="str">
        <x:f>IF($A213="","",MAX(0,$AJ213-$AK213))</x:f>
      </x:c>
      <x:c r="AM213" s="9" t="str">
        <x:f>IF($A213="","",MAX(0,$AL213*$M213/100))</x:f>
      </x:c>
      <x:c r="AN213" s="9" t="str">
        <x:f>IF($A213="","",MAX(0,$AL213*$N213/100))</x:f>
      </x:c>
      <x:c r="AO213" s="9" t="str">
        <x:f>IF($A213="","",MAX(0,$AL213*$O213/100))</x:f>
      </x:c>
      <x:c r="AP213" s="9" t="str">
        <x:f>IF($A213="","",MAX(0,$AL213+$AM213+$P213+$W213-$AN213-$AO213-$Q213))</x:f>
      </x:c>
    </x:row>
    <x:row r="214">
      <x:c r="A214" s="13"/>
      <x:c r="B214" s="7"/>
      <x:c r="C214" s="13"/>
      <x:c r="D214" s="14"/>
      <x:c r="E214" s="8"/>
      <x:c r="F214" s="13"/>
      <x:c r="G214" s="7"/>
      <x:c r="H214" s="7"/>
      <x:c r="I214" s="7"/>
      <x:c r="J214" s="13"/>
      <x:c r="K214" s="16"/>
      <x:c r="L214" s="10"/>
      <x:c r="M214" s="10"/>
      <x:c r="N214" s="10"/>
      <x:c r="O214" s="10"/>
      <x:c r="P214" s="9"/>
      <x:c r="Q214" s="9"/>
      <x:c r="R214" s="7"/>
      <x:c r="S214" s="7"/>
      <x:c r="T214" s="7"/>
      <x:c r="U214" s="7"/>
      <x:c r="V214" s="7"/>
      <x:c r="W214" s="9"/>
      <x:c r="X214" s="7"/>
      <x:c r="Y214" s="9"/>
      <x:c r="Z214" s="8"/>
      <x:c r="AA214" s="8"/>
      <x:c r="AB214" s="7"/>
      <x:c r="AC214" s="7"/>
      <x:c r="AD214" s="13"/>
      <x:c r="AE214" s="7"/>
      <x:c r="AF214" s="7"/>
      <x:c r="AG214" s="7"/>
      <x:c r="AH214" s="7"/>
      <x:c r="AI214" s="7"/>
      <x:c r="AJ214" s="9" t="str">
        <x:f>IF($A214="","",SUMIF(Sales_Items!$A$2:$A$501,$A214,Sales_Items!$O$2:$O$501))</x:f>
      </x:c>
      <x:c r="AK214" s="9" t="str">
        <x:f>IF($A214="","",$AJ214*$L214/100)</x:f>
      </x:c>
      <x:c r="AL214" s="9" t="str">
        <x:f>IF($A214="","",MAX(0,$AJ214-$AK214))</x:f>
      </x:c>
      <x:c r="AM214" s="9" t="str">
        <x:f>IF($A214="","",MAX(0,$AL214*$M214/100))</x:f>
      </x:c>
      <x:c r="AN214" s="9" t="str">
        <x:f>IF($A214="","",MAX(0,$AL214*$N214/100))</x:f>
      </x:c>
      <x:c r="AO214" s="9" t="str">
        <x:f>IF($A214="","",MAX(0,$AL214*$O214/100))</x:f>
      </x:c>
      <x:c r="AP214" s="9" t="str">
        <x:f>IF($A214="","",MAX(0,$AL214+$AM214+$P214+$W214-$AN214-$AO214-$Q214))</x:f>
      </x:c>
    </x:row>
    <x:row r="215">
      <x:c r="A215" s="13"/>
      <x:c r="B215" s="7"/>
      <x:c r="C215" s="13"/>
      <x:c r="D215" s="14"/>
      <x:c r="E215" s="8"/>
      <x:c r="F215" s="13"/>
      <x:c r="G215" s="7"/>
      <x:c r="H215" s="7"/>
      <x:c r="I215" s="7"/>
      <x:c r="J215" s="13"/>
      <x:c r="K215" s="16"/>
      <x:c r="L215" s="10"/>
      <x:c r="M215" s="10"/>
      <x:c r="N215" s="10"/>
      <x:c r="O215" s="10"/>
      <x:c r="P215" s="9"/>
      <x:c r="Q215" s="9"/>
      <x:c r="R215" s="7"/>
      <x:c r="S215" s="7"/>
      <x:c r="T215" s="7"/>
      <x:c r="U215" s="7"/>
      <x:c r="V215" s="7"/>
      <x:c r="W215" s="9"/>
      <x:c r="X215" s="7"/>
      <x:c r="Y215" s="9"/>
      <x:c r="Z215" s="8"/>
      <x:c r="AA215" s="8"/>
      <x:c r="AB215" s="7"/>
      <x:c r="AC215" s="7"/>
      <x:c r="AD215" s="13"/>
      <x:c r="AE215" s="7"/>
      <x:c r="AF215" s="7"/>
      <x:c r="AG215" s="7"/>
      <x:c r="AH215" s="7"/>
      <x:c r="AI215" s="7"/>
      <x:c r="AJ215" s="9" t="str">
        <x:f>IF($A215="","",SUMIF(Sales_Items!$A$2:$A$501,$A215,Sales_Items!$O$2:$O$501))</x:f>
      </x:c>
      <x:c r="AK215" s="9" t="str">
        <x:f>IF($A215="","",$AJ215*$L215/100)</x:f>
      </x:c>
      <x:c r="AL215" s="9" t="str">
        <x:f>IF($A215="","",MAX(0,$AJ215-$AK215))</x:f>
      </x:c>
      <x:c r="AM215" s="9" t="str">
        <x:f>IF($A215="","",MAX(0,$AL215*$M215/100))</x:f>
      </x:c>
      <x:c r="AN215" s="9" t="str">
        <x:f>IF($A215="","",MAX(0,$AL215*$N215/100))</x:f>
      </x:c>
      <x:c r="AO215" s="9" t="str">
        <x:f>IF($A215="","",MAX(0,$AL215*$O215/100))</x:f>
      </x:c>
      <x:c r="AP215" s="9" t="str">
        <x:f>IF($A215="","",MAX(0,$AL215+$AM215+$P215+$W215-$AN215-$AO215-$Q215))</x:f>
      </x:c>
    </x:row>
    <x:row r="216">
      <x:c r="A216" s="13"/>
      <x:c r="B216" s="7"/>
      <x:c r="C216" s="13"/>
      <x:c r="D216" s="14"/>
      <x:c r="E216" s="8"/>
      <x:c r="F216" s="13"/>
      <x:c r="G216" s="7"/>
      <x:c r="H216" s="7"/>
      <x:c r="I216" s="7"/>
      <x:c r="J216" s="13"/>
      <x:c r="K216" s="16"/>
      <x:c r="L216" s="10"/>
      <x:c r="M216" s="10"/>
      <x:c r="N216" s="10"/>
      <x:c r="O216" s="10"/>
      <x:c r="P216" s="9"/>
      <x:c r="Q216" s="9"/>
      <x:c r="R216" s="7"/>
      <x:c r="S216" s="7"/>
      <x:c r="T216" s="7"/>
      <x:c r="U216" s="7"/>
      <x:c r="V216" s="7"/>
      <x:c r="W216" s="9"/>
      <x:c r="X216" s="7"/>
      <x:c r="Y216" s="9"/>
      <x:c r="Z216" s="8"/>
      <x:c r="AA216" s="8"/>
      <x:c r="AB216" s="7"/>
      <x:c r="AC216" s="7"/>
      <x:c r="AD216" s="13"/>
      <x:c r="AE216" s="7"/>
      <x:c r="AF216" s="7"/>
      <x:c r="AG216" s="7"/>
      <x:c r="AH216" s="7"/>
      <x:c r="AI216" s="7"/>
      <x:c r="AJ216" s="9" t="str">
        <x:f>IF($A216="","",SUMIF(Sales_Items!$A$2:$A$501,$A216,Sales_Items!$O$2:$O$501))</x:f>
      </x:c>
      <x:c r="AK216" s="9" t="str">
        <x:f>IF($A216="","",$AJ216*$L216/100)</x:f>
      </x:c>
      <x:c r="AL216" s="9" t="str">
        <x:f>IF($A216="","",MAX(0,$AJ216-$AK216))</x:f>
      </x:c>
      <x:c r="AM216" s="9" t="str">
        <x:f>IF($A216="","",MAX(0,$AL216*$M216/100))</x:f>
      </x:c>
      <x:c r="AN216" s="9" t="str">
        <x:f>IF($A216="","",MAX(0,$AL216*$N216/100))</x:f>
      </x:c>
      <x:c r="AO216" s="9" t="str">
        <x:f>IF($A216="","",MAX(0,$AL216*$O216/100))</x:f>
      </x:c>
      <x:c r="AP216" s="9" t="str">
        <x:f>IF($A216="","",MAX(0,$AL216+$AM216+$P216+$W216-$AN216-$AO216-$Q216))</x:f>
      </x:c>
    </x:row>
    <x:row r="217">
      <x:c r="A217" s="13"/>
      <x:c r="B217" s="7"/>
      <x:c r="C217" s="13"/>
      <x:c r="D217" s="14"/>
      <x:c r="E217" s="8"/>
      <x:c r="F217" s="13"/>
      <x:c r="G217" s="7"/>
      <x:c r="H217" s="7"/>
      <x:c r="I217" s="7"/>
      <x:c r="J217" s="13"/>
      <x:c r="K217" s="16"/>
      <x:c r="L217" s="10"/>
      <x:c r="M217" s="10"/>
      <x:c r="N217" s="10"/>
      <x:c r="O217" s="10"/>
      <x:c r="P217" s="9"/>
      <x:c r="Q217" s="9"/>
      <x:c r="R217" s="7"/>
      <x:c r="S217" s="7"/>
      <x:c r="T217" s="7"/>
      <x:c r="U217" s="7"/>
      <x:c r="V217" s="7"/>
      <x:c r="W217" s="9"/>
      <x:c r="X217" s="7"/>
      <x:c r="Y217" s="9"/>
      <x:c r="Z217" s="8"/>
      <x:c r="AA217" s="8"/>
      <x:c r="AB217" s="7"/>
      <x:c r="AC217" s="7"/>
      <x:c r="AD217" s="13"/>
      <x:c r="AE217" s="7"/>
      <x:c r="AF217" s="7"/>
      <x:c r="AG217" s="7"/>
      <x:c r="AH217" s="7"/>
      <x:c r="AI217" s="7"/>
      <x:c r="AJ217" s="9" t="str">
        <x:f>IF($A217="","",SUMIF(Sales_Items!$A$2:$A$501,$A217,Sales_Items!$O$2:$O$501))</x:f>
      </x:c>
      <x:c r="AK217" s="9" t="str">
        <x:f>IF($A217="","",$AJ217*$L217/100)</x:f>
      </x:c>
      <x:c r="AL217" s="9" t="str">
        <x:f>IF($A217="","",MAX(0,$AJ217-$AK217))</x:f>
      </x:c>
      <x:c r="AM217" s="9" t="str">
        <x:f>IF($A217="","",MAX(0,$AL217*$M217/100))</x:f>
      </x:c>
      <x:c r="AN217" s="9" t="str">
        <x:f>IF($A217="","",MAX(0,$AL217*$N217/100))</x:f>
      </x:c>
      <x:c r="AO217" s="9" t="str">
        <x:f>IF($A217="","",MAX(0,$AL217*$O217/100))</x:f>
      </x:c>
      <x:c r="AP217" s="9" t="str">
        <x:f>IF($A217="","",MAX(0,$AL217+$AM217+$P217+$W217-$AN217-$AO217-$Q217))</x:f>
      </x:c>
    </x:row>
    <x:row r="218">
      <x:c r="A218" s="13"/>
      <x:c r="B218" s="7"/>
      <x:c r="C218" s="13"/>
      <x:c r="D218" s="14"/>
      <x:c r="E218" s="8"/>
      <x:c r="F218" s="13"/>
      <x:c r="G218" s="7"/>
      <x:c r="H218" s="7"/>
      <x:c r="I218" s="7"/>
      <x:c r="J218" s="13"/>
      <x:c r="K218" s="16"/>
      <x:c r="L218" s="10"/>
      <x:c r="M218" s="10"/>
      <x:c r="N218" s="10"/>
      <x:c r="O218" s="10"/>
      <x:c r="P218" s="9"/>
      <x:c r="Q218" s="9"/>
      <x:c r="R218" s="7"/>
      <x:c r="S218" s="7"/>
      <x:c r="T218" s="7"/>
      <x:c r="U218" s="7"/>
      <x:c r="V218" s="7"/>
      <x:c r="W218" s="9"/>
      <x:c r="X218" s="7"/>
      <x:c r="Y218" s="9"/>
      <x:c r="Z218" s="8"/>
      <x:c r="AA218" s="8"/>
      <x:c r="AB218" s="7"/>
      <x:c r="AC218" s="7"/>
      <x:c r="AD218" s="13"/>
      <x:c r="AE218" s="7"/>
      <x:c r="AF218" s="7"/>
      <x:c r="AG218" s="7"/>
      <x:c r="AH218" s="7"/>
      <x:c r="AI218" s="7"/>
      <x:c r="AJ218" s="9" t="str">
        <x:f>IF($A218="","",SUMIF(Sales_Items!$A$2:$A$501,$A218,Sales_Items!$O$2:$O$501))</x:f>
      </x:c>
      <x:c r="AK218" s="9" t="str">
        <x:f>IF($A218="","",$AJ218*$L218/100)</x:f>
      </x:c>
      <x:c r="AL218" s="9" t="str">
        <x:f>IF($A218="","",MAX(0,$AJ218-$AK218))</x:f>
      </x:c>
      <x:c r="AM218" s="9" t="str">
        <x:f>IF($A218="","",MAX(0,$AL218*$M218/100))</x:f>
      </x:c>
      <x:c r="AN218" s="9" t="str">
        <x:f>IF($A218="","",MAX(0,$AL218*$N218/100))</x:f>
      </x:c>
      <x:c r="AO218" s="9" t="str">
        <x:f>IF($A218="","",MAX(0,$AL218*$O218/100))</x:f>
      </x:c>
      <x:c r="AP218" s="9" t="str">
        <x:f>IF($A218="","",MAX(0,$AL218+$AM218+$P218+$W218-$AN218-$AO218-$Q218))</x:f>
      </x:c>
    </x:row>
    <x:row r="219">
      <x:c r="A219" s="13"/>
      <x:c r="B219" s="7"/>
      <x:c r="C219" s="13"/>
      <x:c r="D219" s="14"/>
      <x:c r="E219" s="8"/>
      <x:c r="F219" s="13"/>
      <x:c r="G219" s="7"/>
      <x:c r="H219" s="7"/>
      <x:c r="I219" s="7"/>
      <x:c r="J219" s="13"/>
      <x:c r="K219" s="16"/>
      <x:c r="L219" s="10"/>
      <x:c r="M219" s="10"/>
      <x:c r="N219" s="10"/>
      <x:c r="O219" s="10"/>
      <x:c r="P219" s="9"/>
      <x:c r="Q219" s="9"/>
      <x:c r="R219" s="7"/>
      <x:c r="S219" s="7"/>
      <x:c r="T219" s="7"/>
      <x:c r="U219" s="7"/>
      <x:c r="V219" s="7"/>
      <x:c r="W219" s="9"/>
      <x:c r="X219" s="7"/>
      <x:c r="Y219" s="9"/>
      <x:c r="Z219" s="8"/>
      <x:c r="AA219" s="8"/>
      <x:c r="AB219" s="7"/>
      <x:c r="AC219" s="7"/>
      <x:c r="AD219" s="13"/>
      <x:c r="AE219" s="7"/>
      <x:c r="AF219" s="7"/>
      <x:c r="AG219" s="7"/>
      <x:c r="AH219" s="7"/>
      <x:c r="AI219" s="7"/>
      <x:c r="AJ219" s="9" t="str">
        <x:f>IF($A219="","",SUMIF(Sales_Items!$A$2:$A$501,$A219,Sales_Items!$O$2:$O$501))</x:f>
      </x:c>
      <x:c r="AK219" s="9" t="str">
        <x:f>IF($A219="","",$AJ219*$L219/100)</x:f>
      </x:c>
      <x:c r="AL219" s="9" t="str">
        <x:f>IF($A219="","",MAX(0,$AJ219-$AK219))</x:f>
      </x:c>
      <x:c r="AM219" s="9" t="str">
        <x:f>IF($A219="","",MAX(0,$AL219*$M219/100))</x:f>
      </x:c>
      <x:c r="AN219" s="9" t="str">
        <x:f>IF($A219="","",MAX(0,$AL219*$N219/100))</x:f>
      </x:c>
      <x:c r="AO219" s="9" t="str">
        <x:f>IF($A219="","",MAX(0,$AL219*$O219/100))</x:f>
      </x:c>
      <x:c r="AP219" s="9" t="str">
        <x:f>IF($A219="","",MAX(0,$AL219+$AM219+$P219+$W219-$AN219-$AO219-$Q219))</x:f>
      </x:c>
    </x:row>
    <x:row r="220">
      <x:c r="A220" s="13"/>
      <x:c r="B220" s="7"/>
      <x:c r="C220" s="13"/>
      <x:c r="D220" s="14"/>
      <x:c r="E220" s="8"/>
      <x:c r="F220" s="13"/>
      <x:c r="G220" s="7"/>
      <x:c r="H220" s="7"/>
      <x:c r="I220" s="7"/>
      <x:c r="J220" s="13"/>
      <x:c r="K220" s="16"/>
      <x:c r="L220" s="10"/>
      <x:c r="M220" s="10"/>
      <x:c r="N220" s="10"/>
      <x:c r="O220" s="10"/>
      <x:c r="P220" s="9"/>
      <x:c r="Q220" s="9"/>
      <x:c r="R220" s="7"/>
      <x:c r="S220" s="7"/>
      <x:c r="T220" s="7"/>
      <x:c r="U220" s="7"/>
      <x:c r="V220" s="7"/>
      <x:c r="W220" s="9"/>
      <x:c r="X220" s="7"/>
      <x:c r="Y220" s="9"/>
      <x:c r="Z220" s="8"/>
      <x:c r="AA220" s="8"/>
      <x:c r="AB220" s="7"/>
      <x:c r="AC220" s="7"/>
      <x:c r="AD220" s="13"/>
      <x:c r="AE220" s="7"/>
      <x:c r="AF220" s="7"/>
      <x:c r="AG220" s="7"/>
      <x:c r="AH220" s="7"/>
      <x:c r="AI220" s="7"/>
      <x:c r="AJ220" s="9" t="str">
        <x:f>IF($A220="","",SUMIF(Sales_Items!$A$2:$A$501,$A220,Sales_Items!$O$2:$O$501))</x:f>
      </x:c>
      <x:c r="AK220" s="9" t="str">
        <x:f>IF($A220="","",$AJ220*$L220/100)</x:f>
      </x:c>
      <x:c r="AL220" s="9" t="str">
        <x:f>IF($A220="","",MAX(0,$AJ220-$AK220))</x:f>
      </x:c>
      <x:c r="AM220" s="9" t="str">
        <x:f>IF($A220="","",MAX(0,$AL220*$M220/100))</x:f>
      </x:c>
      <x:c r="AN220" s="9" t="str">
        <x:f>IF($A220="","",MAX(0,$AL220*$N220/100))</x:f>
      </x:c>
      <x:c r="AO220" s="9" t="str">
        <x:f>IF($A220="","",MAX(0,$AL220*$O220/100))</x:f>
      </x:c>
      <x:c r="AP220" s="9" t="str">
        <x:f>IF($A220="","",MAX(0,$AL220+$AM220+$P220+$W220-$AN220-$AO220-$Q220))</x:f>
      </x:c>
    </x:row>
    <x:row r="221">
      <x:c r="A221" s="13"/>
      <x:c r="B221" s="7"/>
      <x:c r="C221" s="13"/>
      <x:c r="D221" s="14"/>
      <x:c r="E221" s="8"/>
      <x:c r="F221" s="13"/>
      <x:c r="G221" s="7"/>
      <x:c r="H221" s="7"/>
      <x:c r="I221" s="7"/>
      <x:c r="J221" s="13"/>
      <x:c r="K221" s="16"/>
      <x:c r="L221" s="10"/>
      <x:c r="M221" s="10"/>
      <x:c r="N221" s="10"/>
      <x:c r="O221" s="10"/>
      <x:c r="P221" s="9"/>
      <x:c r="Q221" s="9"/>
      <x:c r="R221" s="7"/>
      <x:c r="S221" s="7"/>
      <x:c r="T221" s="7"/>
      <x:c r="U221" s="7"/>
      <x:c r="V221" s="7"/>
      <x:c r="W221" s="9"/>
      <x:c r="X221" s="7"/>
      <x:c r="Y221" s="9"/>
      <x:c r="Z221" s="8"/>
      <x:c r="AA221" s="8"/>
      <x:c r="AB221" s="7"/>
      <x:c r="AC221" s="7"/>
      <x:c r="AD221" s="13"/>
      <x:c r="AE221" s="7"/>
      <x:c r="AF221" s="7"/>
      <x:c r="AG221" s="7"/>
      <x:c r="AH221" s="7"/>
      <x:c r="AI221" s="7"/>
      <x:c r="AJ221" s="9" t="str">
        <x:f>IF($A221="","",SUMIF(Sales_Items!$A$2:$A$501,$A221,Sales_Items!$O$2:$O$501))</x:f>
      </x:c>
      <x:c r="AK221" s="9" t="str">
        <x:f>IF($A221="","",$AJ221*$L221/100)</x:f>
      </x:c>
      <x:c r="AL221" s="9" t="str">
        <x:f>IF($A221="","",MAX(0,$AJ221-$AK221))</x:f>
      </x:c>
      <x:c r="AM221" s="9" t="str">
        <x:f>IF($A221="","",MAX(0,$AL221*$M221/100))</x:f>
      </x:c>
      <x:c r="AN221" s="9" t="str">
        <x:f>IF($A221="","",MAX(0,$AL221*$N221/100))</x:f>
      </x:c>
      <x:c r="AO221" s="9" t="str">
        <x:f>IF($A221="","",MAX(0,$AL221*$O221/100))</x:f>
      </x:c>
      <x:c r="AP221" s="9" t="str">
        <x:f>IF($A221="","",MAX(0,$AL221+$AM221+$P221+$W221-$AN221-$AO221-$Q221))</x:f>
      </x:c>
    </x:row>
    <x:row r="222">
      <x:c r="A222" s="13"/>
      <x:c r="B222" s="7"/>
      <x:c r="C222" s="13"/>
      <x:c r="D222" s="14"/>
      <x:c r="E222" s="8"/>
      <x:c r="F222" s="13"/>
      <x:c r="G222" s="7"/>
      <x:c r="H222" s="7"/>
      <x:c r="I222" s="7"/>
      <x:c r="J222" s="13"/>
      <x:c r="K222" s="16"/>
      <x:c r="L222" s="10"/>
      <x:c r="M222" s="10"/>
      <x:c r="N222" s="10"/>
      <x:c r="O222" s="10"/>
      <x:c r="P222" s="9"/>
      <x:c r="Q222" s="9"/>
      <x:c r="R222" s="7"/>
      <x:c r="S222" s="7"/>
      <x:c r="T222" s="7"/>
      <x:c r="U222" s="7"/>
      <x:c r="V222" s="7"/>
      <x:c r="W222" s="9"/>
      <x:c r="X222" s="7"/>
      <x:c r="Y222" s="9"/>
      <x:c r="Z222" s="8"/>
      <x:c r="AA222" s="8"/>
      <x:c r="AB222" s="7"/>
      <x:c r="AC222" s="7"/>
      <x:c r="AD222" s="13"/>
      <x:c r="AE222" s="7"/>
      <x:c r="AF222" s="7"/>
      <x:c r="AG222" s="7"/>
      <x:c r="AH222" s="7"/>
      <x:c r="AI222" s="7"/>
      <x:c r="AJ222" s="9" t="str">
        <x:f>IF($A222="","",SUMIF(Sales_Items!$A$2:$A$501,$A222,Sales_Items!$O$2:$O$501))</x:f>
      </x:c>
      <x:c r="AK222" s="9" t="str">
        <x:f>IF($A222="","",$AJ222*$L222/100)</x:f>
      </x:c>
      <x:c r="AL222" s="9" t="str">
        <x:f>IF($A222="","",MAX(0,$AJ222-$AK222))</x:f>
      </x:c>
      <x:c r="AM222" s="9" t="str">
        <x:f>IF($A222="","",MAX(0,$AL222*$M222/100))</x:f>
      </x:c>
      <x:c r="AN222" s="9" t="str">
        <x:f>IF($A222="","",MAX(0,$AL222*$N222/100))</x:f>
      </x:c>
      <x:c r="AO222" s="9" t="str">
        <x:f>IF($A222="","",MAX(0,$AL222*$O222/100))</x:f>
      </x:c>
      <x:c r="AP222" s="9" t="str">
        <x:f>IF($A222="","",MAX(0,$AL222+$AM222+$P222+$W222-$AN222-$AO222-$Q222))</x:f>
      </x:c>
    </x:row>
    <x:row r="223">
      <x:c r="A223" s="13"/>
      <x:c r="B223" s="7"/>
      <x:c r="C223" s="13"/>
      <x:c r="D223" s="14"/>
      <x:c r="E223" s="8"/>
      <x:c r="F223" s="13"/>
      <x:c r="G223" s="7"/>
      <x:c r="H223" s="7"/>
      <x:c r="I223" s="7"/>
      <x:c r="J223" s="13"/>
      <x:c r="K223" s="16"/>
      <x:c r="L223" s="10"/>
      <x:c r="M223" s="10"/>
      <x:c r="N223" s="10"/>
      <x:c r="O223" s="10"/>
      <x:c r="P223" s="9"/>
      <x:c r="Q223" s="9"/>
      <x:c r="R223" s="7"/>
      <x:c r="S223" s="7"/>
      <x:c r="T223" s="7"/>
      <x:c r="U223" s="7"/>
      <x:c r="V223" s="7"/>
      <x:c r="W223" s="9"/>
      <x:c r="X223" s="7"/>
      <x:c r="Y223" s="9"/>
      <x:c r="Z223" s="8"/>
      <x:c r="AA223" s="8"/>
      <x:c r="AB223" s="7"/>
      <x:c r="AC223" s="7"/>
      <x:c r="AD223" s="13"/>
      <x:c r="AE223" s="7"/>
      <x:c r="AF223" s="7"/>
      <x:c r="AG223" s="7"/>
      <x:c r="AH223" s="7"/>
      <x:c r="AI223" s="7"/>
      <x:c r="AJ223" s="9" t="str">
        <x:f>IF($A223="","",SUMIF(Sales_Items!$A$2:$A$501,$A223,Sales_Items!$O$2:$O$501))</x:f>
      </x:c>
      <x:c r="AK223" s="9" t="str">
        <x:f>IF($A223="","",$AJ223*$L223/100)</x:f>
      </x:c>
      <x:c r="AL223" s="9" t="str">
        <x:f>IF($A223="","",MAX(0,$AJ223-$AK223))</x:f>
      </x:c>
      <x:c r="AM223" s="9" t="str">
        <x:f>IF($A223="","",MAX(0,$AL223*$M223/100))</x:f>
      </x:c>
      <x:c r="AN223" s="9" t="str">
        <x:f>IF($A223="","",MAX(0,$AL223*$N223/100))</x:f>
      </x:c>
      <x:c r="AO223" s="9" t="str">
        <x:f>IF($A223="","",MAX(0,$AL223*$O223/100))</x:f>
      </x:c>
      <x:c r="AP223" s="9" t="str">
        <x:f>IF($A223="","",MAX(0,$AL223+$AM223+$P223+$W223-$AN223-$AO223-$Q223))</x:f>
      </x:c>
    </x:row>
    <x:row r="224">
      <x:c r="A224" s="13"/>
      <x:c r="B224" s="7"/>
      <x:c r="C224" s="13"/>
      <x:c r="D224" s="14"/>
      <x:c r="E224" s="8"/>
      <x:c r="F224" s="13"/>
      <x:c r="G224" s="7"/>
      <x:c r="H224" s="7"/>
      <x:c r="I224" s="7"/>
      <x:c r="J224" s="13"/>
      <x:c r="K224" s="16"/>
      <x:c r="L224" s="10"/>
      <x:c r="M224" s="10"/>
      <x:c r="N224" s="10"/>
      <x:c r="O224" s="10"/>
      <x:c r="P224" s="9"/>
      <x:c r="Q224" s="9"/>
      <x:c r="R224" s="7"/>
      <x:c r="S224" s="7"/>
      <x:c r="T224" s="7"/>
      <x:c r="U224" s="7"/>
      <x:c r="V224" s="7"/>
      <x:c r="W224" s="9"/>
      <x:c r="X224" s="7"/>
      <x:c r="Y224" s="9"/>
      <x:c r="Z224" s="8"/>
      <x:c r="AA224" s="8"/>
      <x:c r="AB224" s="7"/>
      <x:c r="AC224" s="7"/>
      <x:c r="AD224" s="13"/>
      <x:c r="AE224" s="7"/>
      <x:c r="AF224" s="7"/>
      <x:c r="AG224" s="7"/>
      <x:c r="AH224" s="7"/>
      <x:c r="AI224" s="7"/>
      <x:c r="AJ224" s="9" t="str">
        <x:f>IF($A224="","",SUMIF(Sales_Items!$A$2:$A$501,$A224,Sales_Items!$O$2:$O$501))</x:f>
      </x:c>
      <x:c r="AK224" s="9" t="str">
        <x:f>IF($A224="","",$AJ224*$L224/100)</x:f>
      </x:c>
      <x:c r="AL224" s="9" t="str">
        <x:f>IF($A224="","",MAX(0,$AJ224-$AK224))</x:f>
      </x:c>
      <x:c r="AM224" s="9" t="str">
        <x:f>IF($A224="","",MAX(0,$AL224*$M224/100))</x:f>
      </x:c>
      <x:c r="AN224" s="9" t="str">
        <x:f>IF($A224="","",MAX(0,$AL224*$N224/100))</x:f>
      </x:c>
      <x:c r="AO224" s="9" t="str">
        <x:f>IF($A224="","",MAX(0,$AL224*$O224/100))</x:f>
      </x:c>
      <x:c r="AP224" s="9" t="str">
        <x:f>IF($A224="","",MAX(0,$AL224+$AM224+$P224+$W224-$AN224-$AO224-$Q224))</x:f>
      </x:c>
    </x:row>
    <x:row r="225">
      <x:c r="A225" s="13"/>
      <x:c r="B225" s="7"/>
      <x:c r="C225" s="13"/>
      <x:c r="D225" s="14"/>
      <x:c r="E225" s="8"/>
      <x:c r="F225" s="13"/>
      <x:c r="G225" s="7"/>
      <x:c r="H225" s="7"/>
      <x:c r="I225" s="7"/>
      <x:c r="J225" s="13"/>
      <x:c r="K225" s="16"/>
      <x:c r="L225" s="10"/>
      <x:c r="M225" s="10"/>
      <x:c r="N225" s="10"/>
      <x:c r="O225" s="10"/>
      <x:c r="P225" s="9"/>
      <x:c r="Q225" s="9"/>
      <x:c r="R225" s="7"/>
      <x:c r="S225" s="7"/>
      <x:c r="T225" s="7"/>
      <x:c r="U225" s="7"/>
      <x:c r="V225" s="7"/>
      <x:c r="W225" s="9"/>
      <x:c r="X225" s="7"/>
      <x:c r="Y225" s="9"/>
      <x:c r="Z225" s="8"/>
      <x:c r="AA225" s="8"/>
      <x:c r="AB225" s="7"/>
      <x:c r="AC225" s="7"/>
      <x:c r="AD225" s="13"/>
      <x:c r="AE225" s="7"/>
      <x:c r="AF225" s="7"/>
      <x:c r="AG225" s="7"/>
      <x:c r="AH225" s="7"/>
      <x:c r="AI225" s="7"/>
      <x:c r="AJ225" s="9" t="str">
        <x:f>IF($A225="","",SUMIF(Sales_Items!$A$2:$A$501,$A225,Sales_Items!$O$2:$O$501))</x:f>
      </x:c>
      <x:c r="AK225" s="9" t="str">
        <x:f>IF($A225="","",$AJ225*$L225/100)</x:f>
      </x:c>
      <x:c r="AL225" s="9" t="str">
        <x:f>IF($A225="","",MAX(0,$AJ225-$AK225))</x:f>
      </x:c>
      <x:c r="AM225" s="9" t="str">
        <x:f>IF($A225="","",MAX(0,$AL225*$M225/100))</x:f>
      </x:c>
      <x:c r="AN225" s="9" t="str">
        <x:f>IF($A225="","",MAX(0,$AL225*$N225/100))</x:f>
      </x:c>
      <x:c r="AO225" s="9" t="str">
        <x:f>IF($A225="","",MAX(0,$AL225*$O225/100))</x:f>
      </x:c>
      <x:c r="AP225" s="9" t="str">
        <x:f>IF($A225="","",MAX(0,$AL225+$AM225+$P225+$W225-$AN225-$AO225-$Q225))</x:f>
      </x:c>
    </x:row>
    <x:row r="226">
      <x:c r="A226" s="13"/>
      <x:c r="B226" s="7"/>
      <x:c r="C226" s="13"/>
      <x:c r="D226" s="14"/>
      <x:c r="E226" s="8"/>
      <x:c r="F226" s="13"/>
      <x:c r="G226" s="7"/>
      <x:c r="H226" s="7"/>
      <x:c r="I226" s="7"/>
      <x:c r="J226" s="13"/>
      <x:c r="K226" s="16"/>
      <x:c r="L226" s="10"/>
      <x:c r="M226" s="10"/>
      <x:c r="N226" s="10"/>
      <x:c r="O226" s="10"/>
      <x:c r="P226" s="9"/>
      <x:c r="Q226" s="9"/>
      <x:c r="R226" s="7"/>
      <x:c r="S226" s="7"/>
      <x:c r="T226" s="7"/>
      <x:c r="U226" s="7"/>
      <x:c r="V226" s="7"/>
      <x:c r="W226" s="9"/>
      <x:c r="X226" s="7"/>
      <x:c r="Y226" s="9"/>
      <x:c r="Z226" s="8"/>
      <x:c r="AA226" s="8"/>
      <x:c r="AB226" s="7"/>
      <x:c r="AC226" s="7"/>
      <x:c r="AD226" s="13"/>
      <x:c r="AE226" s="7"/>
      <x:c r="AF226" s="7"/>
      <x:c r="AG226" s="7"/>
      <x:c r="AH226" s="7"/>
      <x:c r="AI226" s="7"/>
      <x:c r="AJ226" s="9" t="str">
        <x:f>IF($A226="","",SUMIF(Sales_Items!$A$2:$A$501,$A226,Sales_Items!$O$2:$O$501))</x:f>
      </x:c>
      <x:c r="AK226" s="9" t="str">
        <x:f>IF($A226="","",$AJ226*$L226/100)</x:f>
      </x:c>
      <x:c r="AL226" s="9" t="str">
        <x:f>IF($A226="","",MAX(0,$AJ226-$AK226))</x:f>
      </x:c>
      <x:c r="AM226" s="9" t="str">
        <x:f>IF($A226="","",MAX(0,$AL226*$M226/100))</x:f>
      </x:c>
      <x:c r="AN226" s="9" t="str">
        <x:f>IF($A226="","",MAX(0,$AL226*$N226/100))</x:f>
      </x:c>
      <x:c r="AO226" s="9" t="str">
        <x:f>IF($A226="","",MAX(0,$AL226*$O226/100))</x:f>
      </x:c>
      <x:c r="AP226" s="9" t="str">
        <x:f>IF($A226="","",MAX(0,$AL226+$AM226+$P226+$W226-$AN226-$AO226-$Q226))</x:f>
      </x:c>
    </x:row>
    <x:row r="227">
      <x:c r="A227" s="13"/>
      <x:c r="B227" s="7"/>
      <x:c r="C227" s="13"/>
      <x:c r="D227" s="14"/>
      <x:c r="E227" s="8"/>
      <x:c r="F227" s="13"/>
      <x:c r="G227" s="7"/>
      <x:c r="H227" s="7"/>
      <x:c r="I227" s="7"/>
      <x:c r="J227" s="13"/>
      <x:c r="K227" s="16"/>
      <x:c r="L227" s="10"/>
      <x:c r="M227" s="10"/>
      <x:c r="N227" s="10"/>
      <x:c r="O227" s="10"/>
      <x:c r="P227" s="9"/>
      <x:c r="Q227" s="9"/>
      <x:c r="R227" s="7"/>
      <x:c r="S227" s="7"/>
      <x:c r="T227" s="7"/>
      <x:c r="U227" s="7"/>
      <x:c r="V227" s="7"/>
      <x:c r="W227" s="9"/>
      <x:c r="X227" s="7"/>
      <x:c r="Y227" s="9"/>
      <x:c r="Z227" s="8"/>
      <x:c r="AA227" s="8"/>
      <x:c r="AB227" s="7"/>
      <x:c r="AC227" s="7"/>
      <x:c r="AD227" s="13"/>
      <x:c r="AE227" s="7"/>
      <x:c r="AF227" s="7"/>
      <x:c r="AG227" s="7"/>
      <x:c r="AH227" s="7"/>
      <x:c r="AI227" s="7"/>
      <x:c r="AJ227" s="9" t="str">
        <x:f>IF($A227="","",SUMIF(Sales_Items!$A$2:$A$501,$A227,Sales_Items!$O$2:$O$501))</x:f>
      </x:c>
      <x:c r="AK227" s="9" t="str">
        <x:f>IF($A227="","",$AJ227*$L227/100)</x:f>
      </x:c>
      <x:c r="AL227" s="9" t="str">
        <x:f>IF($A227="","",MAX(0,$AJ227-$AK227))</x:f>
      </x:c>
      <x:c r="AM227" s="9" t="str">
        <x:f>IF($A227="","",MAX(0,$AL227*$M227/100))</x:f>
      </x:c>
      <x:c r="AN227" s="9" t="str">
        <x:f>IF($A227="","",MAX(0,$AL227*$N227/100))</x:f>
      </x:c>
      <x:c r="AO227" s="9" t="str">
        <x:f>IF($A227="","",MAX(0,$AL227*$O227/100))</x:f>
      </x:c>
      <x:c r="AP227" s="9" t="str">
        <x:f>IF($A227="","",MAX(0,$AL227+$AM227+$P227+$W227-$AN227-$AO227-$Q227))</x:f>
      </x:c>
    </x:row>
    <x:row r="228">
      <x:c r="A228" s="13"/>
      <x:c r="B228" s="7"/>
      <x:c r="C228" s="13"/>
      <x:c r="D228" s="14"/>
      <x:c r="E228" s="8"/>
      <x:c r="F228" s="13"/>
      <x:c r="G228" s="7"/>
      <x:c r="H228" s="7"/>
      <x:c r="I228" s="7"/>
      <x:c r="J228" s="13"/>
      <x:c r="K228" s="16"/>
      <x:c r="L228" s="10"/>
      <x:c r="M228" s="10"/>
      <x:c r="N228" s="10"/>
      <x:c r="O228" s="10"/>
      <x:c r="P228" s="9"/>
      <x:c r="Q228" s="9"/>
      <x:c r="R228" s="7"/>
      <x:c r="S228" s="7"/>
      <x:c r="T228" s="7"/>
      <x:c r="U228" s="7"/>
      <x:c r="V228" s="7"/>
      <x:c r="W228" s="9"/>
      <x:c r="X228" s="7"/>
      <x:c r="Y228" s="9"/>
      <x:c r="Z228" s="8"/>
      <x:c r="AA228" s="8"/>
      <x:c r="AB228" s="7"/>
      <x:c r="AC228" s="7"/>
      <x:c r="AD228" s="13"/>
      <x:c r="AE228" s="7"/>
      <x:c r="AF228" s="7"/>
      <x:c r="AG228" s="7"/>
      <x:c r="AH228" s="7"/>
      <x:c r="AI228" s="7"/>
      <x:c r="AJ228" s="9" t="str">
        <x:f>IF($A228="","",SUMIF(Sales_Items!$A$2:$A$501,$A228,Sales_Items!$O$2:$O$501))</x:f>
      </x:c>
      <x:c r="AK228" s="9" t="str">
        <x:f>IF($A228="","",$AJ228*$L228/100)</x:f>
      </x:c>
      <x:c r="AL228" s="9" t="str">
        <x:f>IF($A228="","",MAX(0,$AJ228-$AK228))</x:f>
      </x:c>
      <x:c r="AM228" s="9" t="str">
        <x:f>IF($A228="","",MAX(0,$AL228*$M228/100))</x:f>
      </x:c>
      <x:c r="AN228" s="9" t="str">
        <x:f>IF($A228="","",MAX(0,$AL228*$N228/100))</x:f>
      </x:c>
      <x:c r="AO228" s="9" t="str">
        <x:f>IF($A228="","",MAX(0,$AL228*$O228/100))</x:f>
      </x:c>
      <x:c r="AP228" s="9" t="str">
        <x:f>IF($A228="","",MAX(0,$AL228+$AM228+$P228+$W228-$AN228-$AO228-$Q228))</x:f>
      </x:c>
    </x:row>
    <x:row r="229">
      <x:c r="A229" s="13"/>
      <x:c r="B229" s="7"/>
      <x:c r="C229" s="13"/>
      <x:c r="D229" s="14"/>
      <x:c r="E229" s="8"/>
      <x:c r="F229" s="13"/>
      <x:c r="G229" s="7"/>
      <x:c r="H229" s="7"/>
      <x:c r="I229" s="7"/>
      <x:c r="J229" s="13"/>
      <x:c r="K229" s="16"/>
      <x:c r="L229" s="10"/>
      <x:c r="M229" s="10"/>
      <x:c r="N229" s="10"/>
      <x:c r="O229" s="10"/>
      <x:c r="P229" s="9"/>
      <x:c r="Q229" s="9"/>
      <x:c r="R229" s="7"/>
      <x:c r="S229" s="7"/>
      <x:c r="T229" s="7"/>
      <x:c r="U229" s="7"/>
      <x:c r="V229" s="7"/>
      <x:c r="W229" s="9"/>
      <x:c r="X229" s="7"/>
      <x:c r="Y229" s="9"/>
      <x:c r="Z229" s="8"/>
      <x:c r="AA229" s="8"/>
      <x:c r="AB229" s="7"/>
      <x:c r="AC229" s="7"/>
      <x:c r="AD229" s="13"/>
      <x:c r="AE229" s="7"/>
      <x:c r="AF229" s="7"/>
      <x:c r="AG229" s="7"/>
      <x:c r="AH229" s="7"/>
      <x:c r="AI229" s="7"/>
      <x:c r="AJ229" s="9" t="str">
        <x:f>IF($A229="","",SUMIF(Sales_Items!$A$2:$A$501,$A229,Sales_Items!$O$2:$O$501))</x:f>
      </x:c>
      <x:c r="AK229" s="9" t="str">
        <x:f>IF($A229="","",$AJ229*$L229/100)</x:f>
      </x:c>
      <x:c r="AL229" s="9" t="str">
        <x:f>IF($A229="","",MAX(0,$AJ229-$AK229))</x:f>
      </x:c>
      <x:c r="AM229" s="9" t="str">
        <x:f>IF($A229="","",MAX(0,$AL229*$M229/100))</x:f>
      </x:c>
      <x:c r="AN229" s="9" t="str">
        <x:f>IF($A229="","",MAX(0,$AL229*$N229/100))</x:f>
      </x:c>
      <x:c r="AO229" s="9" t="str">
        <x:f>IF($A229="","",MAX(0,$AL229*$O229/100))</x:f>
      </x:c>
      <x:c r="AP229" s="9" t="str">
        <x:f>IF($A229="","",MAX(0,$AL229+$AM229+$P229+$W229-$AN229-$AO229-$Q229))</x:f>
      </x:c>
    </x:row>
    <x:row r="230">
      <x:c r="A230" s="13"/>
      <x:c r="B230" s="7"/>
      <x:c r="C230" s="13"/>
      <x:c r="D230" s="14"/>
      <x:c r="E230" s="8"/>
      <x:c r="F230" s="13"/>
      <x:c r="G230" s="7"/>
      <x:c r="H230" s="7"/>
      <x:c r="I230" s="7"/>
      <x:c r="J230" s="13"/>
      <x:c r="K230" s="16"/>
      <x:c r="L230" s="10"/>
      <x:c r="M230" s="10"/>
      <x:c r="N230" s="10"/>
      <x:c r="O230" s="10"/>
      <x:c r="P230" s="9"/>
      <x:c r="Q230" s="9"/>
      <x:c r="R230" s="7"/>
      <x:c r="S230" s="7"/>
      <x:c r="T230" s="7"/>
      <x:c r="U230" s="7"/>
      <x:c r="V230" s="7"/>
      <x:c r="W230" s="9"/>
      <x:c r="X230" s="7"/>
      <x:c r="Y230" s="9"/>
      <x:c r="Z230" s="8"/>
      <x:c r="AA230" s="8"/>
      <x:c r="AB230" s="7"/>
      <x:c r="AC230" s="7"/>
      <x:c r="AD230" s="13"/>
      <x:c r="AE230" s="7"/>
      <x:c r="AF230" s="7"/>
      <x:c r="AG230" s="7"/>
      <x:c r="AH230" s="7"/>
      <x:c r="AI230" s="7"/>
      <x:c r="AJ230" s="9" t="str">
        <x:f>IF($A230="","",SUMIF(Sales_Items!$A$2:$A$501,$A230,Sales_Items!$O$2:$O$501))</x:f>
      </x:c>
      <x:c r="AK230" s="9" t="str">
        <x:f>IF($A230="","",$AJ230*$L230/100)</x:f>
      </x:c>
      <x:c r="AL230" s="9" t="str">
        <x:f>IF($A230="","",MAX(0,$AJ230-$AK230))</x:f>
      </x:c>
      <x:c r="AM230" s="9" t="str">
        <x:f>IF($A230="","",MAX(0,$AL230*$M230/100))</x:f>
      </x:c>
      <x:c r="AN230" s="9" t="str">
        <x:f>IF($A230="","",MAX(0,$AL230*$N230/100))</x:f>
      </x:c>
      <x:c r="AO230" s="9" t="str">
        <x:f>IF($A230="","",MAX(0,$AL230*$O230/100))</x:f>
      </x:c>
      <x:c r="AP230" s="9" t="str">
        <x:f>IF($A230="","",MAX(0,$AL230+$AM230+$P230+$W230-$AN230-$AO230-$Q230))</x:f>
      </x:c>
    </x:row>
    <x:row r="231">
      <x:c r="A231" s="13"/>
      <x:c r="B231" s="7"/>
      <x:c r="C231" s="13"/>
      <x:c r="D231" s="14"/>
      <x:c r="E231" s="8"/>
      <x:c r="F231" s="13"/>
      <x:c r="G231" s="7"/>
      <x:c r="H231" s="7"/>
      <x:c r="I231" s="7"/>
      <x:c r="J231" s="13"/>
      <x:c r="K231" s="16"/>
      <x:c r="L231" s="10"/>
      <x:c r="M231" s="10"/>
      <x:c r="N231" s="10"/>
      <x:c r="O231" s="10"/>
      <x:c r="P231" s="9"/>
      <x:c r="Q231" s="9"/>
      <x:c r="R231" s="7"/>
      <x:c r="S231" s="7"/>
      <x:c r="T231" s="7"/>
      <x:c r="U231" s="7"/>
      <x:c r="V231" s="7"/>
      <x:c r="W231" s="9"/>
      <x:c r="X231" s="7"/>
      <x:c r="Y231" s="9"/>
      <x:c r="Z231" s="8"/>
      <x:c r="AA231" s="8"/>
      <x:c r="AB231" s="7"/>
      <x:c r="AC231" s="7"/>
      <x:c r="AD231" s="13"/>
      <x:c r="AE231" s="7"/>
      <x:c r="AF231" s="7"/>
      <x:c r="AG231" s="7"/>
      <x:c r="AH231" s="7"/>
      <x:c r="AI231" s="7"/>
      <x:c r="AJ231" s="9" t="str">
        <x:f>IF($A231="","",SUMIF(Sales_Items!$A$2:$A$501,$A231,Sales_Items!$O$2:$O$501))</x:f>
      </x:c>
      <x:c r="AK231" s="9" t="str">
        <x:f>IF($A231="","",$AJ231*$L231/100)</x:f>
      </x:c>
      <x:c r="AL231" s="9" t="str">
        <x:f>IF($A231="","",MAX(0,$AJ231-$AK231))</x:f>
      </x:c>
      <x:c r="AM231" s="9" t="str">
        <x:f>IF($A231="","",MAX(0,$AL231*$M231/100))</x:f>
      </x:c>
      <x:c r="AN231" s="9" t="str">
        <x:f>IF($A231="","",MAX(0,$AL231*$N231/100))</x:f>
      </x:c>
      <x:c r="AO231" s="9" t="str">
        <x:f>IF($A231="","",MAX(0,$AL231*$O231/100))</x:f>
      </x:c>
      <x:c r="AP231" s="9" t="str">
        <x:f>IF($A231="","",MAX(0,$AL231+$AM231+$P231+$W231-$AN231-$AO231-$Q231))</x:f>
      </x:c>
    </x:row>
    <x:row r="232">
      <x:c r="A232" s="13"/>
      <x:c r="B232" s="7"/>
      <x:c r="C232" s="13"/>
      <x:c r="D232" s="14"/>
      <x:c r="E232" s="8"/>
      <x:c r="F232" s="13"/>
      <x:c r="G232" s="7"/>
      <x:c r="H232" s="7"/>
      <x:c r="I232" s="7"/>
      <x:c r="J232" s="13"/>
      <x:c r="K232" s="16"/>
      <x:c r="L232" s="10"/>
      <x:c r="M232" s="10"/>
      <x:c r="N232" s="10"/>
      <x:c r="O232" s="10"/>
      <x:c r="P232" s="9"/>
      <x:c r="Q232" s="9"/>
      <x:c r="R232" s="7"/>
      <x:c r="S232" s="7"/>
      <x:c r="T232" s="7"/>
      <x:c r="U232" s="7"/>
      <x:c r="V232" s="7"/>
      <x:c r="W232" s="9"/>
      <x:c r="X232" s="7"/>
      <x:c r="Y232" s="9"/>
      <x:c r="Z232" s="8"/>
      <x:c r="AA232" s="8"/>
      <x:c r="AB232" s="7"/>
      <x:c r="AC232" s="7"/>
      <x:c r="AD232" s="13"/>
      <x:c r="AE232" s="7"/>
      <x:c r="AF232" s="7"/>
      <x:c r="AG232" s="7"/>
      <x:c r="AH232" s="7"/>
      <x:c r="AI232" s="7"/>
      <x:c r="AJ232" s="9" t="str">
        <x:f>IF($A232="","",SUMIF(Sales_Items!$A$2:$A$501,$A232,Sales_Items!$O$2:$O$501))</x:f>
      </x:c>
      <x:c r="AK232" s="9" t="str">
        <x:f>IF($A232="","",$AJ232*$L232/100)</x:f>
      </x:c>
      <x:c r="AL232" s="9" t="str">
        <x:f>IF($A232="","",MAX(0,$AJ232-$AK232))</x:f>
      </x:c>
      <x:c r="AM232" s="9" t="str">
        <x:f>IF($A232="","",MAX(0,$AL232*$M232/100))</x:f>
      </x:c>
      <x:c r="AN232" s="9" t="str">
        <x:f>IF($A232="","",MAX(0,$AL232*$N232/100))</x:f>
      </x:c>
      <x:c r="AO232" s="9" t="str">
        <x:f>IF($A232="","",MAX(0,$AL232*$O232/100))</x:f>
      </x:c>
      <x:c r="AP232" s="9" t="str">
        <x:f>IF($A232="","",MAX(0,$AL232+$AM232+$P232+$W232-$AN232-$AO232-$Q232))</x:f>
      </x:c>
    </x:row>
    <x:row r="233">
      <x:c r="A233" s="13"/>
      <x:c r="B233" s="7"/>
      <x:c r="C233" s="13"/>
      <x:c r="D233" s="14"/>
      <x:c r="E233" s="8"/>
      <x:c r="F233" s="13"/>
      <x:c r="G233" s="7"/>
      <x:c r="H233" s="7"/>
      <x:c r="I233" s="7"/>
      <x:c r="J233" s="13"/>
      <x:c r="K233" s="16"/>
      <x:c r="L233" s="10"/>
      <x:c r="M233" s="10"/>
      <x:c r="N233" s="10"/>
      <x:c r="O233" s="10"/>
      <x:c r="P233" s="9"/>
      <x:c r="Q233" s="9"/>
      <x:c r="R233" s="7"/>
      <x:c r="S233" s="7"/>
      <x:c r="T233" s="7"/>
      <x:c r="U233" s="7"/>
      <x:c r="V233" s="7"/>
      <x:c r="W233" s="9"/>
      <x:c r="X233" s="7"/>
      <x:c r="Y233" s="9"/>
      <x:c r="Z233" s="8"/>
      <x:c r="AA233" s="8"/>
      <x:c r="AB233" s="7"/>
      <x:c r="AC233" s="7"/>
      <x:c r="AD233" s="13"/>
      <x:c r="AE233" s="7"/>
      <x:c r="AF233" s="7"/>
      <x:c r="AG233" s="7"/>
      <x:c r="AH233" s="7"/>
      <x:c r="AI233" s="7"/>
      <x:c r="AJ233" s="9" t="str">
        <x:f>IF($A233="","",SUMIF(Sales_Items!$A$2:$A$501,$A233,Sales_Items!$O$2:$O$501))</x:f>
      </x:c>
      <x:c r="AK233" s="9" t="str">
        <x:f>IF($A233="","",$AJ233*$L233/100)</x:f>
      </x:c>
      <x:c r="AL233" s="9" t="str">
        <x:f>IF($A233="","",MAX(0,$AJ233-$AK233))</x:f>
      </x:c>
      <x:c r="AM233" s="9" t="str">
        <x:f>IF($A233="","",MAX(0,$AL233*$M233/100))</x:f>
      </x:c>
      <x:c r="AN233" s="9" t="str">
        <x:f>IF($A233="","",MAX(0,$AL233*$N233/100))</x:f>
      </x:c>
      <x:c r="AO233" s="9" t="str">
        <x:f>IF($A233="","",MAX(0,$AL233*$O233/100))</x:f>
      </x:c>
      <x:c r="AP233" s="9" t="str">
        <x:f>IF($A233="","",MAX(0,$AL233+$AM233+$P233+$W233-$AN233-$AO233-$Q233))</x:f>
      </x:c>
    </x:row>
    <x:row r="234">
      <x:c r="A234" s="13"/>
      <x:c r="B234" s="7"/>
      <x:c r="C234" s="13"/>
      <x:c r="D234" s="14"/>
      <x:c r="E234" s="8"/>
      <x:c r="F234" s="13"/>
      <x:c r="G234" s="7"/>
      <x:c r="H234" s="7"/>
      <x:c r="I234" s="7"/>
      <x:c r="J234" s="13"/>
      <x:c r="K234" s="16"/>
      <x:c r="L234" s="10"/>
      <x:c r="M234" s="10"/>
      <x:c r="N234" s="10"/>
      <x:c r="O234" s="10"/>
      <x:c r="P234" s="9"/>
      <x:c r="Q234" s="9"/>
      <x:c r="R234" s="7"/>
      <x:c r="S234" s="7"/>
      <x:c r="T234" s="7"/>
      <x:c r="U234" s="7"/>
      <x:c r="V234" s="7"/>
      <x:c r="W234" s="9"/>
      <x:c r="X234" s="7"/>
      <x:c r="Y234" s="9"/>
      <x:c r="Z234" s="8"/>
      <x:c r="AA234" s="8"/>
      <x:c r="AB234" s="7"/>
      <x:c r="AC234" s="7"/>
      <x:c r="AD234" s="13"/>
      <x:c r="AE234" s="7"/>
      <x:c r="AF234" s="7"/>
      <x:c r="AG234" s="7"/>
      <x:c r="AH234" s="7"/>
      <x:c r="AI234" s="7"/>
      <x:c r="AJ234" s="9" t="str">
        <x:f>IF($A234="","",SUMIF(Sales_Items!$A$2:$A$501,$A234,Sales_Items!$O$2:$O$501))</x:f>
      </x:c>
      <x:c r="AK234" s="9" t="str">
        <x:f>IF($A234="","",$AJ234*$L234/100)</x:f>
      </x:c>
      <x:c r="AL234" s="9" t="str">
        <x:f>IF($A234="","",MAX(0,$AJ234-$AK234))</x:f>
      </x:c>
      <x:c r="AM234" s="9" t="str">
        <x:f>IF($A234="","",MAX(0,$AL234*$M234/100))</x:f>
      </x:c>
      <x:c r="AN234" s="9" t="str">
        <x:f>IF($A234="","",MAX(0,$AL234*$N234/100))</x:f>
      </x:c>
      <x:c r="AO234" s="9" t="str">
        <x:f>IF($A234="","",MAX(0,$AL234*$O234/100))</x:f>
      </x:c>
      <x:c r="AP234" s="9" t="str">
        <x:f>IF($A234="","",MAX(0,$AL234+$AM234+$P234+$W234-$AN234-$AO234-$Q234))</x:f>
      </x:c>
    </x:row>
    <x:row r="235">
      <x:c r="A235" s="13"/>
      <x:c r="B235" s="7"/>
      <x:c r="C235" s="13"/>
      <x:c r="D235" s="14"/>
      <x:c r="E235" s="8"/>
      <x:c r="F235" s="13"/>
      <x:c r="G235" s="7"/>
      <x:c r="H235" s="7"/>
      <x:c r="I235" s="7"/>
      <x:c r="J235" s="13"/>
      <x:c r="K235" s="16"/>
      <x:c r="L235" s="10"/>
      <x:c r="M235" s="10"/>
      <x:c r="N235" s="10"/>
      <x:c r="O235" s="10"/>
      <x:c r="P235" s="9"/>
      <x:c r="Q235" s="9"/>
      <x:c r="R235" s="7"/>
      <x:c r="S235" s="7"/>
      <x:c r="T235" s="7"/>
      <x:c r="U235" s="7"/>
      <x:c r="V235" s="7"/>
      <x:c r="W235" s="9"/>
      <x:c r="X235" s="7"/>
      <x:c r="Y235" s="9"/>
      <x:c r="Z235" s="8"/>
      <x:c r="AA235" s="8"/>
      <x:c r="AB235" s="7"/>
      <x:c r="AC235" s="7"/>
      <x:c r="AD235" s="13"/>
      <x:c r="AE235" s="7"/>
      <x:c r="AF235" s="7"/>
      <x:c r="AG235" s="7"/>
      <x:c r="AH235" s="7"/>
      <x:c r="AI235" s="7"/>
      <x:c r="AJ235" s="9" t="str">
        <x:f>IF($A235="","",SUMIF(Sales_Items!$A$2:$A$501,$A235,Sales_Items!$O$2:$O$501))</x:f>
      </x:c>
      <x:c r="AK235" s="9" t="str">
        <x:f>IF($A235="","",$AJ235*$L235/100)</x:f>
      </x:c>
      <x:c r="AL235" s="9" t="str">
        <x:f>IF($A235="","",MAX(0,$AJ235-$AK235))</x:f>
      </x:c>
      <x:c r="AM235" s="9" t="str">
        <x:f>IF($A235="","",MAX(0,$AL235*$M235/100))</x:f>
      </x:c>
      <x:c r="AN235" s="9" t="str">
        <x:f>IF($A235="","",MAX(0,$AL235*$N235/100))</x:f>
      </x:c>
      <x:c r="AO235" s="9" t="str">
        <x:f>IF($A235="","",MAX(0,$AL235*$O235/100))</x:f>
      </x:c>
      <x:c r="AP235" s="9" t="str">
        <x:f>IF($A235="","",MAX(0,$AL235+$AM235+$P235+$W235-$AN235-$AO235-$Q235))</x:f>
      </x:c>
    </x:row>
    <x:row r="236">
      <x:c r="A236" s="13"/>
      <x:c r="B236" s="7"/>
      <x:c r="C236" s="13"/>
      <x:c r="D236" s="14"/>
      <x:c r="E236" s="8"/>
      <x:c r="F236" s="13"/>
      <x:c r="G236" s="7"/>
      <x:c r="H236" s="7"/>
      <x:c r="I236" s="7"/>
      <x:c r="J236" s="13"/>
      <x:c r="K236" s="16"/>
      <x:c r="L236" s="10"/>
      <x:c r="M236" s="10"/>
      <x:c r="N236" s="10"/>
      <x:c r="O236" s="10"/>
      <x:c r="P236" s="9"/>
      <x:c r="Q236" s="9"/>
      <x:c r="R236" s="7"/>
      <x:c r="S236" s="7"/>
      <x:c r="T236" s="7"/>
      <x:c r="U236" s="7"/>
      <x:c r="V236" s="7"/>
      <x:c r="W236" s="9"/>
      <x:c r="X236" s="7"/>
      <x:c r="Y236" s="9"/>
      <x:c r="Z236" s="8"/>
      <x:c r="AA236" s="8"/>
      <x:c r="AB236" s="7"/>
      <x:c r="AC236" s="7"/>
      <x:c r="AD236" s="13"/>
      <x:c r="AE236" s="7"/>
      <x:c r="AF236" s="7"/>
      <x:c r="AG236" s="7"/>
      <x:c r="AH236" s="7"/>
      <x:c r="AI236" s="7"/>
      <x:c r="AJ236" s="9" t="str">
        <x:f>IF($A236="","",SUMIF(Sales_Items!$A$2:$A$501,$A236,Sales_Items!$O$2:$O$501))</x:f>
      </x:c>
      <x:c r="AK236" s="9" t="str">
        <x:f>IF($A236="","",$AJ236*$L236/100)</x:f>
      </x:c>
      <x:c r="AL236" s="9" t="str">
        <x:f>IF($A236="","",MAX(0,$AJ236-$AK236))</x:f>
      </x:c>
      <x:c r="AM236" s="9" t="str">
        <x:f>IF($A236="","",MAX(0,$AL236*$M236/100))</x:f>
      </x:c>
      <x:c r="AN236" s="9" t="str">
        <x:f>IF($A236="","",MAX(0,$AL236*$N236/100))</x:f>
      </x:c>
      <x:c r="AO236" s="9" t="str">
        <x:f>IF($A236="","",MAX(0,$AL236*$O236/100))</x:f>
      </x:c>
      <x:c r="AP236" s="9" t="str">
        <x:f>IF($A236="","",MAX(0,$AL236+$AM236+$P236+$W236-$AN236-$AO236-$Q236))</x:f>
      </x:c>
    </x:row>
    <x:row r="237">
      <x:c r="A237" s="13"/>
      <x:c r="B237" s="7"/>
      <x:c r="C237" s="13"/>
      <x:c r="D237" s="14"/>
      <x:c r="E237" s="8"/>
      <x:c r="F237" s="13"/>
      <x:c r="G237" s="7"/>
      <x:c r="H237" s="7"/>
      <x:c r="I237" s="7"/>
      <x:c r="J237" s="13"/>
      <x:c r="K237" s="16"/>
      <x:c r="L237" s="10"/>
      <x:c r="M237" s="10"/>
      <x:c r="N237" s="10"/>
      <x:c r="O237" s="10"/>
      <x:c r="P237" s="9"/>
      <x:c r="Q237" s="9"/>
      <x:c r="R237" s="7"/>
      <x:c r="S237" s="7"/>
      <x:c r="T237" s="7"/>
      <x:c r="U237" s="7"/>
      <x:c r="V237" s="7"/>
      <x:c r="W237" s="9"/>
      <x:c r="X237" s="7"/>
      <x:c r="Y237" s="9"/>
      <x:c r="Z237" s="8"/>
      <x:c r="AA237" s="8"/>
      <x:c r="AB237" s="7"/>
      <x:c r="AC237" s="7"/>
      <x:c r="AD237" s="13"/>
      <x:c r="AE237" s="7"/>
      <x:c r="AF237" s="7"/>
      <x:c r="AG237" s="7"/>
      <x:c r="AH237" s="7"/>
      <x:c r="AI237" s="7"/>
      <x:c r="AJ237" s="9" t="str">
        <x:f>IF($A237="","",SUMIF(Sales_Items!$A$2:$A$501,$A237,Sales_Items!$O$2:$O$501))</x:f>
      </x:c>
      <x:c r="AK237" s="9" t="str">
        <x:f>IF($A237="","",$AJ237*$L237/100)</x:f>
      </x:c>
      <x:c r="AL237" s="9" t="str">
        <x:f>IF($A237="","",MAX(0,$AJ237-$AK237))</x:f>
      </x:c>
      <x:c r="AM237" s="9" t="str">
        <x:f>IF($A237="","",MAX(0,$AL237*$M237/100))</x:f>
      </x:c>
      <x:c r="AN237" s="9" t="str">
        <x:f>IF($A237="","",MAX(0,$AL237*$N237/100))</x:f>
      </x:c>
      <x:c r="AO237" s="9" t="str">
        <x:f>IF($A237="","",MAX(0,$AL237*$O237/100))</x:f>
      </x:c>
      <x:c r="AP237" s="9" t="str">
        <x:f>IF($A237="","",MAX(0,$AL237+$AM237+$P237+$W237-$AN237-$AO237-$Q237))</x:f>
      </x:c>
    </x:row>
    <x:row r="238">
      <x:c r="A238" s="13"/>
      <x:c r="B238" s="7"/>
      <x:c r="C238" s="13"/>
      <x:c r="D238" s="14"/>
      <x:c r="E238" s="8"/>
      <x:c r="F238" s="13"/>
      <x:c r="G238" s="7"/>
      <x:c r="H238" s="7"/>
      <x:c r="I238" s="7"/>
      <x:c r="J238" s="13"/>
      <x:c r="K238" s="16"/>
      <x:c r="L238" s="10"/>
      <x:c r="M238" s="10"/>
      <x:c r="N238" s="10"/>
      <x:c r="O238" s="10"/>
      <x:c r="P238" s="9"/>
      <x:c r="Q238" s="9"/>
      <x:c r="R238" s="7"/>
      <x:c r="S238" s="7"/>
      <x:c r="T238" s="7"/>
      <x:c r="U238" s="7"/>
      <x:c r="V238" s="7"/>
      <x:c r="W238" s="9"/>
      <x:c r="X238" s="7"/>
      <x:c r="Y238" s="9"/>
      <x:c r="Z238" s="8"/>
      <x:c r="AA238" s="8"/>
      <x:c r="AB238" s="7"/>
      <x:c r="AC238" s="7"/>
      <x:c r="AD238" s="13"/>
      <x:c r="AE238" s="7"/>
      <x:c r="AF238" s="7"/>
      <x:c r="AG238" s="7"/>
      <x:c r="AH238" s="7"/>
      <x:c r="AI238" s="7"/>
      <x:c r="AJ238" s="9" t="str">
        <x:f>IF($A238="","",SUMIF(Sales_Items!$A$2:$A$501,$A238,Sales_Items!$O$2:$O$501))</x:f>
      </x:c>
      <x:c r="AK238" s="9" t="str">
        <x:f>IF($A238="","",$AJ238*$L238/100)</x:f>
      </x:c>
      <x:c r="AL238" s="9" t="str">
        <x:f>IF($A238="","",MAX(0,$AJ238-$AK238))</x:f>
      </x:c>
      <x:c r="AM238" s="9" t="str">
        <x:f>IF($A238="","",MAX(0,$AL238*$M238/100))</x:f>
      </x:c>
      <x:c r="AN238" s="9" t="str">
        <x:f>IF($A238="","",MAX(0,$AL238*$N238/100))</x:f>
      </x:c>
      <x:c r="AO238" s="9" t="str">
        <x:f>IF($A238="","",MAX(0,$AL238*$O238/100))</x:f>
      </x:c>
      <x:c r="AP238" s="9" t="str">
        <x:f>IF($A238="","",MAX(0,$AL238+$AM238+$P238+$W238-$AN238-$AO238-$Q238))</x:f>
      </x:c>
    </x:row>
    <x:row r="239">
      <x:c r="A239" s="13"/>
      <x:c r="B239" s="7"/>
      <x:c r="C239" s="13"/>
      <x:c r="D239" s="14"/>
      <x:c r="E239" s="8"/>
      <x:c r="F239" s="13"/>
      <x:c r="G239" s="7"/>
      <x:c r="H239" s="7"/>
      <x:c r="I239" s="7"/>
      <x:c r="J239" s="13"/>
      <x:c r="K239" s="16"/>
      <x:c r="L239" s="10"/>
      <x:c r="M239" s="10"/>
      <x:c r="N239" s="10"/>
      <x:c r="O239" s="10"/>
      <x:c r="P239" s="9"/>
      <x:c r="Q239" s="9"/>
      <x:c r="R239" s="7"/>
      <x:c r="S239" s="7"/>
      <x:c r="T239" s="7"/>
      <x:c r="U239" s="7"/>
      <x:c r="V239" s="7"/>
      <x:c r="W239" s="9"/>
      <x:c r="X239" s="7"/>
      <x:c r="Y239" s="9"/>
      <x:c r="Z239" s="8"/>
      <x:c r="AA239" s="8"/>
      <x:c r="AB239" s="7"/>
      <x:c r="AC239" s="7"/>
      <x:c r="AD239" s="13"/>
      <x:c r="AE239" s="7"/>
      <x:c r="AF239" s="7"/>
      <x:c r="AG239" s="7"/>
      <x:c r="AH239" s="7"/>
      <x:c r="AI239" s="7"/>
      <x:c r="AJ239" s="9" t="str">
        <x:f>IF($A239="","",SUMIF(Sales_Items!$A$2:$A$501,$A239,Sales_Items!$O$2:$O$501))</x:f>
      </x:c>
      <x:c r="AK239" s="9" t="str">
        <x:f>IF($A239="","",$AJ239*$L239/100)</x:f>
      </x:c>
      <x:c r="AL239" s="9" t="str">
        <x:f>IF($A239="","",MAX(0,$AJ239-$AK239))</x:f>
      </x:c>
      <x:c r="AM239" s="9" t="str">
        <x:f>IF($A239="","",MAX(0,$AL239*$M239/100))</x:f>
      </x:c>
      <x:c r="AN239" s="9" t="str">
        <x:f>IF($A239="","",MAX(0,$AL239*$N239/100))</x:f>
      </x:c>
      <x:c r="AO239" s="9" t="str">
        <x:f>IF($A239="","",MAX(0,$AL239*$O239/100))</x:f>
      </x:c>
      <x:c r="AP239" s="9" t="str">
        <x:f>IF($A239="","",MAX(0,$AL239+$AM239+$P239+$W239-$AN239-$AO239-$Q239))</x:f>
      </x:c>
    </x:row>
    <x:row r="240">
      <x:c r="A240" s="13"/>
      <x:c r="B240" s="7"/>
      <x:c r="C240" s="13"/>
      <x:c r="D240" s="14"/>
      <x:c r="E240" s="8"/>
      <x:c r="F240" s="13"/>
      <x:c r="G240" s="7"/>
      <x:c r="H240" s="7"/>
      <x:c r="I240" s="7"/>
      <x:c r="J240" s="13"/>
      <x:c r="K240" s="16"/>
      <x:c r="L240" s="10"/>
      <x:c r="M240" s="10"/>
      <x:c r="N240" s="10"/>
      <x:c r="O240" s="10"/>
      <x:c r="P240" s="9"/>
      <x:c r="Q240" s="9"/>
      <x:c r="R240" s="7"/>
      <x:c r="S240" s="7"/>
      <x:c r="T240" s="7"/>
      <x:c r="U240" s="7"/>
      <x:c r="V240" s="7"/>
      <x:c r="W240" s="9"/>
      <x:c r="X240" s="7"/>
      <x:c r="Y240" s="9"/>
      <x:c r="Z240" s="8"/>
      <x:c r="AA240" s="8"/>
      <x:c r="AB240" s="7"/>
      <x:c r="AC240" s="7"/>
      <x:c r="AD240" s="13"/>
      <x:c r="AE240" s="7"/>
      <x:c r="AF240" s="7"/>
      <x:c r="AG240" s="7"/>
      <x:c r="AH240" s="7"/>
      <x:c r="AI240" s="7"/>
      <x:c r="AJ240" s="9" t="str">
        <x:f>IF($A240="","",SUMIF(Sales_Items!$A$2:$A$501,$A240,Sales_Items!$O$2:$O$501))</x:f>
      </x:c>
      <x:c r="AK240" s="9" t="str">
        <x:f>IF($A240="","",$AJ240*$L240/100)</x:f>
      </x:c>
      <x:c r="AL240" s="9" t="str">
        <x:f>IF($A240="","",MAX(0,$AJ240-$AK240))</x:f>
      </x:c>
      <x:c r="AM240" s="9" t="str">
        <x:f>IF($A240="","",MAX(0,$AL240*$M240/100))</x:f>
      </x:c>
      <x:c r="AN240" s="9" t="str">
        <x:f>IF($A240="","",MAX(0,$AL240*$N240/100))</x:f>
      </x:c>
      <x:c r="AO240" s="9" t="str">
        <x:f>IF($A240="","",MAX(0,$AL240*$O240/100))</x:f>
      </x:c>
      <x:c r="AP240" s="9" t="str">
        <x:f>IF($A240="","",MAX(0,$AL240+$AM240+$P240+$W240-$AN240-$AO240-$Q240))</x:f>
      </x:c>
    </x:row>
    <x:row r="241">
      <x:c r="A241" s="13"/>
      <x:c r="B241" s="7"/>
      <x:c r="C241" s="13"/>
      <x:c r="D241" s="14"/>
      <x:c r="E241" s="8"/>
      <x:c r="F241" s="13"/>
      <x:c r="G241" s="7"/>
      <x:c r="H241" s="7"/>
      <x:c r="I241" s="7"/>
      <x:c r="J241" s="13"/>
      <x:c r="K241" s="16"/>
      <x:c r="L241" s="10"/>
      <x:c r="M241" s="10"/>
      <x:c r="N241" s="10"/>
      <x:c r="O241" s="10"/>
      <x:c r="P241" s="9"/>
      <x:c r="Q241" s="9"/>
      <x:c r="R241" s="7"/>
      <x:c r="S241" s="7"/>
      <x:c r="T241" s="7"/>
      <x:c r="U241" s="7"/>
      <x:c r="V241" s="7"/>
      <x:c r="W241" s="9"/>
      <x:c r="X241" s="7"/>
      <x:c r="Y241" s="9"/>
      <x:c r="Z241" s="8"/>
      <x:c r="AA241" s="8"/>
      <x:c r="AB241" s="7"/>
      <x:c r="AC241" s="7"/>
      <x:c r="AD241" s="13"/>
      <x:c r="AE241" s="7"/>
      <x:c r="AF241" s="7"/>
      <x:c r="AG241" s="7"/>
      <x:c r="AH241" s="7"/>
      <x:c r="AI241" s="7"/>
      <x:c r="AJ241" s="9" t="str">
        <x:f>IF($A241="","",SUMIF(Sales_Items!$A$2:$A$501,$A241,Sales_Items!$O$2:$O$501))</x:f>
      </x:c>
      <x:c r="AK241" s="9" t="str">
        <x:f>IF($A241="","",$AJ241*$L241/100)</x:f>
      </x:c>
      <x:c r="AL241" s="9" t="str">
        <x:f>IF($A241="","",MAX(0,$AJ241-$AK241))</x:f>
      </x:c>
      <x:c r="AM241" s="9" t="str">
        <x:f>IF($A241="","",MAX(0,$AL241*$M241/100))</x:f>
      </x:c>
      <x:c r="AN241" s="9" t="str">
        <x:f>IF($A241="","",MAX(0,$AL241*$N241/100))</x:f>
      </x:c>
      <x:c r="AO241" s="9" t="str">
        <x:f>IF($A241="","",MAX(0,$AL241*$O241/100))</x:f>
      </x:c>
      <x:c r="AP241" s="9" t="str">
        <x:f>IF($A241="","",MAX(0,$AL241+$AM241+$P241+$W241-$AN241-$AO241-$Q241))</x:f>
      </x:c>
    </x:row>
    <x:row r="242">
      <x:c r="A242" s="13"/>
      <x:c r="B242" s="7"/>
      <x:c r="C242" s="13"/>
      <x:c r="D242" s="14"/>
      <x:c r="E242" s="8"/>
      <x:c r="F242" s="13"/>
      <x:c r="G242" s="7"/>
      <x:c r="H242" s="7"/>
      <x:c r="I242" s="7"/>
      <x:c r="J242" s="13"/>
      <x:c r="K242" s="16"/>
      <x:c r="L242" s="10"/>
      <x:c r="M242" s="10"/>
      <x:c r="N242" s="10"/>
      <x:c r="O242" s="10"/>
      <x:c r="P242" s="9"/>
      <x:c r="Q242" s="9"/>
      <x:c r="R242" s="7"/>
      <x:c r="S242" s="7"/>
      <x:c r="T242" s="7"/>
      <x:c r="U242" s="7"/>
      <x:c r="V242" s="7"/>
      <x:c r="W242" s="9"/>
      <x:c r="X242" s="7"/>
      <x:c r="Y242" s="9"/>
      <x:c r="Z242" s="8"/>
      <x:c r="AA242" s="8"/>
      <x:c r="AB242" s="7"/>
      <x:c r="AC242" s="7"/>
      <x:c r="AD242" s="13"/>
      <x:c r="AE242" s="7"/>
      <x:c r="AF242" s="7"/>
      <x:c r="AG242" s="7"/>
      <x:c r="AH242" s="7"/>
      <x:c r="AI242" s="7"/>
      <x:c r="AJ242" s="9" t="str">
        <x:f>IF($A242="","",SUMIF(Sales_Items!$A$2:$A$501,$A242,Sales_Items!$O$2:$O$501))</x:f>
      </x:c>
      <x:c r="AK242" s="9" t="str">
        <x:f>IF($A242="","",$AJ242*$L242/100)</x:f>
      </x:c>
      <x:c r="AL242" s="9" t="str">
        <x:f>IF($A242="","",MAX(0,$AJ242-$AK242))</x:f>
      </x:c>
      <x:c r="AM242" s="9" t="str">
        <x:f>IF($A242="","",MAX(0,$AL242*$M242/100))</x:f>
      </x:c>
      <x:c r="AN242" s="9" t="str">
        <x:f>IF($A242="","",MAX(0,$AL242*$N242/100))</x:f>
      </x:c>
      <x:c r="AO242" s="9" t="str">
        <x:f>IF($A242="","",MAX(0,$AL242*$O242/100))</x:f>
      </x:c>
      <x:c r="AP242" s="9" t="str">
        <x:f>IF($A242="","",MAX(0,$AL242+$AM242+$P242+$W242-$AN242-$AO242-$Q242))</x:f>
      </x:c>
    </x:row>
    <x:row r="243">
      <x:c r="A243" s="13"/>
      <x:c r="B243" s="7"/>
      <x:c r="C243" s="13"/>
      <x:c r="D243" s="14"/>
      <x:c r="E243" s="8"/>
      <x:c r="F243" s="13"/>
      <x:c r="G243" s="7"/>
      <x:c r="H243" s="7"/>
      <x:c r="I243" s="7"/>
      <x:c r="J243" s="13"/>
      <x:c r="K243" s="16"/>
      <x:c r="L243" s="10"/>
      <x:c r="M243" s="10"/>
      <x:c r="N243" s="10"/>
      <x:c r="O243" s="10"/>
      <x:c r="P243" s="9"/>
      <x:c r="Q243" s="9"/>
      <x:c r="R243" s="7"/>
      <x:c r="S243" s="7"/>
      <x:c r="T243" s="7"/>
      <x:c r="U243" s="7"/>
      <x:c r="V243" s="7"/>
      <x:c r="W243" s="9"/>
      <x:c r="X243" s="7"/>
      <x:c r="Y243" s="9"/>
      <x:c r="Z243" s="8"/>
      <x:c r="AA243" s="8"/>
      <x:c r="AB243" s="7"/>
      <x:c r="AC243" s="7"/>
      <x:c r="AD243" s="13"/>
      <x:c r="AE243" s="7"/>
      <x:c r="AF243" s="7"/>
      <x:c r="AG243" s="7"/>
      <x:c r="AH243" s="7"/>
      <x:c r="AI243" s="7"/>
      <x:c r="AJ243" s="9" t="str">
        <x:f>IF($A243="","",SUMIF(Sales_Items!$A$2:$A$501,$A243,Sales_Items!$O$2:$O$501))</x:f>
      </x:c>
      <x:c r="AK243" s="9" t="str">
        <x:f>IF($A243="","",$AJ243*$L243/100)</x:f>
      </x:c>
      <x:c r="AL243" s="9" t="str">
        <x:f>IF($A243="","",MAX(0,$AJ243-$AK243))</x:f>
      </x:c>
      <x:c r="AM243" s="9" t="str">
        <x:f>IF($A243="","",MAX(0,$AL243*$M243/100))</x:f>
      </x:c>
      <x:c r="AN243" s="9" t="str">
        <x:f>IF($A243="","",MAX(0,$AL243*$N243/100))</x:f>
      </x:c>
      <x:c r="AO243" s="9" t="str">
        <x:f>IF($A243="","",MAX(0,$AL243*$O243/100))</x:f>
      </x:c>
      <x:c r="AP243" s="9" t="str">
        <x:f>IF($A243="","",MAX(0,$AL243+$AM243+$P243+$W243-$AN243-$AO243-$Q243))</x:f>
      </x:c>
    </x:row>
    <x:row r="244">
      <x:c r="A244" s="13"/>
      <x:c r="B244" s="7"/>
      <x:c r="C244" s="13"/>
      <x:c r="D244" s="14"/>
      <x:c r="E244" s="8"/>
      <x:c r="F244" s="13"/>
      <x:c r="G244" s="7"/>
      <x:c r="H244" s="7"/>
      <x:c r="I244" s="7"/>
      <x:c r="J244" s="13"/>
      <x:c r="K244" s="16"/>
      <x:c r="L244" s="10"/>
      <x:c r="M244" s="10"/>
      <x:c r="N244" s="10"/>
      <x:c r="O244" s="10"/>
      <x:c r="P244" s="9"/>
      <x:c r="Q244" s="9"/>
      <x:c r="R244" s="7"/>
      <x:c r="S244" s="7"/>
      <x:c r="T244" s="7"/>
      <x:c r="U244" s="7"/>
      <x:c r="V244" s="7"/>
      <x:c r="W244" s="9"/>
      <x:c r="X244" s="7"/>
      <x:c r="Y244" s="9"/>
      <x:c r="Z244" s="8"/>
      <x:c r="AA244" s="8"/>
      <x:c r="AB244" s="7"/>
      <x:c r="AC244" s="7"/>
      <x:c r="AD244" s="13"/>
      <x:c r="AE244" s="7"/>
      <x:c r="AF244" s="7"/>
      <x:c r="AG244" s="7"/>
      <x:c r="AH244" s="7"/>
      <x:c r="AI244" s="7"/>
      <x:c r="AJ244" s="9" t="str">
        <x:f>IF($A244="","",SUMIF(Sales_Items!$A$2:$A$501,$A244,Sales_Items!$O$2:$O$501))</x:f>
      </x:c>
      <x:c r="AK244" s="9" t="str">
        <x:f>IF($A244="","",$AJ244*$L244/100)</x:f>
      </x:c>
      <x:c r="AL244" s="9" t="str">
        <x:f>IF($A244="","",MAX(0,$AJ244-$AK244))</x:f>
      </x:c>
      <x:c r="AM244" s="9" t="str">
        <x:f>IF($A244="","",MAX(0,$AL244*$M244/100))</x:f>
      </x:c>
      <x:c r="AN244" s="9" t="str">
        <x:f>IF($A244="","",MAX(0,$AL244*$N244/100))</x:f>
      </x:c>
      <x:c r="AO244" s="9" t="str">
        <x:f>IF($A244="","",MAX(0,$AL244*$O244/100))</x:f>
      </x:c>
      <x:c r="AP244" s="9" t="str">
        <x:f>IF($A244="","",MAX(0,$AL244+$AM244+$P244+$W244-$AN244-$AO244-$Q244))</x:f>
      </x:c>
    </x:row>
    <x:row r="245">
      <x:c r="A245" s="13"/>
      <x:c r="B245" s="7"/>
      <x:c r="C245" s="13"/>
      <x:c r="D245" s="14"/>
      <x:c r="E245" s="8"/>
      <x:c r="F245" s="13"/>
      <x:c r="G245" s="7"/>
      <x:c r="H245" s="7"/>
      <x:c r="I245" s="7"/>
      <x:c r="J245" s="13"/>
      <x:c r="K245" s="16"/>
      <x:c r="L245" s="10"/>
      <x:c r="M245" s="10"/>
      <x:c r="N245" s="10"/>
      <x:c r="O245" s="10"/>
      <x:c r="P245" s="9"/>
      <x:c r="Q245" s="9"/>
      <x:c r="R245" s="7"/>
      <x:c r="S245" s="7"/>
      <x:c r="T245" s="7"/>
      <x:c r="U245" s="7"/>
      <x:c r="V245" s="7"/>
      <x:c r="W245" s="9"/>
      <x:c r="X245" s="7"/>
      <x:c r="Y245" s="9"/>
      <x:c r="Z245" s="8"/>
      <x:c r="AA245" s="8"/>
      <x:c r="AB245" s="7"/>
      <x:c r="AC245" s="7"/>
      <x:c r="AD245" s="13"/>
      <x:c r="AE245" s="7"/>
      <x:c r="AF245" s="7"/>
      <x:c r="AG245" s="7"/>
      <x:c r="AH245" s="7"/>
      <x:c r="AI245" s="7"/>
      <x:c r="AJ245" s="9" t="str">
        <x:f>IF($A245="","",SUMIF(Sales_Items!$A$2:$A$501,$A245,Sales_Items!$O$2:$O$501))</x:f>
      </x:c>
      <x:c r="AK245" s="9" t="str">
        <x:f>IF($A245="","",$AJ245*$L245/100)</x:f>
      </x:c>
      <x:c r="AL245" s="9" t="str">
        <x:f>IF($A245="","",MAX(0,$AJ245-$AK245))</x:f>
      </x:c>
      <x:c r="AM245" s="9" t="str">
        <x:f>IF($A245="","",MAX(0,$AL245*$M245/100))</x:f>
      </x:c>
      <x:c r="AN245" s="9" t="str">
        <x:f>IF($A245="","",MAX(0,$AL245*$N245/100))</x:f>
      </x:c>
      <x:c r="AO245" s="9" t="str">
        <x:f>IF($A245="","",MAX(0,$AL245*$O245/100))</x:f>
      </x:c>
      <x:c r="AP245" s="9" t="str">
        <x:f>IF($A245="","",MAX(0,$AL245+$AM245+$P245+$W245-$AN245-$AO245-$Q245))</x:f>
      </x:c>
    </x:row>
    <x:row r="246">
      <x:c r="A246" s="13"/>
      <x:c r="B246" s="7"/>
      <x:c r="C246" s="13"/>
      <x:c r="D246" s="14"/>
      <x:c r="E246" s="8"/>
      <x:c r="F246" s="13"/>
      <x:c r="G246" s="7"/>
      <x:c r="H246" s="7"/>
      <x:c r="I246" s="7"/>
      <x:c r="J246" s="13"/>
      <x:c r="K246" s="16"/>
      <x:c r="L246" s="10"/>
      <x:c r="M246" s="10"/>
      <x:c r="N246" s="10"/>
      <x:c r="O246" s="10"/>
      <x:c r="P246" s="9"/>
      <x:c r="Q246" s="9"/>
      <x:c r="R246" s="7"/>
      <x:c r="S246" s="7"/>
      <x:c r="T246" s="7"/>
      <x:c r="U246" s="7"/>
      <x:c r="V246" s="7"/>
      <x:c r="W246" s="9"/>
      <x:c r="X246" s="7"/>
      <x:c r="Y246" s="9"/>
      <x:c r="Z246" s="8"/>
      <x:c r="AA246" s="8"/>
      <x:c r="AB246" s="7"/>
      <x:c r="AC246" s="7"/>
      <x:c r="AD246" s="13"/>
      <x:c r="AE246" s="7"/>
      <x:c r="AF246" s="7"/>
      <x:c r="AG246" s="7"/>
      <x:c r="AH246" s="7"/>
      <x:c r="AI246" s="7"/>
      <x:c r="AJ246" s="9" t="str">
        <x:f>IF($A246="","",SUMIF(Sales_Items!$A$2:$A$501,$A246,Sales_Items!$O$2:$O$501))</x:f>
      </x:c>
      <x:c r="AK246" s="9" t="str">
        <x:f>IF($A246="","",$AJ246*$L246/100)</x:f>
      </x:c>
      <x:c r="AL246" s="9" t="str">
        <x:f>IF($A246="","",MAX(0,$AJ246-$AK246))</x:f>
      </x:c>
      <x:c r="AM246" s="9" t="str">
        <x:f>IF($A246="","",MAX(0,$AL246*$M246/100))</x:f>
      </x:c>
      <x:c r="AN246" s="9" t="str">
        <x:f>IF($A246="","",MAX(0,$AL246*$N246/100))</x:f>
      </x:c>
      <x:c r="AO246" s="9" t="str">
        <x:f>IF($A246="","",MAX(0,$AL246*$O246/100))</x:f>
      </x:c>
      <x:c r="AP246" s="9" t="str">
        <x:f>IF($A246="","",MAX(0,$AL246+$AM246+$P246+$W246-$AN246-$AO246-$Q246))</x:f>
      </x:c>
    </x:row>
    <x:row r="247">
      <x:c r="A247" s="13"/>
      <x:c r="B247" s="7"/>
      <x:c r="C247" s="13"/>
      <x:c r="D247" s="14"/>
      <x:c r="E247" s="8"/>
      <x:c r="F247" s="13"/>
      <x:c r="G247" s="7"/>
      <x:c r="H247" s="7"/>
      <x:c r="I247" s="7"/>
      <x:c r="J247" s="13"/>
      <x:c r="K247" s="16"/>
      <x:c r="L247" s="10"/>
      <x:c r="M247" s="10"/>
      <x:c r="N247" s="10"/>
      <x:c r="O247" s="10"/>
      <x:c r="P247" s="9"/>
      <x:c r="Q247" s="9"/>
      <x:c r="R247" s="7"/>
      <x:c r="S247" s="7"/>
      <x:c r="T247" s="7"/>
      <x:c r="U247" s="7"/>
      <x:c r="V247" s="7"/>
      <x:c r="W247" s="9"/>
      <x:c r="X247" s="7"/>
      <x:c r="Y247" s="9"/>
      <x:c r="Z247" s="8"/>
      <x:c r="AA247" s="8"/>
      <x:c r="AB247" s="7"/>
      <x:c r="AC247" s="7"/>
      <x:c r="AD247" s="13"/>
      <x:c r="AE247" s="7"/>
      <x:c r="AF247" s="7"/>
      <x:c r="AG247" s="7"/>
      <x:c r="AH247" s="7"/>
      <x:c r="AI247" s="7"/>
      <x:c r="AJ247" s="9" t="str">
        <x:f>IF($A247="","",SUMIF(Sales_Items!$A$2:$A$501,$A247,Sales_Items!$O$2:$O$501))</x:f>
      </x:c>
      <x:c r="AK247" s="9" t="str">
        <x:f>IF($A247="","",$AJ247*$L247/100)</x:f>
      </x:c>
      <x:c r="AL247" s="9" t="str">
        <x:f>IF($A247="","",MAX(0,$AJ247-$AK247))</x:f>
      </x:c>
      <x:c r="AM247" s="9" t="str">
        <x:f>IF($A247="","",MAX(0,$AL247*$M247/100))</x:f>
      </x:c>
      <x:c r="AN247" s="9" t="str">
        <x:f>IF($A247="","",MAX(0,$AL247*$N247/100))</x:f>
      </x:c>
      <x:c r="AO247" s="9" t="str">
        <x:f>IF($A247="","",MAX(0,$AL247*$O247/100))</x:f>
      </x:c>
      <x:c r="AP247" s="9" t="str">
        <x:f>IF($A247="","",MAX(0,$AL247+$AM247+$P247+$W247-$AN247-$AO247-$Q247))</x:f>
      </x:c>
    </x:row>
    <x:row r="248">
      <x:c r="A248" s="13"/>
      <x:c r="B248" s="7"/>
      <x:c r="C248" s="13"/>
      <x:c r="D248" s="14"/>
      <x:c r="E248" s="8"/>
      <x:c r="F248" s="13"/>
      <x:c r="G248" s="7"/>
      <x:c r="H248" s="7"/>
      <x:c r="I248" s="7"/>
      <x:c r="J248" s="13"/>
      <x:c r="K248" s="16"/>
      <x:c r="L248" s="10"/>
      <x:c r="M248" s="10"/>
      <x:c r="N248" s="10"/>
      <x:c r="O248" s="10"/>
      <x:c r="P248" s="9"/>
      <x:c r="Q248" s="9"/>
      <x:c r="R248" s="7"/>
      <x:c r="S248" s="7"/>
      <x:c r="T248" s="7"/>
      <x:c r="U248" s="7"/>
      <x:c r="V248" s="7"/>
      <x:c r="W248" s="9"/>
      <x:c r="X248" s="7"/>
      <x:c r="Y248" s="9"/>
      <x:c r="Z248" s="8"/>
      <x:c r="AA248" s="8"/>
      <x:c r="AB248" s="7"/>
      <x:c r="AC248" s="7"/>
      <x:c r="AD248" s="13"/>
      <x:c r="AE248" s="7"/>
      <x:c r="AF248" s="7"/>
      <x:c r="AG248" s="7"/>
      <x:c r="AH248" s="7"/>
      <x:c r="AI248" s="7"/>
      <x:c r="AJ248" s="9" t="str">
        <x:f>IF($A248="","",SUMIF(Sales_Items!$A$2:$A$501,$A248,Sales_Items!$O$2:$O$501))</x:f>
      </x:c>
      <x:c r="AK248" s="9" t="str">
        <x:f>IF($A248="","",$AJ248*$L248/100)</x:f>
      </x:c>
      <x:c r="AL248" s="9" t="str">
        <x:f>IF($A248="","",MAX(0,$AJ248-$AK248))</x:f>
      </x:c>
      <x:c r="AM248" s="9" t="str">
        <x:f>IF($A248="","",MAX(0,$AL248*$M248/100))</x:f>
      </x:c>
      <x:c r="AN248" s="9" t="str">
        <x:f>IF($A248="","",MAX(0,$AL248*$N248/100))</x:f>
      </x:c>
      <x:c r="AO248" s="9" t="str">
        <x:f>IF($A248="","",MAX(0,$AL248*$O248/100))</x:f>
      </x:c>
      <x:c r="AP248" s="9" t="str">
        <x:f>IF($A248="","",MAX(0,$AL248+$AM248+$P248+$W248-$AN248-$AO248-$Q248))</x:f>
      </x:c>
    </x:row>
    <x:row r="249">
      <x:c r="A249" s="13"/>
      <x:c r="B249" s="7"/>
      <x:c r="C249" s="13"/>
      <x:c r="D249" s="14"/>
      <x:c r="E249" s="8"/>
      <x:c r="F249" s="13"/>
      <x:c r="G249" s="7"/>
      <x:c r="H249" s="7"/>
      <x:c r="I249" s="7"/>
      <x:c r="J249" s="13"/>
      <x:c r="K249" s="16"/>
      <x:c r="L249" s="10"/>
      <x:c r="M249" s="10"/>
      <x:c r="N249" s="10"/>
      <x:c r="O249" s="10"/>
      <x:c r="P249" s="9"/>
      <x:c r="Q249" s="9"/>
      <x:c r="R249" s="7"/>
      <x:c r="S249" s="7"/>
      <x:c r="T249" s="7"/>
      <x:c r="U249" s="7"/>
      <x:c r="V249" s="7"/>
      <x:c r="W249" s="9"/>
      <x:c r="X249" s="7"/>
      <x:c r="Y249" s="9"/>
      <x:c r="Z249" s="8"/>
      <x:c r="AA249" s="8"/>
      <x:c r="AB249" s="7"/>
      <x:c r="AC249" s="7"/>
      <x:c r="AD249" s="13"/>
      <x:c r="AE249" s="7"/>
      <x:c r="AF249" s="7"/>
      <x:c r="AG249" s="7"/>
      <x:c r="AH249" s="7"/>
      <x:c r="AI249" s="7"/>
      <x:c r="AJ249" s="9" t="str">
        <x:f>IF($A249="","",SUMIF(Sales_Items!$A$2:$A$501,$A249,Sales_Items!$O$2:$O$501))</x:f>
      </x:c>
      <x:c r="AK249" s="9" t="str">
        <x:f>IF($A249="","",$AJ249*$L249/100)</x:f>
      </x:c>
      <x:c r="AL249" s="9" t="str">
        <x:f>IF($A249="","",MAX(0,$AJ249-$AK249))</x:f>
      </x:c>
      <x:c r="AM249" s="9" t="str">
        <x:f>IF($A249="","",MAX(0,$AL249*$M249/100))</x:f>
      </x:c>
      <x:c r="AN249" s="9" t="str">
        <x:f>IF($A249="","",MAX(0,$AL249*$N249/100))</x:f>
      </x:c>
      <x:c r="AO249" s="9" t="str">
        <x:f>IF($A249="","",MAX(0,$AL249*$O249/100))</x:f>
      </x:c>
      <x:c r="AP249" s="9" t="str">
        <x:f>IF($A249="","",MAX(0,$AL249+$AM249+$P249+$W249-$AN249-$AO249-$Q249))</x:f>
      </x:c>
    </x:row>
    <x:row r="250">
      <x:c r="A250" s="13"/>
      <x:c r="B250" s="7"/>
      <x:c r="C250" s="13"/>
      <x:c r="D250" s="14"/>
      <x:c r="E250" s="8"/>
      <x:c r="F250" s="13"/>
      <x:c r="G250" s="7"/>
      <x:c r="H250" s="7"/>
      <x:c r="I250" s="7"/>
      <x:c r="J250" s="13"/>
      <x:c r="K250" s="16"/>
      <x:c r="L250" s="10"/>
      <x:c r="M250" s="10"/>
      <x:c r="N250" s="10"/>
      <x:c r="O250" s="10"/>
      <x:c r="P250" s="9"/>
      <x:c r="Q250" s="9"/>
      <x:c r="R250" s="7"/>
      <x:c r="S250" s="7"/>
      <x:c r="T250" s="7"/>
      <x:c r="U250" s="7"/>
      <x:c r="V250" s="7"/>
      <x:c r="W250" s="9"/>
      <x:c r="X250" s="7"/>
      <x:c r="Y250" s="9"/>
      <x:c r="Z250" s="8"/>
      <x:c r="AA250" s="8"/>
      <x:c r="AB250" s="7"/>
      <x:c r="AC250" s="7"/>
      <x:c r="AD250" s="13"/>
      <x:c r="AE250" s="7"/>
      <x:c r="AF250" s="7"/>
      <x:c r="AG250" s="7"/>
      <x:c r="AH250" s="7"/>
      <x:c r="AI250" s="7"/>
      <x:c r="AJ250" s="9" t="str">
        <x:f>IF($A250="","",SUMIF(Sales_Items!$A$2:$A$501,$A250,Sales_Items!$O$2:$O$501))</x:f>
      </x:c>
      <x:c r="AK250" s="9" t="str">
        <x:f>IF($A250="","",$AJ250*$L250/100)</x:f>
      </x:c>
      <x:c r="AL250" s="9" t="str">
        <x:f>IF($A250="","",MAX(0,$AJ250-$AK250))</x:f>
      </x:c>
      <x:c r="AM250" s="9" t="str">
        <x:f>IF($A250="","",MAX(0,$AL250*$M250/100))</x:f>
      </x:c>
      <x:c r="AN250" s="9" t="str">
        <x:f>IF($A250="","",MAX(0,$AL250*$N250/100))</x:f>
      </x:c>
      <x:c r="AO250" s="9" t="str">
        <x:f>IF($A250="","",MAX(0,$AL250*$O250/100))</x:f>
      </x:c>
      <x:c r="AP250" s="9" t="str">
        <x:f>IF($A250="","",MAX(0,$AL250+$AM250+$P250+$W250-$AN250-$AO250-$Q250))</x:f>
      </x:c>
    </x:row>
    <x:row r="251">
      <x:c r="A251" s="13"/>
      <x:c r="B251" s="7"/>
      <x:c r="C251" s="13"/>
      <x:c r="D251" s="14"/>
      <x:c r="E251" s="8"/>
      <x:c r="F251" s="13"/>
      <x:c r="G251" s="7"/>
      <x:c r="H251" s="7"/>
      <x:c r="I251" s="7"/>
      <x:c r="J251" s="13"/>
      <x:c r="K251" s="16"/>
      <x:c r="L251" s="10"/>
      <x:c r="M251" s="10"/>
      <x:c r="N251" s="10"/>
      <x:c r="O251" s="10"/>
      <x:c r="P251" s="9"/>
      <x:c r="Q251" s="9"/>
      <x:c r="R251" s="7"/>
      <x:c r="S251" s="7"/>
      <x:c r="T251" s="7"/>
      <x:c r="U251" s="7"/>
      <x:c r="V251" s="7"/>
      <x:c r="W251" s="9"/>
      <x:c r="X251" s="7"/>
      <x:c r="Y251" s="9"/>
      <x:c r="Z251" s="8"/>
      <x:c r="AA251" s="8"/>
      <x:c r="AB251" s="7"/>
      <x:c r="AC251" s="7"/>
      <x:c r="AD251" s="13"/>
      <x:c r="AE251" s="7"/>
      <x:c r="AF251" s="7"/>
      <x:c r="AG251" s="7"/>
      <x:c r="AH251" s="7"/>
      <x:c r="AI251" s="7"/>
      <x:c r="AJ251" s="9" t="str">
        <x:f>IF($A251="","",SUMIF(Sales_Items!$A$2:$A$501,$A251,Sales_Items!$O$2:$O$501))</x:f>
      </x:c>
      <x:c r="AK251" s="9" t="str">
        <x:f>IF($A251="","",$AJ251*$L251/100)</x:f>
      </x:c>
      <x:c r="AL251" s="9" t="str">
        <x:f>IF($A251="","",MAX(0,$AJ251-$AK251))</x:f>
      </x:c>
      <x:c r="AM251" s="9" t="str">
        <x:f>IF($A251="","",MAX(0,$AL251*$M251/100))</x:f>
      </x:c>
      <x:c r="AN251" s="9" t="str">
        <x:f>IF($A251="","",MAX(0,$AL251*$N251/100))</x:f>
      </x:c>
      <x:c r="AO251" s="9" t="str">
        <x:f>IF($A251="","",MAX(0,$AL251*$O251/100))</x:f>
      </x:c>
      <x:c r="AP251" s="9" t="str">
        <x:f>IF($A251="","",MAX(0,$AL251+$AM251+$P251+$W251-$AN251-$AO251-$Q251))</x:f>
      </x:c>
    </x:row>
    <x:row r="252">
      <x:c r="A252" s="13"/>
      <x:c r="B252" s="7"/>
      <x:c r="C252" s="13"/>
      <x:c r="D252" s="14"/>
      <x:c r="E252" s="8"/>
      <x:c r="F252" s="13"/>
      <x:c r="G252" s="7"/>
      <x:c r="H252" s="7"/>
      <x:c r="I252" s="7"/>
      <x:c r="J252" s="13"/>
      <x:c r="K252" s="16"/>
      <x:c r="L252" s="10"/>
      <x:c r="M252" s="10"/>
      <x:c r="N252" s="10"/>
      <x:c r="O252" s="10"/>
      <x:c r="P252" s="9"/>
      <x:c r="Q252" s="9"/>
      <x:c r="R252" s="7"/>
      <x:c r="S252" s="7"/>
      <x:c r="T252" s="7"/>
      <x:c r="U252" s="7"/>
      <x:c r="V252" s="7"/>
      <x:c r="W252" s="9"/>
      <x:c r="X252" s="7"/>
      <x:c r="Y252" s="9"/>
      <x:c r="Z252" s="8"/>
      <x:c r="AA252" s="8"/>
      <x:c r="AB252" s="7"/>
      <x:c r="AC252" s="7"/>
      <x:c r="AD252" s="13"/>
      <x:c r="AE252" s="7"/>
      <x:c r="AF252" s="7"/>
      <x:c r="AG252" s="7"/>
      <x:c r="AH252" s="7"/>
      <x:c r="AI252" s="7"/>
      <x:c r="AJ252" s="9" t="str">
        <x:f>IF($A252="","",SUMIF(Sales_Items!$A$2:$A$501,$A252,Sales_Items!$O$2:$O$501))</x:f>
      </x:c>
      <x:c r="AK252" s="9" t="str">
        <x:f>IF($A252="","",$AJ252*$L252/100)</x:f>
      </x:c>
      <x:c r="AL252" s="9" t="str">
        <x:f>IF($A252="","",MAX(0,$AJ252-$AK252))</x:f>
      </x:c>
      <x:c r="AM252" s="9" t="str">
        <x:f>IF($A252="","",MAX(0,$AL252*$M252/100))</x:f>
      </x:c>
      <x:c r="AN252" s="9" t="str">
        <x:f>IF($A252="","",MAX(0,$AL252*$N252/100))</x:f>
      </x:c>
      <x:c r="AO252" s="9" t="str">
        <x:f>IF($A252="","",MAX(0,$AL252*$O252/100))</x:f>
      </x:c>
      <x:c r="AP252" s="9" t="str">
        <x:f>IF($A252="","",MAX(0,$AL252+$AM252+$P252+$W252-$AN252-$AO252-$Q252))</x:f>
      </x:c>
    </x:row>
    <x:row r="253">
      <x:c r="A253" s="13"/>
      <x:c r="B253" s="7"/>
      <x:c r="C253" s="13"/>
      <x:c r="D253" s="14"/>
      <x:c r="E253" s="8"/>
      <x:c r="F253" s="13"/>
      <x:c r="G253" s="7"/>
      <x:c r="H253" s="7"/>
      <x:c r="I253" s="7"/>
      <x:c r="J253" s="13"/>
      <x:c r="K253" s="16"/>
      <x:c r="L253" s="10"/>
      <x:c r="M253" s="10"/>
      <x:c r="N253" s="10"/>
      <x:c r="O253" s="10"/>
      <x:c r="P253" s="9"/>
      <x:c r="Q253" s="9"/>
      <x:c r="R253" s="7"/>
      <x:c r="S253" s="7"/>
      <x:c r="T253" s="7"/>
      <x:c r="U253" s="7"/>
      <x:c r="V253" s="7"/>
      <x:c r="W253" s="9"/>
      <x:c r="X253" s="7"/>
      <x:c r="Y253" s="9"/>
      <x:c r="Z253" s="8"/>
      <x:c r="AA253" s="8"/>
      <x:c r="AB253" s="7"/>
      <x:c r="AC253" s="7"/>
      <x:c r="AD253" s="13"/>
      <x:c r="AE253" s="7"/>
      <x:c r="AF253" s="7"/>
      <x:c r="AG253" s="7"/>
      <x:c r="AH253" s="7"/>
      <x:c r="AI253" s="7"/>
      <x:c r="AJ253" s="9" t="str">
        <x:f>IF($A253="","",SUMIF(Sales_Items!$A$2:$A$501,$A253,Sales_Items!$O$2:$O$501))</x:f>
      </x:c>
      <x:c r="AK253" s="9" t="str">
        <x:f>IF($A253="","",$AJ253*$L253/100)</x:f>
      </x:c>
      <x:c r="AL253" s="9" t="str">
        <x:f>IF($A253="","",MAX(0,$AJ253-$AK253))</x:f>
      </x:c>
      <x:c r="AM253" s="9" t="str">
        <x:f>IF($A253="","",MAX(0,$AL253*$M253/100))</x:f>
      </x:c>
      <x:c r="AN253" s="9" t="str">
        <x:f>IF($A253="","",MAX(0,$AL253*$N253/100))</x:f>
      </x:c>
      <x:c r="AO253" s="9" t="str">
        <x:f>IF($A253="","",MAX(0,$AL253*$O253/100))</x:f>
      </x:c>
      <x:c r="AP253" s="9" t="str">
        <x:f>IF($A253="","",MAX(0,$AL253+$AM253+$P253+$W253-$AN253-$AO253-$Q253))</x:f>
      </x:c>
    </x:row>
    <x:row r="254">
      <x:c r="A254" s="13"/>
      <x:c r="B254" s="7"/>
      <x:c r="C254" s="13"/>
      <x:c r="D254" s="14"/>
      <x:c r="E254" s="8"/>
      <x:c r="F254" s="13"/>
      <x:c r="G254" s="7"/>
      <x:c r="H254" s="7"/>
      <x:c r="I254" s="7"/>
      <x:c r="J254" s="13"/>
      <x:c r="K254" s="16"/>
      <x:c r="L254" s="10"/>
      <x:c r="M254" s="10"/>
      <x:c r="N254" s="10"/>
      <x:c r="O254" s="10"/>
      <x:c r="P254" s="9"/>
      <x:c r="Q254" s="9"/>
      <x:c r="R254" s="7"/>
      <x:c r="S254" s="7"/>
      <x:c r="T254" s="7"/>
      <x:c r="U254" s="7"/>
      <x:c r="V254" s="7"/>
      <x:c r="W254" s="9"/>
      <x:c r="X254" s="7"/>
      <x:c r="Y254" s="9"/>
      <x:c r="Z254" s="8"/>
      <x:c r="AA254" s="8"/>
      <x:c r="AB254" s="7"/>
      <x:c r="AC254" s="7"/>
      <x:c r="AD254" s="13"/>
      <x:c r="AE254" s="7"/>
      <x:c r="AF254" s="7"/>
      <x:c r="AG254" s="7"/>
      <x:c r="AH254" s="7"/>
      <x:c r="AI254" s="7"/>
      <x:c r="AJ254" s="9" t="str">
        <x:f>IF($A254="","",SUMIF(Sales_Items!$A$2:$A$501,$A254,Sales_Items!$O$2:$O$501))</x:f>
      </x:c>
      <x:c r="AK254" s="9" t="str">
        <x:f>IF($A254="","",$AJ254*$L254/100)</x:f>
      </x:c>
      <x:c r="AL254" s="9" t="str">
        <x:f>IF($A254="","",MAX(0,$AJ254-$AK254))</x:f>
      </x:c>
      <x:c r="AM254" s="9" t="str">
        <x:f>IF($A254="","",MAX(0,$AL254*$M254/100))</x:f>
      </x:c>
      <x:c r="AN254" s="9" t="str">
        <x:f>IF($A254="","",MAX(0,$AL254*$N254/100))</x:f>
      </x:c>
      <x:c r="AO254" s="9" t="str">
        <x:f>IF($A254="","",MAX(0,$AL254*$O254/100))</x:f>
      </x:c>
      <x:c r="AP254" s="9" t="str">
        <x:f>IF($A254="","",MAX(0,$AL254+$AM254+$P254+$W254-$AN254-$AO254-$Q254))</x:f>
      </x:c>
    </x:row>
    <x:row r="255">
      <x:c r="A255" s="13"/>
      <x:c r="B255" s="7"/>
      <x:c r="C255" s="13"/>
      <x:c r="D255" s="14"/>
      <x:c r="E255" s="8"/>
      <x:c r="F255" s="13"/>
      <x:c r="G255" s="7"/>
      <x:c r="H255" s="7"/>
      <x:c r="I255" s="7"/>
      <x:c r="J255" s="13"/>
      <x:c r="K255" s="16"/>
      <x:c r="L255" s="10"/>
      <x:c r="M255" s="10"/>
      <x:c r="N255" s="10"/>
      <x:c r="O255" s="10"/>
      <x:c r="P255" s="9"/>
      <x:c r="Q255" s="9"/>
      <x:c r="R255" s="7"/>
      <x:c r="S255" s="7"/>
      <x:c r="T255" s="7"/>
      <x:c r="U255" s="7"/>
      <x:c r="V255" s="7"/>
      <x:c r="W255" s="9"/>
      <x:c r="X255" s="7"/>
      <x:c r="Y255" s="9"/>
      <x:c r="Z255" s="8"/>
      <x:c r="AA255" s="8"/>
      <x:c r="AB255" s="7"/>
      <x:c r="AC255" s="7"/>
      <x:c r="AD255" s="13"/>
      <x:c r="AE255" s="7"/>
      <x:c r="AF255" s="7"/>
      <x:c r="AG255" s="7"/>
      <x:c r="AH255" s="7"/>
      <x:c r="AI255" s="7"/>
      <x:c r="AJ255" s="9" t="str">
        <x:f>IF($A255="","",SUMIF(Sales_Items!$A$2:$A$501,$A255,Sales_Items!$O$2:$O$501))</x:f>
      </x:c>
      <x:c r="AK255" s="9" t="str">
        <x:f>IF($A255="","",$AJ255*$L255/100)</x:f>
      </x:c>
      <x:c r="AL255" s="9" t="str">
        <x:f>IF($A255="","",MAX(0,$AJ255-$AK255))</x:f>
      </x:c>
      <x:c r="AM255" s="9" t="str">
        <x:f>IF($A255="","",MAX(0,$AL255*$M255/100))</x:f>
      </x:c>
      <x:c r="AN255" s="9" t="str">
        <x:f>IF($A255="","",MAX(0,$AL255*$N255/100))</x:f>
      </x:c>
      <x:c r="AO255" s="9" t="str">
        <x:f>IF($A255="","",MAX(0,$AL255*$O255/100))</x:f>
      </x:c>
      <x:c r="AP255" s="9" t="str">
        <x:f>IF($A255="","",MAX(0,$AL255+$AM255+$P255+$W255-$AN255-$AO255-$Q255))</x:f>
      </x:c>
    </x:row>
    <x:row r="256">
      <x:c r="A256" s="13"/>
      <x:c r="B256" s="7"/>
      <x:c r="C256" s="13"/>
      <x:c r="D256" s="14"/>
      <x:c r="E256" s="8"/>
      <x:c r="F256" s="13"/>
      <x:c r="G256" s="7"/>
      <x:c r="H256" s="7"/>
      <x:c r="I256" s="7"/>
      <x:c r="J256" s="13"/>
      <x:c r="K256" s="16"/>
      <x:c r="L256" s="10"/>
      <x:c r="M256" s="10"/>
      <x:c r="N256" s="10"/>
      <x:c r="O256" s="10"/>
      <x:c r="P256" s="9"/>
      <x:c r="Q256" s="9"/>
      <x:c r="R256" s="7"/>
      <x:c r="S256" s="7"/>
      <x:c r="T256" s="7"/>
      <x:c r="U256" s="7"/>
      <x:c r="V256" s="7"/>
      <x:c r="W256" s="9"/>
      <x:c r="X256" s="7"/>
      <x:c r="Y256" s="9"/>
      <x:c r="Z256" s="8"/>
      <x:c r="AA256" s="8"/>
      <x:c r="AB256" s="7"/>
      <x:c r="AC256" s="7"/>
      <x:c r="AD256" s="13"/>
      <x:c r="AE256" s="7"/>
      <x:c r="AF256" s="7"/>
      <x:c r="AG256" s="7"/>
      <x:c r="AH256" s="7"/>
      <x:c r="AI256" s="7"/>
      <x:c r="AJ256" s="9" t="str">
        <x:f>IF($A256="","",SUMIF(Sales_Items!$A$2:$A$501,$A256,Sales_Items!$O$2:$O$501))</x:f>
      </x:c>
      <x:c r="AK256" s="9" t="str">
        <x:f>IF($A256="","",$AJ256*$L256/100)</x:f>
      </x:c>
      <x:c r="AL256" s="9" t="str">
        <x:f>IF($A256="","",MAX(0,$AJ256-$AK256))</x:f>
      </x:c>
      <x:c r="AM256" s="9" t="str">
        <x:f>IF($A256="","",MAX(0,$AL256*$M256/100))</x:f>
      </x:c>
      <x:c r="AN256" s="9" t="str">
        <x:f>IF($A256="","",MAX(0,$AL256*$N256/100))</x:f>
      </x:c>
      <x:c r="AO256" s="9" t="str">
        <x:f>IF($A256="","",MAX(0,$AL256*$O256/100))</x:f>
      </x:c>
      <x:c r="AP256" s="9" t="str">
        <x:f>IF($A256="","",MAX(0,$AL256+$AM256+$P256+$W256-$AN256-$AO256-$Q256))</x:f>
      </x:c>
    </x:row>
    <x:row r="257">
      <x:c r="A257" s="13"/>
      <x:c r="B257" s="7"/>
      <x:c r="C257" s="13"/>
      <x:c r="D257" s="14"/>
      <x:c r="E257" s="8"/>
      <x:c r="F257" s="13"/>
      <x:c r="G257" s="7"/>
      <x:c r="H257" s="7"/>
      <x:c r="I257" s="7"/>
      <x:c r="J257" s="13"/>
      <x:c r="K257" s="16"/>
      <x:c r="L257" s="10"/>
      <x:c r="M257" s="10"/>
      <x:c r="N257" s="10"/>
      <x:c r="O257" s="10"/>
      <x:c r="P257" s="9"/>
      <x:c r="Q257" s="9"/>
      <x:c r="R257" s="7"/>
      <x:c r="S257" s="7"/>
      <x:c r="T257" s="7"/>
      <x:c r="U257" s="7"/>
      <x:c r="V257" s="7"/>
      <x:c r="W257" s="9"/>
      <x:c r="X257" s="7"/>
      <x:c r="Y257" s="9"/>
      <x:c r="Z257" s="8"/>
      <x:c r="AA257" s="8"/>
      <x:c r="AB257" s="7"/>
      <x:c r="AC257" s="7"/>
      <x:c r="AD257" s="13"/>
      <x:c r="AE257" s="7"/>
      <x:c r="AF257" s="7"/>
      <x:c r="AG257" s="7"/>
      <x:c r="AH257" s="7"/>
      <x:c r="AI257" s="7"/>
      <x:c r="AJ257" s="9" t="str">
        <x:f>IF($A257="","",SUMIF(Sales_Items!$A$2:$A$501,$A257,Sales_Items!$O$2:$O$501))</x:f>
      </x:c>
      <x:c r="AK257" s="9" t="str">
        <x:f>IF($A257="","",$AJ257*$L257/100)</x:f>
      </x:c>
      <x:c r="AL257" s="9" t="str">
        <x:f>IF($A257="","",MAX(0,$AJ257-$AK257))</x:f>
      </x:c>
      <x:c r="AM257" s="9" t="str">
        <x:f>IF($A257="","",MAX(0,$AL257*$M257/100))</x:f>
      </x:c>
      <x:c r="AN257" s="9" t="str">
        <x:f>IF($A257="","",MAX(0,$AL257*$N257/100))</x:f>
      </x:c>
      <x:c r="AO257" s="9" t="str">
        <x:f>IF($A257="","",MAX(0,$AL257*$O257/100))</x:f>
      </x:c>
      <x:c r="AP257" s="9" t="str">
        <x:f>IF($A257="","",MAX(0,$AL257+$AM257+$P257+$W257-$AN257-$AO257-$Q257))</x:f>
      </x:c>
    </x:row>
    <x:row r="258">
      <x:c r="A258" s="13"/>
      <x:c r="B258" s="7"/>
      <x:c r="C258" s="13"/>
      <x:c r="D258" s="14"/>
      <x:c r="E258" s="8"/>
      <x:c r="F258" s="13"/>
      <x:c r="G258" s="7"/>
      <x:c r="H258" s="7"/>
      <x:c r="I258" s="7"/>
      <x:c r="J258" s="13"/>
      <x:c r="K258" s="16"/>
      <x:c r="L258" s="10"/>
      <x:c r="M258" s="10"/>
      <x:c r="N258" s="10"/>
      <x:c r="O258" s="10"/>
      <x:c r="P258" s="9"/>
      <x:c r="Q258" s="9"/>
      <x:c r="R258" s="7"/>
      <x:c r="S258" s="7"/>
      <x:c r="T258" s="7"/>
      <x:c r="U258" s="7"/>
      <x:c r="V258" s="7"/>
      <x:c r="W258" s="9"/>
      <x:c r="X258" s="7"/>
      <x:c r="Y258" s="9"/>
      <x:c r="Z258" s="8"/>
      <x:c r="AA258" s="8"/>
      <x:c r="AB258" s="7"/>
      <x:c r="AC258" s="7"/>
      <x:c r="AD258" s="13"/>
      <x:c r="AE258" s="7"/>
      <x:c r="AF258" s="7"/>
      <x:c r="AG258" s="7"/>
      <x:c r="AH258" s="7"/>
      <x:c r="AI258" s="7"/>
      <x:c r="AJ258" s="9" t="str">
        <x:f>IF($A258="","",SUMIF(Sales_Items!$A$2:$A$501,$A258,Sales_Items!$O$2:$O$501))</x:f>
      </x:c>
      <x:c r="AK258" s="9" t="str">
        <x:f>IF($A258="","",$AJ258*$L258/100)</x:f>
      </x:c>
      <x:c r="AL258" s="9" t="str">
        <x:f>IF($A258="","",MAX(0,$AJ258-$AK258))</x:f>
      </x:c>
      <x:c r="AM258" s="9" t="str">
        <x:f>IF($A258="","",MAX(0,$AL258*$M258/100))</x:f>
      </x:c>
      <x:c r="AN258" s="9" t="str">
        <x:f>IF($A258="","",MAX(0,$AL258*$N258/100))</x:f>
      </x:c>
      <x:c r="AO258" s="9" t="str">
        <x:f>IF($A258="","",MAX(0,$AL258*$O258/100))</x:f>
      </x:c>
      <x:c r="AP258" s="9" t="str">
        <x:f>IF($A258="","",MAX(0,$AL258+$AM258+$P258+$W258-$AN258-$AO258-$Q258))</x:f>
      </x:c>
    </x:row>
    <x:row r="259">
      <x:c r="A259" s="13"/>
      <x:c r="B259" s="7"/>
      <x:c r="C259" s="13"/>
      <x:c r="D259" s="14"/>
      <x:c r="E259" s="8"/>
      <x:c r="F259" s="13"/>
      <x:c r="G259" s="7"/>
      <x:c r="H259" s="7"/>
      <x:c r="I259" s="7"/>
      <x:c r="J259" s="13"/>
      <x:c r="K259" s="16"/>
      <x:c r="L259" s="10"/>
      <x:c r="M259" s="10"/>
      <x:c r="N259" s="10"/>
      <x:c r="O259" s="10"/>
      <x:c r="P259" s="9"/>
      <x:c r="Q259" s="9"/>
      <x:c r="R259" s="7"/>
      <x:c r="S259" s="7"/>
      <x:c r="T259" s="7"/>
      <x:c r="U259" s="7"/>
      <x:c r="V259" s="7"/>
      <x:c r="W259" s="9"/>
      <x:c r="X259" s="7"/>
      <x:c r="Y259" s="9"/>
      <x:c r="Z259" s="8"/>
      <x:c r="AA259" s="8"/>
      <x:c r="AB259" s="7"/>
      <x:c r="AC259" s="7"/>
      <x:c r="AD259" s="13"/>
      <x:c r="AE259" s="7"/>
      <x:c r="AF259" s="7"/>
      <x:c r="AG259" s="7"/>
      <x:c r="AH259" s="7"/>
      <x:c r="AI259" s="7"/>
      <x:c r="AJ259" s="9" t="str">
        <x:f>IF($A259="","",SUMIF(Sales_Items!$A$2:$A$501,$A259,Sales_Items!$O$2:$O$501))</x:f>
      </x:c>
      <x:c r="AK259" s="9" t="str">
        <x:f>IF($A259="","",$AJ259*$L259/100)</x:f>
      </x:c>
      <x:c r="AL259" s="9" t="str">
        <x:f>IF($A259="","",MAX(0,$AJ259-$AK259))</x:f>
      </x:c>
      <x:c r="AM259" s="9" t="str">
        <x:f>IF($A259="","",MAX(0,$AL259*$M259/100))</x:f>
      </x:c>
      <x:c r="AN259" s="9" t="str">
        <x:f>IF($A259="","",MAX(0,$AL259*$N259/100))</x:f>
      </x:c>
      <x:c r="AO259" s="9" t="str">
        <x:f>IF($A259="","",MAX(0,$AL259*$O259/100))</x:f>
      </x:c>
      <x:c r="AP259" s="9" t="str">
        <x:f>IF($A259="","",MAX(0,$AL259+$AM259+$P259+$W259-$AN259-$AO259-$Q259))</x:f>
      </x:c>
    </x:row>
    <x:row r="260">
      <x:c r="A260" s="13"/>
      <x:c r="B260" s="7"/>
      <x:c r="C260" s="13"/>
      <x:c r="D260" s="14"/>
      <x:c r="E260" s="8"/>
      <x:c r="F260" s="13"/>
      <x:c r="G260" s="7"/>
      <x:c r="H260" s="7"/>
      <x:c r="I260" s="7"/>
      <x:c r="J260" s="13"/>
      <x:c r="K260" s="16"/>
      <x:c r="L260" s="10"/>
      <x:c r="M260" s="10"/>
      <x:c r="N260" s="10"/>
      <x:c r="O260" s="10"/>
      <x:c r="P260" s="9"/>
      <x:c r="Q260" s="9"/>
      <x:c r="R260" s="7"/>
      <x:c r="S260" s="7"/>
      <x:c r="T260" s="7"/>
      <x:c r="U260" s="7"/>
      <x:c r="V260" s="7"/>
      <x:c r="W260" s="9"/>
      <x:c r="X260" s="7"/>
      <x:c r="Y260" s="9"/>
      <x:c r="Z260" s="8"/>
      <x:c r="AA260" s="8"/>
      <x:c r="AB260" s="7"/>
      <x:c r="AC260" s="7"/>
      <x:c r="AD260" s="13"/>
      <x:c r="AE260" s="7"/>
      <x:c r="AF260" s="7"/>
      <x:c r="AG260" s="7"/>
      <x:c r="AH260" s="7"/>
      <x:c r="AI260" s="7"/>
      <x:c r="AJ260" s="9" t="str">
        <x:f>IF($A260="","",SUMIF(Sales_Items!$A$2:$A$501,$A260,Sales_Items!$O$2:$O$501))</x:f>
      </x:c>
      <x:c r="AK260" s="9" t="str">
        <x:f>IF($A260="","",$AJ260*$L260/100)</x:f>
      </x:c>
      <x:c r="AL260" s="9" t="str">
        <x:f>IF($A260="","",MAX(0,$AJ260-$AK260))</x:f>
      </x:c>
      <x:c r="AM260" s="9" t="str">
        <x:f>IF($A260="","",MAX(0,$AL260*$M260/100))</x:f>
      </x:c>
      <x:c r="AN260" s="9" t="str">
        <x:f>IF($A260="","",MAX(0,$AL260*$N260/100))</x:f>
      </x:c>
      <x:c r="AO260" s="9" t="str">
        <x:f>IF($A260="","",MAX(0,$AL260*$O260/100))</x:f>
      </x:c>
      <x:c r="AP260" s="9" t="str">
        <x:f>IF($A260="","",MAX(0,$AL260+$AM260+$P260+$W260-$AN260-$AO260-$Q260))</x:f>
      </x:c>
    </x:row>
    <x:row r="261">
      <x:c r="A261" s="13"/>
      <x:c r="B261" s="7"/>
      <x:c r="C261" s="13"/>
      <x:c r="D261" s="14"/>
      <x:c r="E261" s="8"/>
      <x:c r="F261" s="13"/>
      <x:c r="G261" s="7"/>
      <x:c r="H261" s="7"/>
      <x:c r="I261" s="7"/>
      <x:c r="J261" s="13"/>
      <x:c r="K261" s="16"/>
      <x:c r="L261" s="10"/>
      <x:c r="M261" s="10"/>
      <x:c r="N261" s="10"/>
      <x:c r="O261" s="10"/>
      <x:c r="P261" s="9"/>
      <x:c r="Q261" s="9"/>
      <x:c r="R261" s="7"/>
      <x:c r="S261" s="7"/>
      <x:c r="T261" s="7"/>
      <x:c r="U261" s="7"/>
      <x:c r="V261" s="7"/>
      <x:c r="W261" s="9"/>
      <x:c r="X261" s="7"/>
      <x:c r="Y261" s="9"/>
      <x:c r="Z261" s="8"/>
      <x:c r="AA261" s="8"/>
      <x:c r="AB261" s="7"/>
      <x:c r="AC261" s="7"/>
      <x:c r="AD261" s="13"/>
      <x:c r="AE261" s="7"/>
      <x:c r="AF261" s="7"/>
      <x:c r="AG261" s="7"/>
      <x:c r="AH261" s="7"/>
      <x:c r="AI261" s="7"/>
      <x:c r="AJ261" s="9" t="str">
        <x:f>IF($A261="","",SUMIF(Sales_Items!$A$2:$A$501,$A261,Sales_Items!$O$2:$O$501))</x:f>
      </x:c>
      <x:c r="AK261" s="9" t="str">
        <x:f>IF($A261="","",$AJ261*$L261/100)</x:f>
      </x:c>
      <x:c r="AL261" s="9" t="str">
        <x:f>IF($A261="","",MAX(0,$AJ261-$AK261))</x:f>
      </x:c>
      <x:c r="AM261" s="9" t="str">
        <x:f>IF($A261="","",MAX(0,$AL261*$M261/100))</x:f>
      </x:c>
      <x:c r="AN261" s="9" t="str">
        <x:f>IF($A261="","",MAX(0,$AL261*$N261/100))</x:f>
      </x:c>
      <x:c r="AO261" s="9" t="str">
        <x:f>IF($A261="","",MAX(0,$AL261*$O261/100))</x:f>
      </x:c>
      <x:c r="AP261" s="9" t="str">
        <x:f>IF($A261="","",MAX(0,$AL261+$AM261+$P261+$W261-$AN261-$AO261-$Q261))</x:f>
      </x:c>
    </x:row>
    <x:row r="262">
      <x:c r="A262" s="13"/>
      <x:c r="B262" s="7"/>
      <x:c r="C262" s="13"/>
      <x:c r="D262" s="14"/>
      <x:c r="E262" s="8"/>
      <x:c r="F262" s="13"/>
      <x:c r="G262" s="7"/>
      <x:c r="H262" s="7"/>
      <x:c r="I262" s="7"/>
      <x:c r="J262" s="13"/>
      <x:c r="K262" s="16"/>
      <x:c r="L262" s="10"/>
      <x:c r="M262" s="10"/>
      <x:c r="N262" s="10"/>
      <x:c r="O262" s="10"/>
      <x:c r="P262" s="9"/>
      <x:c r="Q262" s="9"/>
      <x:c r="R262" s="7"/>
      <x:c r="S262" s="7"/>
      <x:c r="T262" s="7"/>
      <x:c r="U262" s="7"/>
      <x:c r="V262" s="7"/>
      <x:c r="W262" s="9"/>
      <x:c r="X262" s="7"/>
      <x:c r="Y262" s="9"/>
      <x:c r="Z262" s="8"/>
      <x:c r="AA262" s="8"/>
      <x:c r="AB262" s="7"/>
      <x:c r="AC262" s="7"/>
      <x:c r="AD262" s="13"/>
      <x:c r="AE262" s="7"/>
      <x:c r="AF262" s="7"/>
      <x:c r="AG262" s="7"/>
      <x:c r="AH262" s="7"/>
      <x:c r="AI262" s="7"/>
      <x:c r="AJ262" s="9" t="str">
        <x:f>IF($A262="","",SUMIF(Sales_Items!$A$2:$A$501,$A262,Sales_Items!$O$2:$O$501))</x:f>
      </x:c>
      <x:c r="AK262" s="9" t="str">
        <x:f>IF($A262="","",$AJ262*$L262/100)</x:f>
      </x:c>
      <x:c r="AL262" s="9" t="str">
        <x:f>IF($A262="","",MAX(0,$AJ262-$AK262))</x:f>
      </x:c>
      <x:c r="AM262" s="9" t="str">
        <x:f>IF($A262="","",MAX(0,$AL262*$M262/100))</x:f>
      </x:c>
      <x:c r="AN262" s="9" t="str">
        <x:f>IF($A262="","",MAX(0,$AL262*$N262/100))</x:f>
      </x:c>
      <x:c r="AO262" s="9" t="str">
        <x:f>IF($A262="","",MAX(0,$AL262*$O262/100))</x:f>
      </x:c>
      <x:c r="AP262" s="9" t="str">
        <x:f>IF($A262="","",MAX(0,$AL262+$AM262+$P262+$W262-$AN262-$AO262-$Q262))</x:f>
      </x:c>
    </x:row>
    <x:row r="263">
      <x:c r="A263" s="13"/>
      <x:c r="B263" s="7"/>
      <x:c r="C263" s="13"/>
      <x:c r="D263" s="14"/>
      <x:c r="E263" s="8"/>
      <x:c r="F263" s="13"/>
      <x:c r="G263" s="7"/>
      <x:c r="H263" s="7"/>
      <x:c r="I263" s="7"/>
      <x:c r="J263" s="13"/>
      <x:c r="K263" s="16"/>
      <x:c r="L263" s="10"/>
      <x:c r="M263" s="10"/>
      <x:c r="N263" s="10"/>
      <x:c r="O263" s="10"/>
      <x:c r="P263" s="9"/>
      <x:c r="Q263" s="9"/>
      <x:c r="R263" s="7"/>
      <x:c r="S263" s="7"/>
      <x:c r="T263" s="7"/>
      <x:c r="U263" s="7"/>
      <x:c r="V263" s="7"/>
      <x:c r="W263" s="9"/>
      <x:c r="X263" s="7"/>
      <x:c r="Y263" s="9"/>
      <x:c r="Z263" s="8"/>
      <x:c r="AA263" s="8"/>
      <x:c r="AB263" s="7"/>
      <x:c r="AC263" s="7"/>
      <x:c r="AD263" s="13"/>
      <x:c r="AE263" s="7"/>
      <x:c r="AF263" s="7"/>
      <x:c r="AG263" s="7"/>
      <x:c r="AH263" s="7"/>
      <x:c r="AI263" s="7"/>
      <x:c r="AJ263" s="9" t="str">
        <x:f>IF($A263="","",SUMIF(Sales_Items!$A$2:$A$501,$A263,Sales_Items!$O$2:$O$501))</x:f>
      </x:c>
      <x:c r="AK263" s="9" t="str">
        <x:f>IF($A263="","",$AJ263*$L263/100)</x:f>
      </x:c>
      <x:c r="AL263" s="9" t="str">
        <x:f>IF($A263="","",MAX(0,$AJ263-$AK263))</x:f>
      </x:c>
      <x:c r="AM263" s="9" t="str">
        <x:f>IF($A263="","",MAX(0,$AL263*$M263/100))</x:f>
      </x:c>
      <x:c r="AN263" s="9" t="str">
        <x:f>IF($A263="","",MAX(0,$AL263*$N263/100))</x:f>
      </x:c>
      <x:c r="AO263" s="9" t="str">
        <x:f>IF($A263="","",MAX(0,$AL263*$O263/100))</x:f>
      </x:c>
      <x:c r="AP263" s="9" t="str">
        <x:f>IF($A263="","",MAX(0,$AL263+$AM263+$P263+$W263-$AN263-$AO263-$Q263))</x:f>
      </x:c>
    </x:row>
    <x:row r="264">
      <x:c r="A264" s="13"/>
      <x:c r="B264" s="7"/>
      <x:c r="C264" s="13"/>
      <x:c r="D264" s="14"/>
      <x:c r="E264" s="8"/>
      <x:c r="F264" s="13"/>
      <x:c r="G264" s="7"/>
      <x:c r="H264" s="7"/>
      <x:c r="I264" s="7"/>
      <x:c r="J264" s="13"/>
      <x:c r="K264" s="16"/>
      <x:c r="L264" s="10"/>
      <x:c r="M264" s="10"/>
      <x:c r="N264" s="10"/>
      <x:c r="O264" s="10"/>
      <x:c r="P264" s="9"/>
      <x:c r="Q264" s="9"/>
      <x:c r="R264" s="7"/>
      <x:c r="S264" s="7"/>
      <x:c r="T264" s="7"/>
      <x:c r="U264" s="7"/>
      <x:c r="V264" s="7"/>
      <x:c r="W264" s="9"/>
      <x:c r="X264" s="7"/>
      <x:c r="Y264" s="9"/>
      <x:c r="Z264" s="8"/>
      <x:c r="AA264" s="8"/>
      <x:c r="AB264" s="7"/>
      <x:c r="AC264" s="7"/>
      <x:c r="AD264" s="13"/>
      <x:c r="AE264" s="7"/>
      <x:c r="AF264" s="7"/>
      <x:c r="AG264" s="7"/>
      <x:c r="AH264" s="7"/>
      <x:c r="AI264" s="7"/>
      <x:c r="AJ264" s="9" t="str">
        <x:f>IF($A264="","",SUMIF(Sales_Items!$A$2:$A$501,$A264,Sales_Items!$O$2:$O$501))</x:f>
      </x:c>
      <x:c r="AK264" s="9" t="str">
        <x:f>IF($A264="","",$AJ264*$L264/100)</x:f>
      </x:c>
      <x:c r="AL264" s="9" t="str">
        <x:f>IF($A264="","",MAX(0,$AJ264-$AK264))</x:f>
      </x:c>
      <x:c r="AM264" s="9" t="str">
        <x:f>IF($A264="","",MAX(0,$AL264*$M264/100))</x:f>
      </x:c>
      <x:c r="AN264" s="9" t="str">
        <x:f>IF($A264="","",MAX(0,$AL264*$N264/100))</x:f>
      </x:c>
      <x:c r="AO264" s="9" t="str">
        <x:f>IF($A264="","",MAX(0,$AL264*$O264/100))</x:f>
      </x:c>
      <x:c r="AP264" s="9" t="str">
        <x:f>IF($A264="","",MAX(0,$AL264+$AM264+$P264+$W264-$AN264-$AO264-$Q264))</x:f>
      </x:c>
    </x:row>
    <x:row r="265">
      <x:c r="A265" s="13"/>
      <x:c r="B265" s="7"/>
      <x:c r="C265" s="13"/>
      <x:c r="D265" s="14"/>
      <x:c r="E265" s="8"/>
      <x:c r="F265" s="13"/>
      <x:c r="G265" s="7"/>
      <x:c r="H265" s="7"/>
      <x:c r="I265" s="7"/>
      <x:c r="J265" s="13"/>
      <x:c r="K265" s="16"/>
      <x:c r="L265" s="10"/>
      <x:c r="M265" s="10"/>
      <x:c r="N265" s="10"/>
      <x:c r="O265" s="10"/>
      <x:c r="P265" s="9"/>
      <x:c r="Q265" s="9"/>
      <x:c r="R265" s="7"/>
      <x:c r="S265" s="7"/>
      <x:c r="T265" s="7"/>
      <x:c r="U265" s="7"/>
      <x:c r="V265" s="7"/>
      <x:c r="W265" s="9"/>
      <x:c r="X265" s="7"/>
      <x:c r="Y265" s="9"/>
      <x:c r="Z265" s="8"/>
      <x:c r="AA265" s="8"/>
      <x:c r="AB265" s="7"/>
      <x:c r="AC265" s="7"/>
      <x:c r="AD265" s="13"/>
      <x:c r="AE265" s="7"/>
      <x:c r="AF265" s="7"/>
      <x:c r="AG265" s="7"/>
      <x:c r="AH265" s="7"/>
      <x:c r="AI265" s="7"/>
      <x:c r="AJ265" s="9" t="str">
        <x:f>IF($A265="","",SUMIF(Sales_Items!$A$2:$A$501,$A265,Sales_Items!$O$2:$O$501))</x:f>
      </x:c>
      <x:c r="AK265" s="9" t="str">
        <x:f>IF($A265="","",$AJ265*$L265/100)</x:f>
      </x:c>
      <x:c r="AL265" s="9" t="str">
        <x:f>IF($A265="","",MAX(0,$AJ265-$AK265))</x:f>
      </x:c>
      <x:c r="AM265" s="9" t="str">
        <x:f>IF($A265="","",MAX(0,$AL265*$M265/100))</x:f>
      </x:c>
      <x:c r="AN265" s="9" t="str">
        <x:f>IF($A265="","",MAX(0,$AL265*$N265/100))</x:f>
      </x:c>
      <x:c r="AO265" s="9" t="str">
        <x:f>IF($A265="","",MAX(0,$AL265*$O265/100))</x:f>
      </x:c>
      <x:c r="AP265" s="9" t="str">
        <x:f>IF($A265="","",MAX(0,$AL265+$AM265+$P265+$W265-$AN265-$AO265-$Q265))</x:f>
      </x:c>
    </x:row>
    <x:row r="266">
      <x:c r="A266" s="13"/>
      <x:c r="B266" s="7"/>
      <x:c r="C266" s="13"/>
      <x:c r="D266" s="14"/>
      <x:c r="E266" s="8"/>
      <x:c r="F266" s="13"/>
      <x:c r="G266" s="7"/>
      <x:c r="H266" s="7"/>
      <x:c r="I266" s="7"/>
      <x:c r="J266" s="13"/>
      <x:c r="K266" s="16"/>
      <x:c r="L266" s="10"/>
      <x:c r="M266" s="10"/>
      <x:c r="N266" s="10"/>
      <x:c r="O266" s="10"/>
      <x:c r="P266" s="9"/>
      <x:c r="Q266" s="9"/>
      <x:c r="R266" s="7"/>
      <x:c r="S266" s="7"/>
      <x:c r="T266" s="7"/>
      <x:c r="U266" s="7"/>
      <x:c r="V266" s="7"/>
      <x:c r="W266" s="9"/>
      <x:c r="X266" s="7"/>
      <x:c r="Y266" s="9"/>
      <x:c r="Z266" s="8"/>
      <x:c r="AA266" s="8"/>
      <x:c r="AB266" s="7"/>
      <x:c r="AC266" s="7"/>
      <x:c r="AD266" s="13"/>
      <x:c r="AE266" s="7"/>
      <x:c r="AF266" s="7"/>
      <x:c r="AG266" s="7"/>
      <x:c r="AH266" s="7"/>
      <x:c r="AI266" s="7"/>
      <x:c r="AJ266" s="9" t="str">
        <x:f>IF($A266="","",SUMIF(Sales_Items!$A$2:$A$501,$A266,Sales_Items!$O$2:$O$501))</x:f>
      </x:c>
      <x:c r="AK266" s="9" t="str">
        <x:f>IF($A266="","",$AJ266*$L266/100)</x:f>
      </x:c>
      <x:c r="AL266" s="9" t="str">
        <x:f>IF($A266="","",MAX(0,$AJ266-$AK266))</x:f>
      </x:c>
      <x:c r="AM266" s="9" t="str">
        <x:f>IF($A266="","",MAX(0,$AL266*$M266/100))</x:f>
      </x:c>
      <x:c r="AN266" s="9" t="str">
        <x:f>IF($A266="","",MAX(0,$AL266*$N266/100))</x:f>
      </x:c>
      <x:c r="AO266" s="9" t="str">
        <x:f>IF($A266="","",MAX(0,$AL266*$O266/100))</x:f>
      </x:c>
      <x:c r="AP266" s="9" t="str">
        <x:f>IF($A266="","",MAX(0,$AL266+$AM266+$P266+$W266-$AN266-$AO266-$Q266))</x:f>
      </x:c>
    </x:row>
    <x:row r="267">
      <x:c r="A267" s="13"/>
      <x:c r="B267" s="7"/>
      <x:c r="C267" s="13"/>
      <x:c r="D267" s="14"/>
      <x:c r="E267" s="8"/>
      <x:c r="F267" s="13"/>
      <x:c r="G267" s="7"/>
      <x:c r="H267" s="7"/>
      <x:c r="I267" s="7"/>
      <x:c r="J267" s="13"/>
      <x:c r="K267" s="16"/>
      <x:c r="L267" s="10"/>
      <x:c r="M267" s="10"/>
      <x:c r="N267" s="10"/>
      <x:c r="O267" s="10"/>
      <x:c r="P267" s="9"/>
      <x:c r="Q267" s="9"/>
      <x:c r="R267" s="7"/>
      <x:c r="S267" s="7"/>
      <x:c r="T267" s="7"/>
      <x:c r="U267" s="7"/>
      <x:c r="V267" s="7"/>
      <x:c r="W267" s="9"/>
      <x:c r="X267" s="7"/>
      <x:c r="Y267" s="9"/>
      <x:c r="Z267" s="8"/>
      <x:c r="AA267" s="8"/>
      <x:c r="AB267" s="7"/>
      <x:c r="AC267" s="7"/>
      <x:c r="AD267" s="13"/>
      <x:c r="AE267" s="7"/>
      <x:c r="AF267" s="7"/>
      <x:c r="AG267" s="7"/>
      <x:c r="AH267" s="7"/>
      <x:c r="AI267" s="7"/>
      <x:c r="AJ267" s="9" t="str">
        <x:f>IF($A267="","",SUMIF(Sales_Items!$A$2:$A$501,$A267,Sales_Items!$O$2:$O$501))</x:f>
      </x:c>
      <x:c r="AK267" s="9" t="str">
        <x:f>IF($A267="","",$AJ267*$L267/100)</x:f>
      </x:c>
      <x:c r="AL267" s="9" t="str">
        <x:f>IF($A267="","",MAX(0,$AJ267-$AK267))</x:f>
      </x:c>
      <x:c r="AM267" s="9" t="str">
        <x:f>IF($A267="","",MAX(0,$AL267*$M267/100))</x:f>
      </x:c>
      <x:c r="AN267" s="9" t="str">
        <x:f>IF($A267="","",MAX(0,$AL267*$N267/100))</x:f>
      </x:c>
      <x:c r="AO267" s="9" t="str">
        <x:f>IF($A267="","",MAX(0,$AL267*$O267/100))</x:f>
      </x:c>
      <x:c r="AP267" s="9" t="str">
        <x:f>IF($A267="","",MAX(0,$AL267+$AM267+$P267+$W267-$AN267-$AO267-$Q267))</x:f>
      </x:c>
    </x:row>
    <x:row r="268">
      <x:c r="A268" s="13"/>
      <x:c r="B268" s="7"/>
      <x:c r="C268" s="13"/>
      <x:c r="D268" s="14"/>
      <x:c r="E268" s="8"/>
      <x:c r="F268" s="13"/>
      <x:c r="G268" s="7"/>
      <x:c r="H268" s="7"/>
      <x:c r="I268" s="7"/>
      <x:c r="J268" s="13"/>
      <x:c r="K268" s="16"/>
      <x:c r="L268" s="10"/>
      <x:c r="M268" s="10"/>
      <x:c r="N268" s="10"/>
      <x:c r="O268" s="10"/>
      <x:c r="P268" s="9"/>
      <x:c r="Q268" s="9"/>
      <x:c r="R268" s="7"/>
      <x:c r="S268" s="7"/>
      <x:c r="T268" s="7"/>
      <x:c r="U268" s="7"/>
      <x:c r="V268" s="7"/>
      <x:c r="W268" s="9"/>
      <x:c r="X268" s="7"/>
      <x:c r="Y268" s="9"/>
      <x:c r="Z268" s="8"/>
      <x:c r="AA268" s="8"/>
      <x:c r="AB268" s="7"/>
      <x:c r="AC268" s="7"/>
      <x:c r="AD268" s="13"/>
      <x:c r="AE268" s="7"/>
      <x:c r="AF268" s="7"/>
      <x:c r="AG268" s="7"/>
      <x:c r="AH268" s="7"/>
      <x:c r="AI268" s="7"/>
      <x:c r="AJ268" s="9" t="str">
        <x:f>IF($A268="","",SUMIF(Sales_Items!$A$2:$A$501,$A268,Sales_Items!$O$2:$O$501))</x:f>
      </x:c>
      <x:c r="AK268" s="9" t="str">
        <x:f>IF($A268="","",$AJ268*$L268/100)</x:f>
      </x:c>
      <x:c r="AL268" s="9" t="str">
        <x:f>IF($A268="","",MAX(0,$AJ268-$AK268))</x:f>
      </x:c>
      <x:c r="AM268" s="9" t="str">
        <x:f>IF($A268="","",MAX(0,$AL268*$M268/100))</x:f>
      </x:c>
      <x:c r="AN268" s="9" t="str">
        <x:f>IF($A268="","",MAX(0,$AL268*$N268/100))</x:f>
      </x:c>
      <x:c r="AO268" s="9" t="str">
        <x:f>IF($A268="","",MAX(0,$AL268*$O268/100))</x:f>
      </x:c>
      <x:c r="AP268" s="9" t="str">
        <x:f>IF($A268="","",MAX(0,$AL268+$AM268+$P268+$W268-$AN268-$AO268-$Q268))</x:f>
      </x:c>
    </x:row>
    <x:row r="269">
      <x:c r="A269" s="13"/>
      <x:c r="B269" s="7"/>
      <x:c r="C269" s="13"/>
      <x:c r="D269" s="14"/>
      <x:c r="E269" s="8"/>
      <x:c r="F269" s="13"/>
      <x:c r="G269" s="7"/>
      <x:c r="H269" s="7"/>
      <x:c r="I269" s="7"/>
      <x:c r="J269" s="13"/>
      <x:c r="K269" s="16"/>
      <x:c r="L269" s="10"/>
      <x:c r="M269" s="10"/>
      <x:c r="N269" s="10"/>
      <x:c r="O269" s="10"/>
      <x:c r="P269" s="9"/>
      <x:c r="Q269" s="9"/>
      <x:c r="R269" s="7"/>
      <x:c r="S269" s="7"/>
      <x:c r="T269" s="7"/>
      <x:c r="U269" s="7"/>
      <x:c r="V269" s="7"/>
      <x:c r="W269" s="9"/>
      <x:c r="X269" s="7"/>
      <x:c r="Y269" s="9"/>
      <x:c r="Z269" s="8"/>
      <x:c r="AA269" s="8"/>
      <x:c r="AB269" s="7"/>
      <x:c r="AC269" s="7"/>
      <x:c r="AD269" s="13"/>
      <x:c r="AE269" s="7"/>
      <x:c r="AF269" s="7"/>
      <x:c r="AG269" s="7"/>
      <x:c r="AH269" s="7"/>
      <x:c r="AI269" s="7"/>
      <x:c r="AJ269" s="9" t="str">
        <x:f>IF($A269="","",SUMIF(Sales_Items!$A$2:$A$501,$A269,Sales_Items!$O$2:$O$501))</x:f>
      </x:c>
      <x:c r="AK269" s="9" t="str">
        <x:f>IF($A269="","",$AJ269*$L269/100)</x:f>
      </x:c>
      <x:c r="AL269" s="9" t="str">
        <x:f>IF($A269="","",MAX(0,$AJ269-$AK269))</x:f>
      </x:c>
      <x:c r="AM269" s="9" t="str">
        <x:f>IF($A269="","",MAX(0,$AL269*$M269/100))</x:f>
      </x:c>
      <x:c r="AN269" s="9" t="str">
        <x:f>IF($A269="","",MAX(0,$AL269*$N269/100))</x:f>
      </x:c>
      <x:c r="AO269" s="9" t="str">
        <x:f>IF($A269="","",MAX(0,$AL269*$O269/100))</x:f>
      </x:c>
      <x:c r="AP269" s="9" t="str">
        <x:f>IF($A269="","",MAX(0,$AL269+$AM269+$P269+$W269-$AN269-$AO269-$Q269))</x:f>
      </x:c>
    </x:row>
    <x:row r="270">
      <x:c r="A270" s="13"/>
      <x:c r="B270" s="7"/>
      <x:c r="C270" s="13"/>
      <x:c r="D270" s="14"/>
      <x:c r="E270" s="8"/>
      <x:c r="F270" s="13"/>
      <x:c r="G270" s="7"/>
      <x:c r="H270" s="7"/>
      <x:c r="I270" s="7"/>
      <x:c r="J270" s="13"/>
      <x:c r="K270" s="16"/>
      <x:c r="L270" s="10"/>
      <x:c r="M270" s="10"/>
      <x:c r="N270" s="10"/>
      <x:c r="O270" s="10"/>
      <x:c r="P270" s="9"/>
      <x:c r="Q270" s="9"/>
      <x:c r="R270" s="7"/>
      <x:c r="S270" s="7"/>
      <x:c r="T270" s="7"/>
      <x:c r="U270" s="7"/>
      <x:c r="V270" s="7"/>
      <x:c r="W270" s="9"/>
      <x:c r="X270" s="7"/>
      <x:c r="Y270" s="9"/>
      <x:c r="Z270" s="8"/>
      <x:c r="AA270" s="8"/>
      <x:c r="AB270" s="7"/>
      <x:c r="AC270" s="7"/>
      <x:c r="AD270" s="13"/>
      <x:c r="AE270" s="7"/>
      <x:c r="AF270" s="7"/>
      <x:c r="AG270" s="7"/>
      <x:c r="AH270" s="7"/>
      <x:c r="AI270" s="7"/>
      <x:c r="AJ270" s="9" t="str">
        <x:f>IF($A270="","",SUMIF(Sales_Items!$A$2:$A$501,$A270,Sales_Items!$O$2:$O$501))</x:f>
      </x:c>
      <x:c r="AK270" s="9" t="str">
        <x:f>IF($A270="","",$AJ270*$L270/100)</x:f>
      </x:c>
      <x:c r="AL270" s="9" t="str">
        <x:f>IF($A270="","",MAX(0,$AJ270-$AK270))</x:f>
      </x:c>
      <x:c r="AM270" s="9" t="str">
        <x:f>IF($A270="","",MAX(0,$AL270*$M270/100))</x:f>
      </x:c>
      <x:c r="AN270" s="9" t="str">
        <x:f>IF($A270="","",MAX(0,$AL270*$N270/100))</x:f>
      </x:c>
      <x:c r="AO270" s="9" t="str">
        <x:f>IF($A270="","",MAX(0,$AL270*$O270/100))</x:f>
      </x:c>
      <x:c r="AP270" s="9" t="str">
        <x:f>IF($A270="","",MAX(0,$AL270+$AM270+$P270+$W270-$AN270-$AO270-$Q270))</x:f>
      </x:c>
    </x:row>
    <x:row r="271">
      <x:c r="A271" s="13"/>
      <x:c r="B271" s="7"/>
      <x:c r="C271" s="13"/>
      <x:c r="D271" s="14"/>
      <x:c r="E271" s="8"/>
      <x:c r="F271" s="13"/>
      <x:c r="G271" s="7"/>
      <x:c r="H271" s="7"/>
      <x:c r="I271" s="7"/>
      <x:c r="J271" s="13"/>
      <x:c r="K271" s="16"/>
      <x:c r="L271" s="10"/>
      <x:c r="M271" s="10"/>
      <x:c r="N271" s="10"/>
      <x:c r="O271" s="10"/>
      <x:c r="P271" s="9"/>
      <x:c r="Q271" s="9"/>
      <x:c r="R271" s="7"/>
      <x:c r="S271" s="7"/>
      <x:c r="T271" s="7"/>
      <x:c r="U271" s="7"/>
      <x:c r="V271" s="7"/>
      <x:c r="W271" s="9"/>
      <x:c r="X271" s="7"/>
      <x:c r="Y271" s="9"/>
      <x:c r="Z271" s="8"/>
      <x:c r="AA271" s="8"/>
      <x:c r="AB271" s="7"/>
      <x:c r="AC271" s="7"/>
      <x:c r="AD271" s="13"/>
      <x:c r="AE271" s="7"/>
      <x:c r="AF271" s="7"/>
      <x:c r="AG271" s="7"/>
      <x:c r="AH271" s="7"/>
      <x:c r="AI271" s="7"/>
      <x:c r="AJ271" s="9" t="str">
        <x:f>IF($A271="","",SUMIF(Sales_Items!$A$2:$A$501,$A271,Sales_Items!$O$2:$O$501))</x:f>
      </x:c>
      <x:c r="AK271" s="9" t="str">
        <x:f>IF($A271="","",$AJ271*$L271/100)</x:f>
      </x:c>
      <x:c r="AL271" s="9" t="str">
        <x:f>IF($A271="","",MAX(0,$AJ271-$AK271))</x:f>
      </x:c>
      <x:c r="AM271" s="9" t="str">
        <x:f>IF($A271="","",MAX(0,$AL271*$M271/100))</x:f>
      </x:c>
      <x:c r="AN271" s="9" t="str">
        <x:f>IF($A271="","",MAX(0,$AL271*$N271/100))</x:f>
      </x:c>
      <x:c r="AO271" s="9" t="str">
        <x:f>IF($A271="","",MAX(0,$AL271*$O271/100))</x:f>
      </x:c>
      <x:c r="AP271" s="9" t="str">
        <x:f>IF($A271="","",MAX(0,$AL271+$AM271+$P271+$W271-$AN271-$AO271-$Q271))</x:f>
      </x:c>
    </x:row>
    <x:row r="272">
      <x:c r="A272" s="13"/>
      <x:c r="B272" s="7"/>
      <x:c r="C272" s="13"/>
      <x:c r="D272" s="14"/>
      <x:c r="E272" s="8"/>
      <x:c r="F272" s="13"/>
      <x:c r="G272" s="7"/>
      <x:c r="H272" s="7"/>
      <x:c r="I272" s="7"/>
      <x:c r="J272" s="13"/>
      <x:c r="K272" s="16"/>
      <x:c r="L272" s="10"/>
      <x:c r="M272" s="10"/>
      <x:c r="N272" s="10"/>
      <x:c r="O272" s="10"/>
      <x:c r="P272" s="9"/>
      <x:c r="Q272" s="9"/>
      <x:c r="R272" s="7"/>
      <x:c r="S272" s="7"/>
      <x:c r="T272" s="7"/>
      <x:c r="U272" s="7"/>
      <x:c r="V272" s="7"/>
      <x:c r="W272" s="9"/>
      <x:c r="X272" s="7"/>
      <x:c r="Y272" s="9"/>
      <x:c r="Z272" s="8"/>
      <x:c r="AA272" s="8"/>
      <x:c r="AB272" s="7"/>
      <x:c r="AC272" s="7"/>
      <x:c r="AD272" s="13"/>
      <x:c r="AE272" s="7"/>
      <x:c r="AF272" s="7"/>
      <x:c r="AG272" s="7"/>
      <x:c r="AH272" s="7"/>
      <x:c r="AI272" s="7"/>
      <x:c r="AJ272" s="9" t="str">
        <x:f>IF($A272="","",SUMIF(Sales_Items!$A$2:$A$501,$A272,Sales_Items!$O$2:$O$501))</x:f>
      </x:c>
      <x:c r="AK272" s="9" t="str">
        <x:f>IF($A272="","",$AJ272*$L272/100)</x:f>
      </x:c>
      <x:c r="AL272" s="9" t="str">
        <x:f>IF($A272="","",MAX(0,$AJ272-$AK272))</x:f>
      </x:c>
      <x:c r="AM272" s="9" t="str">
        <x:f>IF($A272="","",MAX(0,$AL272*$M272/100))</x:f>
      </x:c>
      <x:c r="AN272" s="9" t="str">
        <x:f>IF($A272="","",MAX(0,$AL272*$N272/100))</x:f>
      </x:c>
      <x:c r="AO272" s="9" t="str">
        <x:f>IF($A272="","",MAX(0,$AL272*$O272/100))</x:f>
      </x:c>
      <x:c r="AP272" s="9" t="str">
        <x:f>IF($A272="","",MAX(0,$AL272+$AM272+$P272+$W272-$AN272-$AO272-$Q272))</x:f>
      </x:c>
    </x:row>
    <x:row r="273">
      <x:c r="A273" s="13"/>
      <x:c r="B273" s="7"/>
      <x:c r="C273" s="13"/>
      <x:c r="D273" s="14"/>
      <x:c r="E273" s="8"/>
      <x:c r="F273" s="13"/>
      <x:c r="G273" s="7"/>
      <x:c r="H273" s="7"/>
      <x:c r="I273" s="7"/>
      <x:c r="J273" s="13"/>
      <x:c r="K273" s="16"/>
      <x:c r="L273" s="10"/>
      <x:c r="M273" s="10"/>
      <x:c r="N273" s="10"/>
      <x:c r="O273" s="10"/>
      <x:c r="P273" s="9"/>
      <x:c r="Q273" s="9"/>
      <x:c r="R273" s="7"/>
      <x:c r="S273" s="7"/>
      <x:c r="T273" s="7"/>
      <x:c r="U273" s="7"/>
      <x:c r="V273" s="7"/>
      <x:c r="W273" s="9"/>
      <x:c r="X273" s="7"/>
      <x:c r="Y273" s="9"/>
      <x:c r="Z273" s="8"/>
      <x:c r="AA273" s="8"/>
      <x:c r="AB273" s="7"/>
      <x:c r="AC273" s="7"/>
      <x:c r="AD273" s="13"/>
      <x:c r="AE273" s="7"/>
      <x:c r="AF273" s="7"/>
      <x:c r="AG273" s="7"/>
      <x:c r="AH273" s="7"/>
      <x:c r="AI273" s="7"/>
      <x:c r="AJ273" s="9" t="str">
        <x:f>IF($A273="","",SUMIF(Sales_Items!$A$2:$A$501,$A273,Sales_Items!$O$2:$O$501))</x:f>
      </x:c>
      <x:c r="AK273" s="9" t="str">
        <x:f>IF($A273="","",$AJ273*$L273/100)</x:f>
      </x:c>
      <x:c r="AL273" s="9" t="str">
        <x:f>IF($A273="","",MAX(0,$AJ273-$AK273))</x:f>
      </x:c>
      <x:c r="AM273" s="9" t="str">
        <x:f>IF($A273="","",MAX(0,$AL273*$M273/100))</x:f>
      </x:c>
      <x:c r="AN273" s="9" t="str">
        <x:f>IF($A273="","",MAX(0,$AL273*$N273/100))</x:f>
      </x:c>
      <x:c r="AO273" s="9" t="str">
        <x:f>IF($A273="","",MAX(0,$AL273*$O273/100))</x:f>
      </x:c>
      <x:c r="AP273" s="9" t="str">
        <x:f>IF($A273="","",MAX(0,$AL273+$AM273+$P273+$W273-$AN273-$AO273-$Q273))</x:f>
      </x:c>
    </x:row>
    <x:row r="274">
      <x:c r="A274" s="13"/>
      <x:c r="B274" s="7"/>
      <x:c r="C274" s="13"/>
      <x:c r="D274" s="14"/>
      <x:c r="E274" s="8"/>
      <x:c r="F274" s="13"/>
      <x:c r="G274" s="7"/>
      <x:c r="H274" s="7"/>
      <x:c r="I274" s="7"/>
      <x:c r="J274" s="13"/>
      <x:c r="K274" s="16"/>
      <x:c r="L274" s="10"/>
      <x:c r="M274" s="10"/>
      <x:c r="N274" s="10"/>
      <x:c r="O274" s="10"/>
      <x:c r="P274" s="9"/>
      <x:c r="Q274" s="9"/>
      <x:c r="R274" s="7"/>
      <x:c r="S274" s="7"/>
      <x:c r="T274" s="7"/>
      <x:c r="U274" s="7"/>
      <x:c r="V274" s="7"/>
      <x:c r="W274" s="9"/>
      <x:c r="X274" s="7"/>
      <x:c r="Y274" s="9"/>
      <x:c r="Z274" s="8"/>
      <x:c r="AA274" s="8"/>
      <x:c r="AB274" s="7"/>
      <x:c r="AC274" s="7"/>
      <x:c r="AD274" s="13"/>
      <x:c r="AE274" s="7"/>
      <x:c r="AF274" s="7"/>
      <x:c r="AG274" s="7"/>
      <x:c r="AH274" s="7"/>
      <x:c r="AI274" s="7"/>
      <x:c r="AJ274" s="9" t="str">
        <x:f>IF($A274="","",SUMIF(Sales_Items!$A$2:$A$501,$A274,Sales_Items!$O$2:$O$501))</x:f>
      </x:c>
      <x:c r="AK274" s="9" t="str">
        <x:f>IF($A274="","",$AJ274*$L274/100)</x:f>
      </x:c>
      <x:c r="AL274" s="9" t="str">
        <x:f>IF($A274="","",MAX(0,$AJ274-$AK274))</x:f>
      </x:c>
      <x:c r="AM274" s="9" t="str">
        <x:f>IF($A274="","",MAX(0,$AL274*$M274/100))</x:f>
      </x:c>
      <x:c r="AN274" s="9" t="str">
        <x:f>IF($A274="","",MAX(0,$AL274*$N274/100))</x:f>
      </x:c>
      <x:c r="AO274" s="9" t="str">
        <x:f>IF($A274="","",MAX(0,$AL274*$O274/100))</x:f>
      </x:c>
      <x:c r="AP274" s="9" t="str">
        <x:f>IF($A274="","",MAX(0,$AL274+$AM274+$P274+$W274-$AN274-$AO274-$Q274))</x:f>
      </x:c>
    </x:row>
    <x:row r="275">
      <x:c r="A275" s="13"/>
      <x:c r="B275" s="7"/>
      <x:c r="C275" s="13"/>
      <x:c r="D275" s="14"/>
      <x:c r="E275" s="8"/>
      <x:c r="F275" s="13"/>
      <x:c r="G275" s="7"/>
      <x:c r="H275" s="7"/>
      <x:c r="I275" s="7"/>
      <x:c r="J275" s="13"/>
      <x:c r="K275" s="16"/>
      <x:c r="L275" s="10"/>
      <x:c r="M275" s="10"/>
      <x:c r="N275" s="10"/>
      <x:c r="O275" s="10"/>
      <x:c r="P275" s="9"/>
      <x:c r="Q275" s="9"/>
      <x:c r="R275" s="7"/>
      <x:c r="S275" s="7"/>
      <x:c r="T275" s="7"/>
      <x:c r="U275" s="7"/>
      <x:c r="V275" s="7"/>
      <x:c r="W275" s="9"/>
      <x:c r="X275" s="7"/>
      <x:c r="Y275" s="9"/>
      <x:c r="Z275" s="8"/>
      <x:c r="AA275" s="8"/>
      <x:c r="AB275" s="7"/>
      <x:c r="AC275" s="7"/>
      <x:c r="AD275" s="13"/>
      <x:c r="AE275" s="7"/>
      <x:c r="AF275" s="7"/>
      <x:c r="AG275" s="7"/>
      <x:c r="AH275" s="7"/>
      <x:c r="AI275" s="7"/>
      <x:c r="AJ275" s="9" t="str">
        <x:f>IF($A275="","",SUMIF(Sales_Items!$A$2:$A$501,$A275,Sales_Items!$O$2:$O$501))</x:f>
      </x:c>
      <x:c r="AK275" s="9" t="str">
        <x:f>IF($A275="","",$AJ275*$L275/100)</x:f>
      </x:c>
      <x:c r="AL275" s="9" t="str">
        <x:f>IF($A275="","",MAX(0,$AJ275-$AK275))</x:f>
      </x:c>
      <x:c r="AM275" s="9" t="str">
        <x:f>IF($A275="","",MAX(0,$AL275*$M275/100))</x:f>
      </x:c>
      <x:c r="AN275" s="9" t="str">
        <x:f>IF($A275="","",MAX(0,$AL275*$N275/100))</x:f>
      </x:c>
      <x:c r="AO275" s="9" t="str">
        <x:f>IF($A275="","",MAX(0,$AL275*$O275/100))</x:f>
      </x:c>
      <x:c r="AP275" s="9" t="str">
        <x:f>IF($A275="","",MAX(0,$AL275+$AM275+$P275+$W275-$AN275-$AO275-$Q275))</x:f>
      </x:c>
    </x:row>
    <x:row r="276">
      <x:c r="A276" s="13"/>
      <x:c r="B276" s="7"/>
      <x:c r="C276" s="13"/>
      <x:c r="D276" s="14"/>
      <x:c r="E276" s="8"/>
      <x:c r="F276" s="13"/>
      <x:c r="G276" s="7"/>
      <x:c r="H276" s="7"/>
      <x:c r="I276" s="7"/>
      <x:c r="J276" s="13"/>
      <x:c r="K276" s="16"/>
      <x:c r="L276" s="10"/>
      <x:c r="M276" s="10"/>
      <x:c r="N276" s="10"/>
      <x:c r="O276" s="10"/>
      <x:c r="P276" s="9"/>
      <x:c r="Q276" s="9"/>
      <x:c r="R276" s="7"/>
      <x:c r="S276" s="7"/>
      <x:c r="T276" s="7"/>
      <x:c r="U276" s="7"/>
      <x:c r="V276" s="7"/>
      <x:c r="W276" s="9"/>
      <x:c r="X276" s="7"/>
      <x:c r="Y276" s="9"/>
      <x:c r="Z276" s="8"/>
      <x:c r="AA276" s="8"/>
      <x:c r="AB276" s="7"/>
      <x:c r="AC276" s="7"/>
      <x:c r="AD276" s="13"/>
      <x:c r="AE276" s="7"/>
      <x:c r="AF276" s="7"/>
      <x:c r="AG276" s="7"/>
      <x:c r="AH276" s="7"/>
      <x:c r="AI276" s="7"/>
      <x:c r="AJ276" s="9" t="str">
        <x:f>IF($A276="","",SUMIF(Sales_Items!$A$2:$A$501,$A276,Sales_Items!$O$2:$O$501))</x:f>
      </x:c>
      <x:c r="AK276" s="9" t="str">
        <x:f>IF($A276="","",$AJ276*$L276/100)</x:f>
      </x:c>
      <x:c r="AL276" s="9" t="str">
        <x:f>IF($A276="","",MAX(0,$AJ276-$AK276))</x:f>
      </x:c>
      <x:c r="AM276" s="9" t="str">
        <x:f>IF($A276="","",MAX(0,$AL276*$M276/100))</x:f>
      </x:c>
      <x:c r="AN276" s="9" t="str">
        <x:f>IF($A276="","",MAX(0,$AL276*$N276/100))</x:f>
      </x:c>
      <x:c r="AO276" s="9" t="str">
        <x:f>IF($A276="","",MAX(0,$AL276*$O276/100))</x:f>
      </x:c>
      <x:c r="AP276" s="9" t="str">
        <x:f>IF($A276="","",MAX(0,$AL276+$AM276+$P276+$W276-$AN276-$AO276-$Q276))</x:f>
      </x:c>
    </x:row>
    <x:row r="277">
      <x:c r="A277" s="13"/>
      <x:c r="B277" s="7"/>
      <x:c r="C277" s="13"/>
      <x:c r="D277" s="14"/>
      <x:c r="E277" s="8"/>
      <x:c r="F277" s="13"/>
      <x:c r="G277" s="7"/>
      <x:c r="H277" s="7"/>
      <x:c r="I277" s="7"/>
      <x:c r="J277" s="13"/>
      <x:c r="K277" s="16"/>
      <x:c r="L277" s="10"/>
      <x:c r="M277" s="10"/>
      <x:c r="N277" s="10"/>
      <x:c r="O277" s="10"/>
      <x:c r="P277" s="9"/>
      <x:c r="Q277" s="9"/>
      <x:c r="R277" s="7"/>
      <x:c r="S277" s="7"/>
      <x:c r="T277" s="7"/>
      <x:c r="U277" s="7"/>
      <x:c r="V277" s="7"/>
      <x:c r="W277" s="9"/>
      <x:c r="X277" s="7"/>
      <x:c r="Y277" s="9"/>
      <x:c r="Z277" s="8"/>
      <x:c r="AA277" s="8"/>
      <x:c r="AB277" s="7"/>
      <x:c r="AC277" s="7"/>
      <x:c r="AD277" s="13"/>
      <x:c r="AE277" s="7"/>
      <x:c r="AF277" s="7"/>
      <x:c r="AG277" s="7"/>
      <x:c r="AH277" s="7"/>
      <x:c r="AI277" s="7"/>
      <x:c r="AJ277" s="9" t="str">
        <x:f>IF($A277="","",SUMIF(Sales_Items!$A$2:$A$501,$A277,Sales_Items!$O$2:$O$501))</x:f>
      </x:c>
      <x:c r="AK277" s="9" t="str">
        <x:f>IF($A277="","",$AJ277*$L277/100)</x:f>
      </x:c>
      <x:c r="AL277" s="9" t="str">
        <x:f>IF($A277="","",MAX(0,$AJ277-$AK277))</x:f>
      </x:c>
      <x:c r="AM277" s="9" t="str">
        <x:f>IF($A277="","",MAX(0,$AL277*$M277/100))</x:f>
      </x:c>
      <x:c r="AN277" s="9" t="str">
        <x:f>IF($A277="","",MAX(0,$AL277*$N277/100))</x:f>
      </x:c>
      <x:c r="AO277" s="9" t="str">
        <x:f>IF($A277="","",MAX(0,$AL277*$O277/100))</x:f>
      </x:c>
      <x:c r="AP277" s="9" t="str">
        <x:f>IF($A277="","",MAX(0,$AL277+$AM277+$P277+$W277-$AN277-$AO277-$Q277))</x:f>
      </x:c>
    </x:row>
    <x:row r="278">
      <x:c r="A278" s="13"/>
      <x:c r="B278" s="7"/>
      <x:c r="C278" s="13"/>
      <x:c r="D278" s="14"/>
      <x:c r="E278" s="8"/>
      <x:c r="F278" s="13"/>
      <x:c r="G278" s="7"/>
      <x:c r="H278" s="7"/>
      <x:c r="I278" s="7"/>
      <x:c r="J278" s="13"/>
      <x:c r="K278" s="16"/>
      <x:c r="L278" s="10"/>
      <x:c r="M278" s="10"/>
      <x:c r="N278" s="10"/>
      <x:c r="O278" s="10"/>
      <x:c r="P278" s="9"/>
      <x:c r="Q278" s="9"/>
      <x:c r="R278" s="7"/>
      <x:c r="S278" s="7"/>
      <x:c r="T278" s="7"/>
      <x:c r="U278" s="7"/>
      <x:c r="V278" s="7"/>
      <x:c r="W278" s="9"/>
      <x:c r="X278" s="7"/>
      <x:c r="Y278" s="9"/>
      <x:c r="Z278" s="8"/>
      <x:c r="AA278" s="8"/>
      <x:c r="AB278" s="7"/>
      <x:c r="AC278" s="7"/>
      <x:c r="AD278" s="13"/>
      <x:c r="AE278" s="7"/>
      <x:c r="AF278" s="7"/>
      <x:c r="AG278" s="7"/>
      <x:c r="AH278" s="7"/>
      <x:c r="AI278" s="7"/>
      <x:c r="AJ278" s="9" t="str">
        <x:f>IF($A278="","",SUMIF(Sales_Items!$A$2:$A$501,$A278,Sales_Items!$O$2:$O$501))</x:f>
      </x:c>
      <x:c r="AK278" s="9" t="str">
        <x:f>IF($A278="","",$AJ278*$L278/100)</x:f>
      </x:c>
      <x:c r="AL278" s="9" t="str">
        <x:f>IF($A278="","",MAX(0,$AJ278-$AK278))</x:f>
      </x:c>
      <x:c r="AM278" s="9" t="str">
        <x:f>IF($A278="","",MAX(0,$AL278*$M278/100))</x:f>
      </x:c>
      <x:c r="AN278" s="9" t="str">
        <x:f>IF($A278="","",MAX(0,$AL278*$N278/100))</x:f>
      </x:c>
      <x:c r="AO278" s="9" t="str">
        <x:f>IF($A278="","",MAX(0,$AL278*$O278/100))</x:f>
      </x:c>
      <x:c r="AP278" s="9" t="str">
        <x:f>IF($A278="","",MAX(0,$AL278+$AM278+$P278+$W278-$AN278-$AO278-$Q278))</x:f>
      </x:c>
    </x:row>
    <x:row r="279">
      <x:c r="A279" s="13"/>
      <x:c r="B279" s="7"/>
      <x:c r="C279" s="13"/>
      <x:c r="D279" s="14"/>
      <x:c r="E279" s="8"/>
      <x:c r="F279" s="13"/>
      <x:c r="G279" s="7"/>
      <x:c r="H279" s="7"/>
      <x:c r="I279" s="7"/>
      <x:c r="J279" s="13"/>
      <x:c r="K279" s="16"/>
      <x:c r="L279" s="10"/>
      <x:c r="M279" s="10"/>
      <x:c r="N279" s="10"/>
      <x:c r="O279" s="10"/>
      <x:c r="P279" s="9"/>
      <x:c r="Q279" s="9"/>
      <x:c r="R279" s="7"/>
      <x:c r="S279" s="7"/>
      <x:c r="T279" s="7"/>
      <x:c r="U279" s="7"/>
      <x:c r="V279" s="7"/>
      <x:c r="W279" s="9"/>
      <x:c r="X279" s="7"/>
      <x:c r="Y279" s="9"/>
      <x:c r="Z279" s="8"/>
      <x:c r="AA279" s="8"/>
      <x:c r="AB279" s="7"/>
      <x:c r="AC279" s="7"/>
      <x:c r="AD279" s="13"/>
      <x:c r="AE279" s="7"/>
      <x:c r="AF279" s="7"/>
      <x:c r="AG279" s="7"/>
      <x:c r="AH279" s="7"/>
      <x:c r="AI279" s="7"/>
      <x:c r="AJ279" s="9" t="str">
        <x:f>IF($A279="","",SUMIF(Sales_Items!$A$2:$A$501,$A279,Sales_Items!$O$2:$O$501))</x:f>
      </x:c>
      <x:c r="AK279" s="9" t="str">
        <x:f>IF($A279="","",$AJ279*$L279/100)</x:f>
      </x:c>
      <x:c r="AL279" s="9" t="str">
        <x:f>IF($A279="","",MAX(0,$AJ279-$AK279))</x:f>
      </x:c>
      <x:c r="AM279" s="9" t="str">
        <x:f>IF($A279="","",MAX(0,$AL279*$M279/100))</x:f>
      </x:c>
      <x:c r="AN279" s="9" t="str">
        <x:f>IF($A279="","",MAX(0,$AL279*$N279/100))</x:f>
      </x:c>
      <x:c r="AO279" s="9" t="str">
        <x:f>IF($A279="","",MAX(0,$AL279*$O279/100))</x:f>
      </x:c>
      <x:c r="AP279" s="9" t="str">
        <x:f>IF($A279="","",MAX(0,$AL279+$AM279+$P279+$W279-$AN279-$AO279-$Q279))</x:f>
      </x:c>
    </x:row>
    <x:row r="280">
      <x:c r="A280" s="13"/>
      <x:c r="B280" s="7"/>
      <x:c r="C280" s="13"/>
      <x:c r="D280" s="14"/>
      <x:c r="E280" s="8"/>
      <x:c r="F280" s="13"/>
      <x:c r="G280" s="7"/>
      <x:c r="H280" s="7"/>
      <x:c r="I280" s="7"/>
      <x:c r="J280" s="13"/>
      <x:c r="K280" s="16"/>
      <x:c r="L280" s="10"/>
      <x:c r="M280" s="10"/>
      <x:c r="N280" s="10"/>
      <x:c r="O280" s="10"/>
      <x:c r="P280" s="9"/>
      <x:c r="Q280" s="9"/>
      <x:c r="R280" s="7"/>
      <x:c r="S280" s="7"/>
      <x:c r="T280" s="7"/>
      <x:c r="U280" s="7"/>
      <x:c r="V280" s="7"/>
      <x:c r="W280" s="9"/>
      <x:c r="X280" s="7"/>
      <x:c r="Y280" s="9"/>
      <x:c r="Z280" s="8"/>
      <x:c r="AA280" s="8"/>
      <x:c r="AB280" s="7"/>
      <x:c r="AC280" s="7"/>
      <x:c r="AD280" s="13"/>
      <x:c r="AE280" s="7"/>
      <x:c r="AF280" s="7"/>
      <x:c r="AG280" s="7"/>
      <x:c r="AH280" s="7"/>
      <x:c r="AI280" s="7"/>
      <x:c r="AJ280" s="9" t="str">
        <x:f>IF($A280="","",SUMIF(Sales_Items!$A$2:$A$501,$A280,Sales_Items!$O$2:$O$501))</x:f>
      </x:c>
      <x:c r="AK280" s="9" t="str">
        <x:f>IF($A280="","",$AJ280*$L280/100)</x:f>
      </x:c>
      <x:c r="AL280" s="9" t="str">
        <x:f>IF($A280="","",MAX(0,$AJ280-$AK280))</x:f>
      </x:c>
      <x:c r="AM280" s="9" t="str">
        <x:f>IF($A280="","",MAX(0,$AL280*$M280/100))</x:f>
      </x:c>
      <x:c r="AN280" s="9" t="str">
        <x:f>IF($A280="","",MAX(0,$AL280*$N280/100))</x:f>
      </x:c>
      <x:c r="AO280" s="9" t="str">
        <x:f>IF($A280="","",MAX(0,$AL280*$O280/100))</x:f>
      </x:c>
      <x:c r="AP280" s="9" t="str">
        <x:f>IF($A280="","",MAX(0,$AL280+$AM280+$P280+$W280-$AN280-$AO280-$Q280))</x:f>
      </x:c>
    </x:row>
    <x:row r="281">
      <x:c r="A281" s="13"/>
      <x:c r="B281" s="7"/>
      <x:c r="C281" s="13"/>
      <x:c r="D281" s="14"/>
      <x:c r="E281" s="8"/>
      <x:c r="F281" s="13"/>
      <x:c r="G281" s="7"/>
      <x:c r="H281" s="7"/>
      <x:c r="I281" s="7"/>
      <x:c r="J281" s="13"/>
      <x:c r="K281" s="16"/>
      <x:c r="L281" s="10"/>
      <x:c r="M281" s="10"/>
      <x:c r="N281" s="10"/>
      <x:c r="O281" s="10"/>
      <x:c r="P281" s="9"/>
      <x:c r="Q281" s="9"/>
      <x:c r="R281" s="7"/>
      <x:c r="S281" s="7"/>
      <x:c r="T281" s="7"/>
      <x:c r="U281" s="7"/>
      <x:c r="V281" s="7"/>
      <x:c r="W281" s="9"/>
      <x:c r="X281" s="7"/>
      <x:c r="Y281" s="9"/>
      <x:c r="Z281" s="8"/>
      <x:c r="AA281" s="8"/>
      <x:c r="AB281" s="7"/>
      <x:c r="AC281" s="7"/>
      <x:c r="AD281" s="13"/>
      <x:c r="AE281" s="7"/>
      <x:c r="AF281" s="7"/>
      <x:c r="AG281" s="7"/>
      <x:c r="AH281" s="7"/>
      <x:c r="AI281" s="7"/>
      <x:c r="AJ281" s="9" t="str">
        <x:f>IF($A281="","",SUMIF(Sales_Items!$A$2:$A$501,$A281,Sales_Items!$O$2:$O$501))</x:f>
      </x:c>
      <x:c r="AK281" s="9" t="str">
        <x:f>IF($A281="","",$AJ281*$L281/100)</x:f>
      </x:c>
      <x:c r="AL281" s="9" t="str">
        <x:f>IF($A281="","",MAX(0,$AJ281-$AK281))</x:f>
      </x:c>
      <x:c r="AM281" s="9" t="str">
        <x:f>IF($A281="","",MAX(0,$AL281*$M281/100))</x:f>
      </x:c>
      <x:c r="AN281" s="9" t="str">
        <x:f>IF($A281="","",MAX(0,$AL281*$N281/100))</x:f>
      </x:c>
      <x:c r="AO281" s="9" t="str">
        <x:f>IF($A281="","",MAX(0,$AL281*$O281/100))</x:f>
      </x:c>
      <x:c r="AP281" s="9" t="str">
        <x:f>IF($A281="","",MAX(0,$AL281+$AM281+$P281+$W281-$AN281-$AO281-$Q281))</x:f>
      </x:c>
    </x:row>
    <x:row r="282">
      <x:c r="A282" s="13"/>
      <x:c r="B282" s="7"/>
      <x:c r="C282" s="13"/>
      <x:c r="D282" s="14"/>
      <x:c r="E282" s="8"/>
      <x:c r="F282" s="13"/>
      <x:c r="G282" s="7"/>
      <x:c r="H282" s="7"/>
      <x:c r="I282" s="7"/>
      <x:c r="J282" s="13"/>
      <x:c r="K282" s="16"/>
      <x:c r="L282" s="10"/>
      <x:c r="M282" s="10"/>
      <x:c r="N282" s="10"/>
      <x:c r="O282" s="10"/>
      <x:c r="P282" s="9"/>
      <x:c r="Q282" s="9"/>
      <x:c r="R282" s="7"/>
      <x:c r="S282" s="7"/>
      <x:c r="T282" s="7"/>
      <x:c r="U282" s="7"/>
      <x:c r="V282" s="7"/>
      <x:c r="W282" s="9"/>
      <x:c r="X282" s="7"/>
      <x:c r="Y282" s="9"/>
      <x:c r="Z282" s="8"/>
      <x:c r="AA282" s="8"/>
      <x:c r="AB282" s="7"/>
      <x:c r="AC282" s="7"/>
      <x:c r="AD282" s="13"/>
      <x:c r="AE282" s="7"/>
      <x:c r="AF282" s="7"/>
      <x:c r="AG282" s="7"/>
      <x:c r="AH282" s="7"/>
      <x:c r="AI282" s="7"/>
      <x:c r="AJ282" s="9" t="str">
        <x:f>IF($A282="","",SUMIF(Sales_Items!$A$2:$A$501,$A282,Sales_Items!$O$2:$O$501))</x:f>
      </x:c>
      <x:c r="AK282" s="9" t="str">
        <x:f>IF($A282="","",$AJ282*$L282/100)</x:f>
      </x:c>
      <x:c r="AL282" s="9" t="str">
        <x:f>IF($A282="","",MAX(0,$AJ282-$AK282))</x:f>
      </x:c>
      <x:c r="AM282" s="9" t="str">
        <x:f>IF($A282="","",MAX(0,$AL282*$M282/100))</x:f>
      </x:c>
      <x:c r="AN282" s="9" t="str">
        <x:f>IF($A282="","",MAX(0,$AL282*$N282/100))</x:f>
      </x:c>
      <x:c r="AO282" s="9" t="str">
        <x:f>IF($A282="","",MAX(0,$AL282*$O282/100))</x:f>
      </x:c>
      <x:c r="AP282" s="9" t="str">
        <x:f>IF($A282="","",MAX(0,$AL282+$AM282+$P282+$W282-$AN282-$AO282-$Q282))</x:f>
      </x:c>
    </x:row>
    <x:row r="283">
      <x:c r="A283" s="13"/>
      <x:c r="B283" s="7"/>
      <x:c r="C283" s="13"/>
      <x:c r="D283" s="14"/>
      <x:c r="E283" s="8"/>
      <x:c r="F283" s="13"/>
      <x:c r="G283" s="7"/>
      <x:c r="H283" s="7"/>
      <x:c r="I283" s="7"/>
      <x:c r="J283" s="13"/>
      <x:c r="K283" s="16"/>
      <x:c r="L283" s="10"/>
      <x:c r="M283" s="10"/>
      <x:c r="N283" s="10"/>
      <x:c r="O283" s="10"/>
      <x:c r="P283" s="9"/>
      <x:c r="Q283" s="9"/>
      <x:c r="R283" s="7"/>
      <x:c r="S283" s="7"/>
      <x:c r="T283" s="7"/>
      <x:c r="U283" s="7"/>
      <x:c r="V283" s="7"/>
      <x:c r="W283" s="9"/>
      <x:c r="X283" s="7"/>
      <x:c r="Y283" s="9"/>
      <x:c r="Z283" s="8"/>
      <x:c r="AA283" s="8"/>
      <x:c r="AB283" s="7"/>
      <x:c r="AC283" s="7"/>
      <x:c r="AD283" s="13"/>
      <x:c r="AE283" s="7"/>
      <x:c r="AF283" s="7"/>
      <x:c r="AG283" s="7"/>
      <x:c r="AH283" s="7"/>
      <x:c r="AI283" s="7"/>
      <x:c r="AJ283" s="9" t="str">
        <x:f>IF($A283="","",SUMIF(Sales_Items!$A$2:$A$501,$A283,Sales_Items!$O$2:$O$501))</x:f>
      </x:c>
      <x:c r="AK283" s="9" t="str">
        <x:f>IF($A283="","",$AJ283*$L283/100)</x:f>
      </x:c>
      <x:c r="AL283" s="9" t="str">
        <x:f>IF($A283="","",MAX(0,$AJ283-$AK283))</x:f>
      </x:c>
      <x:c r="AM283" s="9" t="str">
        <x:f>IF($A283="","",MAX(0,$AL283*$M283/100))</x:f>
      </x:c>
      <x:c r="AN283" s="9" t="str">
        <x:f>IF($A283="","",MAX(0,$AL283*$N283/100))</x:f>
      </x:c>
      <x:c r="AO283" s="9" t="str">
        <x:f>IF($A283="","",MAX(0,$AL283*$O283/100))</x:f>
      </x:c>
      <x:c r="AP283" s="9" t="str">
        <x:f>IF($A283="","",MAX(0,$AL283+$AM283+$P283+$W283-$AN283-$AO283-$Q283))</x:f>
      </x:c>
    </x:row>
    <x:row r="284">
      <x:c r="A284" s="13"/>
      <x:c r="B284" s="7"/>
      <x:c r="C284" s="13"/>
      <x:c r="D284" s="14"/>
      <x:c r="E284" s="8"/>
      <x:c r="F284" s="13"/>
      <x:c r="G284" s="7"/>
      <x:c r="H284" s="7"/>
      <x:c r="I284" s="7"/>
      <x:c r="J284" s="13"/>
      <x:c r="K284" s="16"/>
      <x:c r="L284" s="10"/>
      <x:c r="M284" s="10"/>
      <x:c r="N284" s="10"/>
      <x:c r="O284" s="10"/>
      <x:c r="P284" s="9"/>
      <x:c r="Q284" s="9"/>
      <x:c r="R284" s="7"/>
      <x:c r="S284" s="7"/>
      <x:c r="T284" s="7"/>
      <x:c r="U284" s="7"/>
      <x:c r="V284" s="7"/>
      <x:c r="W284" s="9"/>
      <x:c r="X284" s="7"/>
      <x:c r="Y284" s="9"/>
      <x:c r="Z284" s="8"/>
      <x:c r="AA284" s="8"/>
      <x:c r="AB284" s="7"/>
      <x:c r="AC284" s="7"/>
      <x:c r="AD284" s="13"/>
      <x:c r="AE284" s="7"/>
      <x:c r="AF284" s="7"/>
      <x:c r="AG284" s="7"/>
      <x:c r="AH284" s="7"/>
      <x:c r="AI284" s="7"/>
      <x:c r="AJ284" s="9" t="str">
        <x:f>IF($A284="","",SUMIF(Sales_Items!$A$2:$A$501,$A284,Sales_Items!$O$2:$O$501))</x:f>
      </x:c>
      <x:c r="AK284" s="9" t="str">
        <x:f>IF($A284="","",$AJ284*$L284/100)</x:f>
      </x:c>
      <x:c r="AL284" s="9" t="str">
        <x:f>IF($A284="","",MAX(0,$AJ284-$AK284))</x:f>
      </x:c>
      <x:c r="AM284" s="9" t="str">
        <x:f>IF($A284="","",MAX(0,$AL284*$M284/100))</x:f>
      </x:c>
      <x:c r="AN284" s="9" t="str">
        <x:f>IF($A284="","",MAX(0,$AL284*$N284/100))</x:f>
      </x:c>
      <x:c r="AO284" s="9" t="str">
        <x:f>IF($A284="","",MAX(0,$AL284*$O284/100))</x:f>
      </x:c>
      <x:c r="AP284" s="9" t="str">
        <x:f>IF($A284="","",MAX(0,$AL284+$AM284+$P284+$W284-$AN284-$AO284-$Q284))</x:f>
      </x:c>
    </x:row>
    <x:row r="285">
      <x:c r="A285" s="13"/>
      <x:c r="B285" s="7"/>
      <x:c r="C285" s="13"/>
      <x:c r="D285" s="14"/>
      <x:c r="E285" s="8"/>
      <x:c r="F285" s="13"/>
      <x:c r="G285" s="7"/>
      <x:c r="H285" s="7"/>
      <x:c r="I285" s="7"/>
      <x:c r="J285" s="13"/>
      <x:c r="K285" s="16"/>
      <x:c r="L285" s="10"/>
      <x:c r="M285" s="10"/>
      <x:c r="N285" s="10"/>
      <x:c r="O285" s="10"/>
      <x:c r="P285" s="9"/>
      <x:c r="Q285" s="9"/>
      <x:c r="R285" s="7"/>
      <x:c r="S285" s="7"/>
      <x:c r="T285" s="7"/>
      <x:c r="U285" s="7"/>
      <x:c r="V285" s="7"/>
      <x:c r="W285" s="9"/>
      <x:c r="X285" s="7"/>
      <x:c r="Y285" s="9"/>
      <x:c r="Z285" s="8"/>
      <x:c r="AA285" s="8"/>
      <x:c r="AB285" s="7"/>
      <x:c r="AC285" s="7"/>
      <x:c r="AD285" s="13"/>
      <x:c r="AE285" s="7"/>
      <x:c r="AF285" s="7"/>
      <x:c r="AG285" s="7"/>
      <x:c r="AH285" s="7"/>
      <x:c r="AI285" s="7"/>
      <x:c r="AJ285" s="9" t="str">
        <x:f>IF($A285="","",SUMIF(Sales_Items!$A$2:$A$501,$A285,Sales_Items!$O$2:$O$501))</x:f>
      </x:c>
      <x:c r="AK285" s="9" t="str">
        <x:f>IF($A285="","",$AJ285*$L285/100)</x:f>
      </x:c>
      <x:c r="AL285" s="9" t="str">
        <x:f>IF($A285="","",MAX(0,$AJ285-$AK285))</x:f>
      </x:c>
      <x:c r="AM285" s="9" t="str">
        <x:f>IF($A285="","",MAX(0,$AL285*$M285/100))</x:f>
      </x:c>
      <x:c r="AN285" s="9" t="str">
        <x:f>IF($A285="","",MAX(0,$AL285*$N285/100))</x:f>
      </x:c>
      <x:c r="AO285" s="9" t="str">
        <x:f>IF($A285="","",MAX(0,$AL285*$O285/100))</x:f>
      </x:c>
      <x:c r="AP285" s="9" t="str">
        <x:f>IF($A285="","",MAX(0,$AL285+$AM285+$P285+$W285-$AN285-$AO285-$Q285))</x:f>
      </x:c>
    </x:row>
    <x:row r="286">
      <x:c r="A286" s="13"/>
      <x:c r="B286" s="7"/>
      <x:c r="C286" s="13"/>
      <x:c r="D286" s="14"/>
      <x:c r="E286" s="8"/>
      <x:c r="F286" s="13"/>
      <x:c r="G286" s="7"/>
      <x:c r="H286" s="7"/>
      <x:c r="I286" s="7"/>
      <x:c r="J286" s="13"/>
      <x:c r="K286" s="16"/>
      <x:c r="L286" s="10"/>
      <x:c r="M286" s="10"/>
      <x:c r="N286" s="10"/>
      <x:c r="O286" s="10"/>
      <x:c r="P286" s="9"/>
      <x:c r="Q286" s="9"/>
      <x:c r="R286" s="7"/>
      <x:c r="S286" s="7"/>
      <x:c r="T286" s="7"/>
      <x:c r="U286" s="7"/>
      <x:c r="V286" s="7"/>
      <x:c r="W286" s="9"/>
      <x:c r="X286" s="7"/>
      <x:c r="Y286" s="9"/>
      <x:c r="Z286" s="8"/>
      <x:c r="AA286" s="8"/>
      <x:c r="AB286" s="7"/>
      <x:c r="AC286" s="7"/>
      <x:c r="AD286" s="13"/>
      <x:c r="AE286" s="7"/>
      <x:c r="AF286" s="7"/>
      <x:c r="AG286" s="7"/>
      <x:c r="AH286" s="7"/>
      <x:c r="AI286" s="7"/>
      <x:c r="AJ286" s="9" t="str">
        <x:f>IF($A286="","",SUMIF(Sales_Items!$A$2:$A$501,$A286,Sales_Items!$O$2:$O$501))</x:f>
      </x:c>
      <x:c r="AK286" s="9" t="str">
        <x:f>IF($A286="","",$AJ286*$L286/100)</x:f>
      </x:c>
      <x:c r="AL286" s="9" t="str">
        <x:f>IF($A286="","",MAX(0,$AJ286-$AK286))</x:f>
      </x:c>
      <x:c r="AM286" s="9" t="str">
        <x:f>IF($A286="","",MAX(0,$AL286*$M286/100))</x:f>
      </x:c>
      <x:c r="AN286" s="9" t="str">
        <x:f>IF($A286="","",MAX(0,$AL286*$N286/100))</x:f>
      </x:c>
      <x:c r="AO286" s="9" t="str">
        <x:f>IF($A286="","",MAX(0,$AL286*$O286/100))</x:f>
      </x:c>
      <x:c r="AP286" s="9" t="str">
        <x:f>IF($A286="","",MAX(0,$AL286+$AM286+$P286+$W286-$AN286-$AO286-$Q286))</x:f>
      </x:c>
    </x:row>
    <x:row r="287">
      <x:c r="A287" s="13"/>
      <x:c r="B287" s="7"/>
      <x:c r="C287" s="13"/>
      <x:c r="D287" s="14"/>
      <x:c r="E287" s="8"/>
      <x:c r="F287" s="13"/>
      <x:c r="G287" s="7"/>
      <x:c r="H287" s="7"/>
      <x:c r="I287" s="7"/>
      <x:c r="J287" s="13"/>
      <x:c r="K287" s="16"/>
      <x:c r="L287" s="10"/>
      <x:c r="M287" s="10"/>
      <x:c r="N287" s="10"/>
      <x:c r="O287" s="10"/>
      <x:c r="P287" s="9"/>
      <x:c r="Q287" s="9"/>
      <x:c r="R287" s="7"/>
      <x:c r="S287" s="7"/>
      <x:c r="T287" s="7"/>
      <x:c r="U287" s="7"/>
      <x:c r="V287" s="7"/>
      <x:c r="W287" s="9"/>
      <x:c r="X287" s="7"/>
      <x:c r="Y287" s="9"/>
      <x:c r="Z287" s="8"/>
      <x:c r="AA287" s="8"/>
      <x:c r="AB287" s="7"/>
      <x:c r="AC287" s="7"/>
      <x:c r="AD287" s="13"/>
      <x:c r="AE287" s="7"/>
      <x:c r="AF287" s="7"/>
      <x:c r="AG287" s="7"/>
      <x:c r="AH287" s="7"/>
      <x:c r="AI287" s="7"/>
      <x:c r="AJ287" s="9" t="str">
        <x:f>IF($A287="","",SUMIF(Sales_Items!$A$2:$A$501,$A287,Sales_Items!$O$2:$O$501))</x:f>
      </x:c>
      <x:c r="AK287" s="9" t="str">
        <x:f>IF($A287="","",$AJ287*$L287/100)</x:f>
      </x:c>
      <x:c r="AL287" s="9" t="str">
        <x:f>IF($A287="","",MAX(0,$AJ287-$AK287))</x:f>
      </x:c>
      <x:c r="AM287" s="9" t="str">
        <x:f>IF($A287="","",MAX(0,$AL287*$M287/100))</x:f>
      </x:c>
      <x:c r="AN287" s="9" t="str">
        <x:f>IF($A287="","",MAX(0,$AL287*$N287/100))</x:f>
      </x:c>
      <x:c r="AO287" s="9" t="str">
        <x:f>IF($A287="","",MAX(0,$AL287*$O287/100))</x:f>
      </x:c>
      <x:c r="AP287" s="9" t="str">
        <x:f>IF($A287="","",MAX(0,$AL287+$AM287+$P287+$W287-$AN287-$AO287-$Q287))</x:f>
      </x:c>
    </x:row>
    <x:row r="288">
      <x:c r="A288" s="13"/>
      <x:c r="B288" s="7"/>
      <x:c r="C288" s="13"/>
      <x:c r="D288" s="14"/>
      <x:c r="E288" s="8"/>
      <x:c r="F288" s="13"/>
      <x:c r="G288" s="7"/>
      <x:c r="H288" s="7"/>
      <x:c r="I288" s="7"/>
      <x:c r="J288" s="13"/>
      <x:c r="K288" s="16"/>
      <x:c r="L288" s="10"/>
      <x:c r="M288" s="10"/>
      <x:c r="N288" s="10"/>
      <x:c r="O288" s="10"/>
      <x:c r="P288" s="9"/>
      <x:c r="Q288" s="9"/>
      <x:c r="R288" s="7"/>
      <x:c r="S288" s="7"/>
      <x:c r="T288" s="7"/>
      <x:c r="U288" s="7"/>
      <x:c r="V288" s="7"/>
      <x:c r="W288" s="9"/>
      <x:c r="X288" s="7"/>
      <x:c r="Y288" s="9"/>
      <x:c r="Z288" s="8"/>
      <x:c r="AA288" s="8"/>
      <x:c r="AB288" s="7"/>
      <x:c r="AC288" s="7"/>
      <x:c r="AD288" s="13"/>
      <x:c r="AE288" s="7"/>
      <x:c r="AF288" s="7"/>
      <x:c r="AG288" s="7"/>
      <x:c r="AH288" s="7"/>
      <x:c r="AI288" s="7"/>
      <x:c r="AJ288" s="9" t="str">
        <x:f>IF($A288="","",SUMIF(Sales_Items!$A$2:$A$501,$A288,Sales_Items!$O$2:$O$501))</x:f>
      </x:c>
      <x:c r="AK288" s="9" t="str">
        <x:f>IF($A288="","",$AJ288*$L288/100)</x:f>
      </x:c>
      <x:c r="AL288" s="9" t="str">
        <x:f>IF($A288="","",MAX(0,$AJ288-$AK288))</x:f>
      </x:c>
      <x:c r="AM288" s="9" t="str">
        <x:f>IF($A288="","",MAX(0,$AL288*$M288/100))</x:f>
      </x:c>
      <x:c r="AN288" s="9" t="str">
        <x:f>IF($A288="","",MAX(0,$AL288*$N288/100))</x:f>
      </x:c>
      <x:c r="AO288" s="9" t="str">
        <x:f>IF($A288="","",MAX(0,$AL288*$O288/100))</x:f>
      </x:c>
      <x:c r="AP288" s="9" t="str">
        <x:f>IF($A288="","",MAX(0,$AL288+$AM288+$P288+$W288-$AN288-$AO288-$Q288))</x:f>
      </x:c>
    </x:row>
    <x:row r="289">
      <x:c r="A289" s="13"/>
      <x:c r="B289" s="7"/>
      <x:c r="C289" s="13"/>
      <x:c r="D289" s="14"/>
      <x:c r="E289" s="8"/>
      <x:c r="F289" s="13"/>
      <x:c r="G289" s="7"/>
      <x:c r="H289" s="7"/>
      <x:c r="I289" s="7"/>
      <x:c r="J289" s="13"/>
      <x:c r="K289" s="16"/>
      <x:c r="L289" s="10"/>
      <x:c r="M289" s="10"/>
      <x:c r="N289" s="10"/>
      <x:c r="O289" s="10"/>
      <x:c r="P289" s="9"/>
      <x:c r="Q289" s="9"/>
      <x:c r="R289" s="7"/>
      <x:c r="S289" s="7"/>
      <x:c r="T289" s="7"/>
      <x:c r="U289" s="7"/>
      <x:c r="V289" s="7"/>
      <x:c r="W289" s="9"/>
      <x:c r="X289" s="7"/>
      <x:c r="Y289" s="9"/>
      <x:c r="Z289" s="8"/>
      <x:c r="AA289" s="8"/>
      <x:c r="AB289" s="7"/>
      <x:c r="AC289" s="7"/>
      <x:c r="AD289" s="13"/>
      <x:c r="AE289" s="7"/>
      <x:c r="AF289" s="7"/>
      <x:c r="AG289" s="7"/>
      <x:c r="AH289" s="7"/>
      <x:c r="AI289" s="7"/>
      <x:c r="AJ289" s="9" t="str">
        <x:f>IF($A289="","",SUMIF(Sales_Items!$A$2:$A$501,$A289,Sales_Items!$O$2:$O$501))</x:f>
      </x:c>
      <x:c r="AK289" s="9" t="str">
        <x:f>IF($A289="","",$AJ289*$L289/100)</x:f>
      </x:c>
      <x:c r="AL289" s="9" t="str">
        <x:f>IF($A289="","",MAX(0,$AJ289-$AK289))</x:f>
      </x:c>
      <x:c r="AM289" s="9" t="str">
        <x:f>IF($A289="","",MAX(0,$AL289*$M289/100))</x:f>
      </x:c>
      <x:c r="AN289" s="9" t="str">
        <x:f>IF($A289="","",MAX(0,$AL289*$N289/100))</x:f>
      </x:c>
      <x:c r="AO289" s="9" t="str">
        <x:f>IF($A289="","",MAX(0,$AL289*$O289/100))</x:f>
      </x:c>
      <x:c r="AP289" s="9" t="str">
        <x:f>IF($A289="","",MAX(0,$AL289+$AM289+$P289+$W289-$AN289-$AO289-$Q289))</x:f>
      </x:c>
    </x:row>
    <x:row r="290">
      <x:c r="A290" s="13"/>
      <x:c r="B290" s="7"/>
      <x:c r="C290" s="13"/>
      <x:c r="D290" s="14"/>
      <x:c r="E290" s="8"/>
      <x:c r="F290" s="13"/>
      <x:c r="G290" s="7"/>
      <x:c r="H290" s="7"/>
      <x:c r="I290" s="7"/>
      <x:c r="J290" s="13"/>
      <x:c r="K290" s="16"/>
      <x:c r="L290" s="10"/>
      <x:c r="M290" s="10"/>
      <x:c r="N290" s="10"/>
      <x:c r="O290" s="10"/>
      <x:c r="P290" s="9"/>
      <x:c r="Q290" s="9"/>
      <x:c r="R290" s="7"/>
      <x:c r="S290" s="7"/>
      <x:c r="T290" s="7"/>
      <x:c r="U290" s="7"/>
      <x:c r="V290" s="7"/>
      <x:c r="W290" s="9"/>
      <x:c r="X290" s="7"/>
      <x:c r="Y290" s="9"/>
      <x:c r="Z290" s="8"/>
      <x:c r="AA290" s="8"/>
      <x:c r="AB290" s="7"/>
      <x:c r="AC290" s="7"/>
      <x:c r="AD290" s="13"/>
      <x:c r="AE290" s="7"/>
      <x:c r="AF290" s="7"/>
      <x:c r="AG290" s="7"/>
      <x:c r="AH290" s="7"/>
      <x:c r="AI290" s="7"/>
      <x:c r="AJ290" s="9" t="str">
        <x:f>IF($A290="","",SUMIF(Sales_Items!$A$2:$A$501,$A290,Sales_Items!$O$2:$O$501))</x:f>
      </x:c>
      <x:c r="AK290" s="9" t="str">
        <x:f>IF($A290="","",$AJ290*$L290/100)</x:f>
      </x:c>
      <x:c r="AL290" s="9" t="str">
        <x:f>IF($A290="","",MAX(0,$AJ290-$AK290))</x:f>
      </x:c>
      <x:c r="AM290" s="9" t="str">
        <x:f>IF($A290="","",MAX(0,$AL290*$M290/100))</x:f>
      </x:c>
      <x:c r="AN290" s="9" t="str">
        <x:f>IF($A290="","",MAX(0,$AL290*$N290/100))</x:f>
      </x:c>
      <x:c r="AO290" s="9" t="str">
        <x:f>IF($A290="","",MAX(0,$AL290*$O290/100))</x:f>
      </x:c>
      <x:c r="AP290" s="9" t="str">
        <x:f>IF($A290="","",MAX(0,$AL290+$AM290+$P290+$W290-$AN290-$AO290-$Q290))</x:f>
      </x:c>
    </x:row>
    <x:row r="291">
      <x:c r="A291" s="13"/>
      <x:c r="B291" s="7"/>
      <x:c r="C291" s="13"/>
      <x:c r="D291" s="14"/>
      <x:c r="E291" s="8"/>
      <x:c r="F291" s="13"/>
      <x:c r="G291" s="7"/>
      <x:c r="H291" s="7"/>
      <x:c r="I291" s="7"/>
      <x:c r="J291" s="13"/>
      <x:c r="K291" s="16"/>
      <x:c r="L291" s="10"/>
      <x:c r="M291" s="10"/>
      <x:c r="N291" s="10"/>
      <x:c r="O291" s="10"/>
      <x:c r="P291" s="9"/>
      <x:c r="Q291" s="9"/>
      <x:c r="R291" s="7"/>
      <x:c r="S291" s="7"/>
      <x:c r="T291" s="7"/>
      <x:c r="U291" s="7"/>
      <x:c r="V291" s="7"/>
      <x:c r="W291" s="9"/>
      <x:c r="X291" s="7"/>
      <x:c r="Y291" s="9"/>
      <x:c r="Z291" s="8"/>
      <x:c r="AA291" s="8"/>
      <x:c r="AB291" s="7"/>
      <x:c r="AC291" s="7"/>
      <x:c r="AD291" s="13"/>
      <x:c r="AE291" s="7"/>
      <x:c r="AF291" s="7"/>
      <x:c r="AG291" s="7"/>
      <x:c r="AH291" s="7"/>
      <x:c r="AI291" s="7"/>
      <x:c r="AJ291" s="9" t="str">
        <x:f>IF($A291="","",SUMIF(Sales_Items!$A$2:$A$501,$A291,Sales_Items!$O$2:$O$501))</x:f>
      </x:c>
      <x:c r="AK291" s="9" t="str">
        <x:f>IF($A291="","",$AJ291*$L291/100)</x:f>
      </x:c>
      <x:c r="AL291" s="9" t="str">
        <x:f>IF($A291="","",MAX(0,$AJ291-$AK291))</x:f>
      </x:c>
      <x:c r="AM291" s="9" t="str">
        <x:f>IF($A291="","",MAX(0,$AL291*$M291/100))</x:f>
      </x:c>
      <x:c r="AN291" s="9" t="str">
        <x:f>IF($A291="","",MAX(0,$AL291*$N291/100))</x:f>
      </x:c>
      <x:c r="AO291" s="9" t="str">
        <x:f>IF($A291="","",MAX(0,$AL291*$O291/100))</x:f>
      </x:c>
      <x:c r="AP291" s="9" t="str">
        <x:f>IF($A291="","",MAX(0,$AL291+$AM291+$P291+$W291-$AN291-$AO291-$Q291))</x:f>
      </x:c>
    </x:row>
    <x:row r="292">
      <x:c r="A292" s="13"/>
      <x:c r="B292" s="7"/>
      <x:c r="C292" s="13"/>
      <x:c r="D292" s="14"/>
      <x:c r="E292" s="8"/>
      <x:c r="F292" s="13"/>
      <x:c r="G292" s="7"/>
      <x:c r="H292" s="7"/>
      <x:c r="I292" s="7"/>
      <x:c r="J292" s="13"/>
      <x:c r="K292" s="16"/>
      <x:c r="L292" s="10"/>
      <x:c r="M292" s="10"/>
      <x:c r="N292" s="10"/>
      <x:c r="O292" s="10"/>
      <x:c r="P292" s="9"/>
      <x:c r="Q292" s="9"/>
      <x:c r="R292" s="7"/>
      <x:c r="S292" s="7"/>
      <x:c r="T292" s="7"/>
      <x:c r="U292" s="7"/>
      <x:c r="V292" s="7"/>
      <x:c r="W292" s="9"/>
      <x:c r="X292" s="7"/>
      <x:c r="Y292" s="9"/>
      <x:c r="Z292" s="8"/>
      <x:c r="AA292" s="8"/>
      <x:c r="AB292" s="7"/>
      <x:c r="AC292" s="7"/>
      <x:c r="AD292" s="13"/>
      <x:c r="AE292" s="7"/>
      <x:c r="AF292" s="7"/>
      <x:c r="AG292" s="7"/>
      <x:c r="AH292" s="7"/>
      <x:c r="AI292" s="7"/>
      <x:c r="AJ292" s="9" t="str">
        <x:f>IF($A292="","",SUMIF(Sales_Items!$A$2:$A$501,$A292,Sales_Items!$O$2:$O$501))</x:f>
      </x:c>
      <x:c r="AK292" s="9" t="str">
        <x:f>IF($A292="","",$AJ292*$L292/100)</x:f>
      </x:c>
      <x:c r="AL292" s="9" t="str">
        <x:f>IF($A292="","",MAX(0,$AJ292-$AK292))</x:f>
      </x:c>
      <x:c r="AM292" s="9" t="str">
        <x:f>IF($A292="","",MAX(0,$AL292*$M292/100))</x:f>
      </x:c>
      <x:c r="AN292" s="9" t="str">
        <x:f>IF($A292="","",MAX(0,$AL292*$N292/100))</x:f>
      </x:c>
      <x:c r="AO292" s="9" t="str">
        <x:f>IF($A292="","",MAX(0,$AL292*$O292/100))</x:f>
      </x:c>
      <x:c r="AP292" s="9" t="str">
        <x:f>IF($A292="","",MAX(0,$AL292+$AM292+$P292+$W292-$AN292-$AO292-$Q292))</x:f>
      </x:c>
    </x:row>
    <x:row r="293">
      <x:c r="A293" s="13"/>
      <x:c r="B293" s="7"/>
      <x:c r="C293" s="13"/>
      <x:c r="D293" s="14"/>
      <x:c r="E293" s="8"/>
      <x:c r="F293" s="13"/>
      <x:c r="G293" s="7"/>
      <x:c r="H293" s="7"/>
      <x:c r="I293" s="7"/>
      <x:c r="J293" s="13"/>
      <x:c r="K293" s="16"/>
      <x:c r="L293" s="10"/>
      <x:c r="M293" s="10"/>
      <x:c r="N293" s="10"/>
      <x:c r="O293" s="10"/>
      <x:c r="P293" s="9"/>
      <x:c r="Q293" s="9"/>
      <x:c r="R293" s="7"/>
      <x:c r="S293" s="7"/>
      <x:c r="T293" s="7"/>
      <x:c r="U293" s="7"/>
      <x:c r="V293" s="7"/>
      <x:c r="W293" s="9"/>
      <x:c r="X293" s="7"/>
      <x:c r="Y293" s="9"/>
      <x:c r="Z293" s="8"/>
      <x:c r="AA293" s="8"/>
      <x:c r="AB293" s="7"/>
      <x:c r="AC293" s="7"/>
      <x:c r="AD293" s="13"/>
      <x:c r="AE293" s="7"/>
      <x:c r="AF293" s="7"/>
      <x:c r="AG293" s="7"/>
      <x:c r="AH293" s="7"/>
      <x:c r="AI293" s="7"/>
      <x:c r="AJ293" s="9" t="str">
        <x:f>IF($A293="","",SUMIF(Sales_Items!$A$2:$A$501,$A293,Sales_Items!$O$2:$O$501))</x:f>
      </x:c>
      <x:c r="AK293" s="9" t="str">
        <x:f>IF($A293="","",$AJ293*$L293/100)</x:f>
      </x:c>
      <x:c r="AL293" s="9" t="str">
        <x:f>IF($A293="","",MAX(0,$AJ293-$AK293))</x:f>
      </x:c>
      <x:c r="AM293" s="9" t="str">
        <x:f>IF($A293="","",MAX(0,$AL293*$M293/100))</x:f>
      </x:c>
      <x:c r="AN293" s="9" t="str">
        <x:f>IF($A293="","",MAX(0,$AL293*$N293/100))</x:f>
      </x:c>
      <x:c r="AO293" s="9" t="str">
        <x:f>IF($A293="","",MAX(0,$AL293*$O293/100))</x:f>
      </x:c>
      <x:c r="AP293" s="9" t="str">
        <x:f>IF($A293="","",MAX(0,$AL293+$AM293+$P293+$W293-$AN293-$AO293-$Q293))</x:f>
      </x:c>
    </x:row>
    <x:row r="294">
      <x:c r="A294" s="13"/>
      <x:c r="B294" s="7"/>
      <x:c r="C294" s="13"/>
      <x:c r="D294" s="14"/>
      <x:c r="E294" s="8"/>
      <x:c r="F294" s="13"/>
      <x:c r="G294" s="7"/>
      <x:c r="H294" s="7"/>
      <x:c r="I294" s="7"/>
      <x:c r="J294" s="13"/>
      <x:c r="K294" s="16"/>
      <x:c r="L294" s="10"/>
      <x:c r="M294" s="10"/>
      <x:c r="N294" s="10"/>
      <x:c r="O294" s="10"/>
      <x:c r="P294" s="9"/>
      <x:c r="Q294" s="9"/>
      <x:c r="R294" s="7"/>
      <x:c r="S294" s="7"/>
      <x:c r="T294" s="7"/>
      <x:c r="U294" s="7"/>
      <x:c r="V294" s="7"/>
      <x:c r="W294" s="9"/>
      <x:c r="X294" s="7"/>
      <x:c r="Y294" s="9"/>
      <x:c r="Z294" s="8"/>
      <x:c r="AA294" s="8"/>
      <x:c r="AB294" s="7"/>
      <x:c r="AC294" s="7"/>
      <x:c r="AD294" s="13"/>
      <x:c r="AE294" s="7"/>
      <x:c r="AF294" s="7"/>
      <x:c r="AG294" s="7"/>
      <x:c r="AH294" s="7"/>
      <x:c r="AI294" s="7"/>
      <x:c r="AJ294" s="9" t="str">
        <x:f>IF($A294="","",SUMIF(Sales_Items!$A$2:$A$501,$A294,Sales_Items!$O$2:$O$501))</x:f>
      </x:c>
      <x:c r="AK294" s="9" t="str">
        <x:f>IF($A294="","",$AJ294*$L294/100)</x:f>
      </x:c>
      <x:c r="AL294" s="9" t="str">
        <x:f>IF($A294="","",MAX(0,$AJ294-$AK294))</x:f>
      </x:c>
      <x:c r="AM294" s="9" t="str">
        <x:f>IF($A294="","",MAX(0,$AL294*$M294/100))</x:f>
      </x:c>
      <x:c r="AN294" s="9" t="str">
        <x:f>IF($A294="","",MAX(0,$AL294*$N294/100))</x:f>
      </x:c>
      <x:c r="AO294" s="9" t="str">
        <x:f>IF($A294="","",MAX(0,$AL294*$O294/100))</x:f>
      </x:c>
      <x:c r="AP294" s="9" t="str">
        <x:f>IF($A294="","",MAX(0,$AL294+$AM294+$P294+$W294-$AN294-$AO294-$Q294))</x:f>
      </x:c>
    </x:row>
    <x:row r="295">
      <x:c r="A295" s="13"/>
      <x:c r="B295" s="7"/>
      <x:c r="C295" s="13"/>
      <x:c r="D295" s="14"/>
      <x:c r="E295" s="8"/>
      <x:c r="F295" s="13"/>
      <x:c r="G295" s="7"/>
      <x:c r="H295" s="7"/>
      <x:c r="I295" s="7"/>
      <x:c r="J295" s="13"/>
      <x:c r="K295" s="16"/>
      <x:c r="L295" s="10"/>
      <x:c r="M295" s="10"/>
      <x:c r="N295" s="10"/>
      <x:c r="O295" s="10"/>
      <x:c r="P295" s="9"/>
      <x:c r="Q295" s="9"/>
      <x:c r="R295" s="7"/>
      <x:c r="S295" s="7"/>
      <x:c r="T295" s="7"/>
      <x:c r="U295" s="7"/>
      <x:c r="V295" s="7"/>
      <x:c r="W295" s="9"/>
      <x:c r="X295" s="7"/>
      <x:c r="Y295" s="9"/>
      <x:c r="Z295" s="8"/>
      <x:c r="AA295" s="8"/>
      <x:c r="AB295" s="7"/>
      <x:c r="AC295" s="7"/>
      <x:c r="AD295" s="13"/>
      <x:c r="AE295" s="7"/>
      <x:c r="AF295" s="7"/>
      <x:c r="AG295" s="7"/>
      <x:c r="AH295" s="7"/>
      <x:c r="AI295" s="7"/>
      <x:c r="AJ295" s="9" t="str">
        <x:f>IF($A295="","",SUMIF(Sales_Items!$A$2:$A$501,$A295,Sales_Items!$O$2:$O$501))</x:f>
      </x:c>
      <x:c r="AK295" s="9" t="str">
        <x:f>IF($A295="","",$AJ295*$L295/100)</x:f>
      </x:c>
      <x:c r="AL295" s="9" t="str">
        <x:f>IF($A295="","",MAX(0,$AJ295-$AK295))</x:f>
      </x:c>
      <x:c r="AM295" s="9" t="str">
        <x:f>IF($A295="","",MAX(0,$AL295*$M295/100))</x:f>
      </x:c>
      <x:c r="AN295" s="9" t="str">
        <x:f>IF($A295="","",MAX(0,$AL295*$N295/100))</x:f>
      </x:c>
      <x:c r="AO295" s="9" t="str">
        <x:f>IF($A295="","",MAX(0,$AL295*$O295/100))</x:f>
      </x:c>
      <x:c r="AP295" s="9" t="str">
        <x:f>IF($A295="","",MAX(0,$AL295+$AM295+$P295+$W295-$AN295-$AO295-$Q295))</x:f>
      </x:c>
    </x:row>
    <x:row r="296">
      <x:c r="A296" s="13"/>
      <x:c r="B296" s="7"/>
      <x:c r="C296" s="13"/>
      <x:c r="D296" s="14"/>
      <x:c r="E296" s="8"/>
      <x:c r="F296" s="13"/>
      <x:c r="G296" s="7"/>
      <x:c r="H296" s="7"/>
      <x:c r="I296" s="7"/>
      <x:c r="J296" s="13"/>
      <x:c r="K296" s="16"/>
      <x:c r="L296" s="10"/>
      <x:c r="M296" s="10"/>
      <x:c r="N296" s="10"/>
      <x:c r="O296" s="10"/>
      <x:c r="P296" s="9"/>
      <x:c r="Q296" s="9"/>
      <x:c r="R296" s="7"/>
      <x:c r="S296" s="7"/>
      <x:c r="T296" s="7"/>
      <x:c r="U296" s="7"/>
      <x:c r="V296" s="7"/>
      <x:c r="W296" s="9"/>
      <x:c r="X296" s="7"/>
      <x:c r="Y296" s="9"/>
      <x:c r="Z296" s="8"/>
      <x:c r="AA296" s="8"/>
      <x:c r="AB296" s="7"/>
      <x:c r="AC296" s="7"/>
      <x:c r="AD296" s="13"/>
      <x:c r="AE296" s="7"/>
      <x:c r="AF296" s="7"/>
      <x:c r="AG296" s="7"/>
      <x:c r="AH296" s="7"/>
      <x:c r="AI296" s="7"/>
      <x:c r="AJ296" s="9" t="str">
        <x:f>IF($A296="","",SUMIF(Sales_Items!$A$2:$A$501,$A296,Sales_Items!$O$2:$O$501))</x:f>
      </x:c>
      <x:c r="AK296" s="9" t="str">
        <x:f>IF($A296="","",$AJ296*$L296/100)</x:f>
      </x:c>
      <x:c r="AL296" s="9" t="str">
        <x:f>IF($A296="","",MAX(0,$AJ296-$AK296))</x:f>
      </x:c>
      <x:c r="AM296" s="9" t="str">
        <x:f>IF($A296="","",MAX(0,$AL296*$M296/100))</x:f>
      </x:c>
      <x:c r="AN296" s="9" t="str">
        <x:f>IF($A296="","",MAX(0,$AL296*$N296/100))</x:f>
      </x:c>
      <x:c r="AO296" s="9" t="str">
        <x:f>IF($A296="","",MAX(0,$AL296*$O296/100))</x:f>
      </x:c>
      <x:c r="AP296" s="9" t="str">
        <x:f>IF($A296="","",MAX(0,$AL296+$AM296+$P296+$W296-$AN296-$AO296-$Q296))</x:f>
      </x:c>
    </x:row>
    <x:row r="297">
      <x:c r="A297" s="13"/>
      <x:c r="B297" s="7"/>
      <x:c r="C297" s="13"/>
      <x:c r="D297" s="14"/>
      <x:c r="E297" s="8"/>
      <x:c r="F297" s="13"/>
      <x:c r="G297" s="7"/>
      <x:c r="H297" s="7"/>
      <x:c r="I297" s="7"/>
      <x:c r="J297" s="13"/>
      <x:c r="K297" s="16"/>
      <x:c r="L297" s="10"/>
      <x:c r="M297" s="10"/>
      <x:c r="N297" s="10"/>
      <x:c r="O297" s="10"/>
      <x:c r="P297" s="9"/>
      <x:c r="Q297" s="9"/>
      <x:c r="R297" s="7"/>
      <x:c r="S297" s="7"/>
      <x:c r="T297" s="7"/>
      <x:c r="U297" s="7"/>
      <x:c r="V297" s="7"/>
      <x:c r="W297" s="9"/>
      <x:c r="X297" s="7"/>
      <x:c r="Y297" s="9"/>
      <x:c r="Z297" s="8"/>
      <x:c r="AA297" s="8"/>
      <x:c r="AB297" s="7"/>
      <x:c r="AC297" s="7"/>
      <x:c r="AD297" s="13"/>
      <x:c r="AE297" s="7"/>
      <x:c r="AF297" s="7"/>
      <x:c r="AG297" s="7"/>
      <x:c r="AH297" s="7"/>
      <x:c r="AI297" s="7"/>
      <x:c r="AJ297" s="9" t="str">
        <x:f>IF($A297="","",SUMIF(Sales_Items!$A$2:$A$501,$A297,Sales_Items!$O$2:$O$501))</x:f>
      </x:c>
      <x:c r="AK297" s="9" t="str">
        <x:f>IF($A297="","",$AJ297*$L297/100)</x:f>
      </x:c>
      <x:c r="AL297" s="9" t="str">
        <x:f>IF($A297="","",MAX(0,$AJ297-$AK297))</x:f>
      </x:c>
      <x:c r="AM297" s="9" t="str">
        <x:f>IF($A297="","",MAX(0,$AL297*$M297/100))</x:f>
      </x:c>
      <x:c r="AN297" s="9" t="str">
        <x:f>IF($A297="","",MAX(0,$AL297*$N297/100))</x:f>
      </x:c>
      <x:c r="AO297" s="9" t="str">
        <x:f>IF($A297="","",MAX(0,$AL297*$O297/100))</x:f>
      </x:c>
      <x:c r="AP297" s="9" t="str">
        <x:f>IF($A297="","",MAX(0,$AL297+$AM297+$P297+$W297-$AN297-$AO297-$Q297))</x:f>
      </x:c>
    </x:row>
    <x:row r="298">
      <x:c r="A298" s="13"/>
      <x:c r="B298" s="7"/>
      <x:c r="C298" s="13"/>
      <x:c r="D298" s="14"/>
      <x:c r="E298" s="8"/>
      <x:c r="F298" s="13"/>
      <x:c r="G298" s="7"/>
      <x:c r="H298" s="7"/>
      <x:c r="I298" s="7"/>
      <x:c r="J298" s="13"/>
      <x:c r="K298" s="16"/>
      <x:c r="L298" s="10"/>
      <x:c r="M298" s="10"/>
      <x:c r="N298" s="10"/>
      <x:c r="O298" s="10"/>
      <x:c r="P298" s="9"/>
      <x:c r="Q298" s="9"/>
      <x:c r="R298" s="7"/>
      <x:c r="S298" s="7"/>
      <x:c r="T298" s="7"/>
      <x:c r="U298" s="7"/>
      <x:c r="V298" s="7"/>
      <x:c r="W298" s="9"/>
      <x:c r="X298" s="7"/>
      <x:c r="Y298" s="9"/>
      <x:c r="Z298" s="8"/>
      <x:c r="AA298" s="8"/>
      <x:c r="AB298" s="7"/>
      <x:c r="AC298" s="7"/>
      <x:c r="AD298" s="13"/>
      <x:c r="AE298" s="7"/>
      <x:c r="AF298" s="7"/>
      <x:c r="AG298" s="7"/>
      <x:c r="AH298" s="7"/>
      <x:c r="AI298" s="7"/>
      <x:c r="AJ298" s="9" t="str">
        <x:f>IF($A298="","",SUMIF(Sales_Items!$A$2:$A$501,$A298,Sales_Items!$O$2:$O$501))</x:f>
      </x:c>
      <x:c r="AK298" s="9" t="str">
        <x:f>IF($A298="","",$AJ298*$L298/100)</x:f>
      </x:c>
      <x:c r="AL298" s="9" t="str">
        <x:f>IF($A298="","",MAX(0,$AJ298-$AK298))</x:f>
      </x:c>
      <x:c r="AM298" s="9" t="str">
        <x:f>IF($A298="","",MAX(0,$AL298*$M298/100))</x:f>
      </x:c>
      <x:c r="AN298" s="9" t="str">
        <x:f>IF($A298="","",MAX(0,$AL298*$N298/100))</x:f>
      </x:c>
      <x:c r="AO298" s="9" t="str">
        <x:f>IF($A298="","",MAX(0,$AL298*$O298/100))</x:f>
      </x:c>
      <x:c r="AP298" s="9" t="str">
        <x:f>IF($A298="","",MAX(0,$AL298+$AM298+$P298+$W298-$AN298-$AO298-$Q298))</x:f>
      </x:c>
    </x:row>
    <x:row r="299">
      <x:c r="A299" s="13"/>
      <x:c r="B299" s="7"/>
      <x:c r="C299" s="13"/>
      <x:c r="D299" s="14"/>
      <x:c r="E299" s="8"/>
      <x:c r="F299" s="13"/>
      <x:c r="G299" s="7"/>
      <x:c r="H299" s="7"/>
      <x:c r="I299" s="7"/>
      <x:c r="J299" s="13"/>
      <x:c r="K299" s="16"/>
      <x:c r="L299" s="10"/>
      <x:c r="M299" s="10"/>
      <x:c r="N299" s="10"/>
      <x:c r="O299" s="10"/>
      <x:c r="P299" s="9"/>
      <x:c r="Q299" s="9"/>
      <x:c r="R299" s="7"/>
      <x:c r="S299" s="7"/>
      <x:c r="T299" s="7"/>
      <x:c r="U299" s="7"/>
      <x:c r="V299" s="7"/>
      <x:c r="W299" s="9"/>
      <x:c r="X299" s="7"/>
      <x:c r="Y299" s="9"/>
      <x:c r="Z299" s="8"/>
      <x:c r="AA299" s="8"/>
      <x:c r="AB299" s="7"/>
      <x:c r="AC299" s="7"/>
      <x:c r="AD299" s="13"/>
      <x:c r="AE299" s="7"/>
      <x:c r="AF299" s="7"/>
      <x:c r="AG299" s="7"/>
      <x:c r="AH299" s="7"/>
      <x:c r="AI299" s="7"/>
      <x:c r="AJ299" s="9" t="str">
        <x:f>IF($A299="","",SUMIF(Sales_Items!$A$2:$A$501,$A299,Sales_Items!$O$2:$O$501))</x:f>
      </x:c>
      <x:c r="AK299" s="9" t="str">
        <x:f>IF($A299="","",$AJ299*$L299/100)</x:f>
      </x:c>
      <x:c r="AL299" s="9" t="str">
        <x:f>IF($A299="","",MAX(0,$AJ299-$AK299))</x:f>
      </x:c>
      <x:c r="AM299" s="9" t="str">
        <x:f>IF($A299="","",MAX(0,$AL299*$M299/100))</x:f>
      </x:c>
      <x:c r="AN299" s="9" t="str">
        <x:f>IF($A299="","",MAX(0,$AL299*$N299/100))</x:f>
      </x:c>
      <x:c r="AO299" s="9" t="str">
        <x:f>IF($A299="","",MAX(0,$AL299*$O299/100))</x:f>
      </x:c>
      <x:c r="AP299" s="9" t="str">
        <x:f>IF($A299="","",MAX(0,$AL299+$AM299+$P299+$W299-$AN299-$AO299-$Q299))</x:f>
      </x:c>
    </x:row>
    <x:row r="300">
      <x:c r="A300" s="13"/>
      <x:c r="B300" s="7"/>
      <x:c r="C300" s="13"/>
      <x:c r="D300" s="14"/>
      <x:c r="E300" s="8"/>
      <x:c r="F300" s="13"/>
      <x:c r="G300" s="7"/>
      <x:c r="H300" s="7"/>
      <x:c r="I300" s="7"/>
      <x:c r="J300" s="13"/>
      <x:c r="K300" s="16"/>
      <x:c r="L300" s="10"/>
      <x:c r="M300" s="10"/>
      <x:c r="N300" s="10"/>
      <x:c r="O300" s="10"/>
      <x:c r="P300" s="9"/>
      <x:c r="Q300" s="9"/>
      <x:c r="R300" s="7"/>
      <x:c r="S300" s="7"/>
      <x:c r="T300" s="7"/>
      <x:c r="U300" s="7"/>
      <x:c r="V300" s="7"/>
      <x:c r="W300" s="9"/>
      <x:c r="X300" s="7"/>
      <x:c r="Y300" s="9"/>
      <x:c r="Z300" s="8"/>
      <x:c r="AA300" s="8"/>
      <x:c r="AB300" s="7"/>
      <x:c r="AC300" s="7"/>
      <x:c r="AD300" s="13"/>
      <x:c r="AE300" s="7"/>
      <x:c r="AF300" s="7"/>
      <x:c r="AG300" s="7"/>
      <x:c r="AH300" s="7"/>
      <x:c r="AI300" s="7"/>
      <x:c r="AJ300" s="9" t="str">
        <x:f>IF($A300="","",SUMIF(Sales_Items!$A$2:$A$501,$A300,Sales_Items!$O$2:$O$501))</x:f>
      </x:c>
      <x:c r="AK300" s="9" t="str">
        <x:f>IF($A300="","",$AJ300*$L300/100)</x:f>
      </x:c>
      <x:c r="AL300" s="9" t="str">
        <x:f>IF($A300="","",MAX(0,$AJ300-$AK300))</x:f>
      </x:c>
      <x:c r="AM300" s="9" t="str">
        <x:f>IF($A300="","",MAX(0,$AL300*$M300/100))</x:f>
      </x:c>
      <x:c r="AN300" s="9" t="str">
        <x:f>IF($A300="","",MAX(0,$AL300*$N300/100))</x:f>
      </x:c>
      <x:c r="AO300" s="9" t="str">
        <x:f>IF($A300="","",MAX(0,$AL300*$O300/100))</x:f>
      </x:c>
      <x:c r="AP300" s="9" t="str">
        <x:f>IF($A300="","",MAX(0,$AL300+$AM300+$P300+$W300-$AN300-$AO300-$Q300))</x:f>
      </x:c>
    </x:row>
    <x:row r="301">
      <x:c r="A301" s="13"/>
      <x:c r="B301" s="7"/>
      <x:c r="C301" s="13"/>
      <x:c r="D301" s="14"/>
      <x:c r="E301" s="8"/>
      <x:c r="F301" s="13"/>
      <x:c r="G301" s="7"/>
      <x:c r="H301" s="7"/>
      <x:c r="I301" s="7"/>
      <x:c r="J301" s="13"/>
      <x:c r="K301" s="16"/>
      <x:c r="L301" s="10"/>
      <x:c r="M301" s="10"/>
      <x:c r="N301" s="10"/>
      <x:c r="O301" s="10"/>
      <x:c r="P301" s="9"/>
      <x:c r="Q301" s="9"/>
      <x:c r="R301" s="7"/>
      <x:c r="S301" s="7"/>
      <x:c r="T301" s="7"/>
      <x:c r="U301" s="7"/>
      <x:c r="V301" s="7"/>
      <x:c r="W301" s="9"/>
      <x:c r="X301" s="7"/>
      <x:c r="Y301" s="9"/>
      <x:c r="Z301" s="8"/>
      <x:c r="AA301" s="8"/>
      <x:c r="AB301" s="7"/>
      <x:c r="AC301" s="7"/>
      <x:c r="AD301" s="13"/>
      <x:c r="AE301" s="7"/>
      <x:c r="AF301" s="7"/>
      <x:c r="AG301" s="7"/>
      <x:c r="AH301" s="7"/>
      <x:c r="AI301" s="7"/>
      <x:c r="AJ301" s="9" t="str">
        <x:f>IF($A301="","",SUMIF(Sales_Items!$A$2:$A$501,$A301,Sales_Items!$O$2:$O$501))</x:f>
      </x:c>
      <x:c r="AK301" s="9" t="str">
        <x:f>IF($A301="","",$AJ301*$L301/100)</x:f>
      </x:c>
      <x:c r="AL301" s="9" t="str">
        <x:f>IF($A301="","",MAX(0,$AJ301-$AK301))</x:f>
      </x:c>
      <x:c r="AM301" s="9" t="str">
        <x:f>IF($A301="","",MAX(0,$AL301*$M301/100))</x:f>
      </x:c>
      <x:c r="AN301" s="9" t="str">
        <x:f>IF($A301="","",MAX(0,$AL301*$N301/100))</x:f>
      </x:c>
      <x:c r="AO301" s="9" t="str">
        <x:f>IF($A301="","",MAX(0,$AL301*$O301/100))</x:f>
      </x:c>
      <x:c r="AP301" s="9" t="str">
        <x:f>IF($A301="","",MAX(0,$AL301+$AM301+$P301+$W301-$AN301-$AO301-$Q301))</x:f>
      </x:c>
    </x:row>
    <x:row r="302">
      <x:c r="A302" s="13"/>
      <x:c r="B302" s="7"/>
      <x:c r="C302" s="13"/>
      <x:c r="D302" s="14"/>
      <x:c r="E302" s="8"/>
      <x:c r="F302" s="13"/>
      <x:c r="G302" s="7"/>
      <x:c r="H302" s="7"/>
      <x:c r="I302" s="7"/>
      <x:c r="J302" s="13"/>
      <x:c r="K302" s="16"/>
      <x:c r="L302" s="10"/>
      <x:c r="M302" s="10"/>
      <x:c r="N302" s="10"/>
      <x:c r="O302" s="10"/>
      <x:c r="P302" s="9"/>
      <x:c r="Q302" s="9"/>
      <x:c r="R302" s="7"/>
      <x:c r="S302" s="7"/>
      <x:c r="T302" s="7"/>
      <x:c r="U302" s="7"/>
      <x:c r="V302" s="7"/>
      <x:c r="W302" s="9"/>
      <x:c r="X302" s="7"/>
      <x:c r="Y302" s="9"/>
      <x:c r="Z302" s="8"/>
      <x:c r="AA302" s="8"/>
      <x:c r="AB302" s="7"/>
      <x:c r="AC302" s="7"/>
      <x:c r="AD302" s="13"/>
      <x:c r="AE302" s="7"/>
      <x:c r="AF302" s="7"/>
      <x:c r="AG302" s="7"/>
      <x:c r="AH302" s="7"/>
      <x:c r="AI302" s="7"/>
      <x:c r="AJ302" s="9" t="str">
        <x:f>IF($A302="","",SUMIF(Sales_Items!$A$2:$A$501,$A302,Sales_Items!$O$2:$O$501))</x:f>
      </x:c>
      <x:c r="AK302" s="9" t="str">
        <x:f>IF($A302="","",$AJ302*$L302/100)</x:f>
      </x:c>
      <x:c r="AL302" s="9" t="str">
        <x:f>IF($A302="","",MAX(0,$AJ302-$AK302))</x:f>
      </x:c>
      <x:c r="AM302" s="9" t="str">
        <x:f>IF($A302="","",MAX(0,$AL302*$M302/100))</x:f>
      </x:c>
      <x:c r="AN302" s="9" t="str">
        <x:f>IF($A302="","",MAX(0,$AL302*$N302/100))</x:f>
      </x:c>
      <x:c r="AO302" s="9" t="str">
        <x:f>IF($A302="","",MAX(0,$AL302*$O302/100))</x:f>
      </x:c>
      <x:c r="AP302" s="9" t="str">
        <x:f>IF($A302="","",MAX(0,$AL302+$AM302+$P302+$W302-$AN302-$AO302-$Q302))</x:f>
      </x:c>
    </x:row>
    <x:row r="303">
      <x:c r="A303" s="13"/>
      <x:c r="B303" s="7"/>
      <x:c r="C303" s="13"/>
      <x:c r="D303" s="14"/>
      <x:c r="E303" s="8"/>
      <x:c r="F303" s="13"/>
      <x:c r="G303" s="7"/>
      <x:c r="H303" s="7"/>
      <x:c r="I303" s="7"/>
      <x:c r="J303" s="13"/>
      <x:c r="K303" s="16"/>
      <x:c r="L303" s="10"/>
      <x:c r="M303" s="10"/>
      <x:c r="N303" s="10"/>
      <x:c r="O303" s="10"/>
      <x:c r="P303" s="9"/>
      <x:c r="Q303" s="9"/>
      <x:c r="R303" s="7"/>
      <x:c r="S303" s="7"/>
      <x:c r="T303" s="7"/>
      <x:c r="U303" s="7"/>
      <x:c r="V303" s="7"/>
      <x:c r="W303" s="9"/>
      <x:c r="X303" s="7"/>
      <x:c r="Y303" s="9"/>
      <x:c r="Z303" s="8"/>
      <x:c r="AA303" s="8"/>
      <x:c r="AB303" s="7"/>
      <x:c r="AC303" s="7"/>
      <x:c r="AD303" s="13"/>
      <x:c r="AE303" s="7"/>
      <x:c r="AF303" s="7"/>
      <x:c r="AG303" s="7"/>
      <x:c r="AH303" s="7"/>
      <x:c r="AI303" s="7"/>
      <x:c r="AJ303" s="9" t="str">
        <x:f>IF($A303="","",SUMIF(Sales_Items!$A$2:$A$501,$A303,Sales_Items!$O$2:$O$501))</x:f>
      </x:c>
      <x:c r="AK303" s="9" t="str">
        <x:f>IF($A303="","",$AJ303*$L303/100)</x:f>
      </x:c>
      <x:c r="AL303" s="9" t="str">
        <x:f>IF($A303="","",MAX(0,$AJ303-$AK303))</x:f>
      </x:c>
      <x:c r="AM303" s="9" t="str">
        <x:f>IF($A303="","",MAX(0,$AL303*$M303/100))</x:f>
      </x:c>
      <x:c r="AN303" s="9" t="str">
        <x:f>IF($A303="","",MAX(0,$AL303*$N303/100))</x:f>
      </x:c>
      <x:c r="AO303" s="9" t="str">
        <x:f>IF($A303="","",MAX(0,$AL303*$O303/100))</x:f>
      </x:c>
      <x:c r="AP303" s="9" t="str">
        <x:f>IF($A303="","",MAX(0,$AL303+$AM303+$P303+$W303-$AN303-$AO303-$Q303))</x:f>
      </x:c>
    </x:row>
    <x:row r="304">
      <x:c r="A304" s="13"/>
      <x:c r="B304" s="7"/>
      <x:c r="C304" s="13"/>
      <x:c r="D304" s="14"/>
      <x:c r="E304" s="8"/>
      <x:c r="F304" s="13"/>
      <x:c r="G304" s="7"/>
      <x:c r="H304" s="7"/>
      <x:c r="I304" s="7"/>
      <x:c r="J304" s="13"/>
      <x:c r="K304" s="16"/>
      <x:c r="L304" s="10"/>
      <x:c r="M304" s="10"/>
      <x:c r="N304" s="10"/>
      <x:c r="O304" s="10"/>
      <x:c r="P304" s="9"/>
      <x:c r="Q304" s="9"/>
      <x:c r="R304" s="7"/>
      <x:c r="S304" s="7"/>
      <x:c r="T304" s="7"/>
      <x:c r="U304" s="7"/>
      <x:c r="V304" s="7"/>
      <x:c r="W304" s="9"/>
      <x:c r="X304" s="7"/>
      <x:c r="Y304" s="9"/>
      <x:c r="Z304" s="8"/>
      <x:c r="AA304" s="8"/>
      <x:c r="AB304" s="7"/>
      <x:c r="AC304" s="7"/>
      <x:c r="AD304" s="13"/>
      <x:c r="AE304" s="7"/>
      <x:c r="AF304" s="7"/>
      <x:c r="AG304" s="7"/>
      <x:c r="AH304" s="7"/>
      <x:c r="AI304" s="7"/>
      <x:c r="AJ304" s="9" t="str">
        <x:f>IF($A304="","",SUMIF(Sales_Items!$A$2:$A$501,$A304,Sales_Items!$O$2:$O$501))</x:f>
      </x:c>
      <x:c r="AK304" s="9" t="str">
        <x:f>IF($A304="","",$AJ304*$L304/100)</x:f>
      </x:c>
      <x:c r="AL304" s="9" t="str">
        <x:f>IF($A304="","",MAX(0,$AJ304-$AK304))</x:f>
      </x:c>
      <x:c r="AM304" s="9" t="str">
        <x:f>IF($A304="","",MAX(0,$AL304*$M304/100))</x:f>
      </x:c>
      <x:c r="AN304" s="9" t="str">
        <x:f>IF($A304="","",MAX(0,$AL304*$N304/100))</x:f>
      </x:c>
      <x:c r="AO304" s="9" t="str">
        <x:f>IF($A304="","",MAX(0,$AL304*$O304/100))</x:f>
      </x:c>
      <x:c r="AP304" s="9" t="str">
        <x:f>IF($A304="","",MAX(0,$AL304+$AM304+$P304+$W304-$AN304-$AO304-$Q304))</x:f>
      </x:c>
    </x:row>
    <x:row r="305">
      <x:c r="A305" s="13"/>
      <x:c r="B305" s="7"/>
      <x:c r="C305" s="13"/>
      <x:c r="D305" s="14"/>
      <x:c r="E305" s="8"/>
      <x:c r="F305" s="13"/>
      <x:c r="G305" s="7"/>
      <x:c r="H305" s="7"/>
      <x:c r="I305" s="7"/>
      <x:c r="J305" s="13"/>
      <x:c r="K305" s="16"/>
      <x:c r="L305" s="10"/>
      <x:c r="M305" s="10"/>
      <x:c r="N305" s="10"/>
      <x:c r="O305" s="10"/>
      <x:c r="P305" s="9"/>
      <x:c r="Q305" s="9"/>
      <x:c r="R305" s="7"/>
      <x:c r="S305" s="7"/>
      <x:c r="T305" s="7"/>
      <x:c r="U305" s="7"/>
      <x:c r="V305" s="7"/>
      <x:c r="W305" s="9"/>
      <x:c r="X305" s="7"/>
      <x:c r="Y305" s="9"/>
      <x:c r="Z305" s="8"/>
      <x:c r="AA305" s="8"/>
      <x:c r="AB305" s="7"/>
      <x:c r="AC305" s="7"/>
      <x:c r="AD305" s="13"/>
      <x:c r="AE305" s="7"/>
      <x:c r="AF305" s="7"/>
      <x:c r="AG305" s="7"/>
      <x:c r="AH305" s="7"/>
      <x:c r="AI305" s="7"/>
      <x:c r="AJ305" s="9" t="str">
        <x:f>IF($A305="","",SUMIF(Sales_Items!$A$2:$A$501,$A305,Sales_Items!$O$2:$O$501))</x:f>
      </x:c>
      <x:c r="AK305" s="9" t="str">
        <x:f>IF($A305="","",$AJ305*$L305/100)</x:f>
      </x:c>
      <x:c r="AL305" s="9" t="str">
        <x:f>IF($A305="","",MAX(0,$AJ305-$AK305))</x:f>
      </x:c>
      <x:c r="AM305" s="9" t="str">
        <x:f>IF($A305="","",MAX(0,$AL305*$M305/100))</x:f>
      </x:c>
      <x:c r="AN305" s="9" t="str">
        <x:f>IF($A305="","",MAX(0,$AL305*$N305/100))</x:f>
      </x:c>
      <x:c r="AO305" s="9" t="str">
        <x:f>IF($A305="","",MAX(0,$AL305*$O305/100))</x:f>
      </x:c>
      <x:c r="AP305" s="9" t="str">
        <x:f>IF($A305="","",MAX(0,$AL305+$AM305+$P305+$W305-$AN305-$AO305-$Q305))</x:f>
      </x:c>
    </x:row>
    <x:row r="306">
      <x:c r="A306" s="13"/>
      <x:c r="B306" s="7"/>
      <x:c r="C306" s="13"/>
      <x:c r="D306" s="14"/>
      <x:c r="E306" s="8"/>
      <x:c r="F306" s="13"/>
      <x:c r="G306" s="7"/>
      <x:c r="H306" s="7"/>
      <x:c r="I306" s="7"/>
      <x:c r="J306" s="13"/>
      <x:c r="K306" s="16"/>
      <x:c r="L306" s="10"/>
      <x:c r="M306" s="10"/>
      <x:c r="N306" s="10"/>
      <x:c r="O306" s="10"/>
      <x:c r="P306" s="9"/>
      <x:c r="Q306" s="9"/>
      <x:c r="R306" s="7"/>
      <x:c r="S306" s="7"/>
      <x:c r="T306" s="7"/>
      <x:c r="U306" s="7"/>
      <x:c r="V306" s="7"/>
      <x:c r="W306" s="9"/>
      <x:c r="X306" s="7"/>
      <x:c r="Y306" s="9"/>
      <x:c r="Z306" s="8"/>
      <x:c r="AA306" s="8"/>
      <x:c r="AB306" s="7"/>
      <x:c r="AC306" s="7"/>
      <x:c r="AD306" s="13"/>
      <x:c r="AE306" s="7"/>
      <x:c r="AF306" s="7"/>
      <x:c r="AG306" s="7"/>
      <x:c r="AH306" s="7"/>
      <x:c r="AI306" s="7"/>
      <x:c r="AJ306" s="9" t="str">
        <x:f>IF($A306="","",SUMIF(Sales_Items!$A$2:$A$501,$A306,Sales_Items!$O$2:$O$501))</x:f>
      </x:c>
      <x:c r="AK306" s="9" t="str">
        <x:f>IF($A306="","",$AJ306*$L306/100)</x:f>
      </x:c>
      <x:c r="AL306" s="9" t="str">
        <x:f>IF($A306="","",MAX(0,$AJ306-$AK306))</x:f>
      </x:c>
      <x:c r="AM306" s="9" t="str">
        <x:f>IF($A306="","",MAX(0,$AL306*$M306/100))</x:f>
      </x:c>
      <x:c r="AN306" s="9" t="str">
        <x:f>IF($A306="","",MAX(0,$AL306*$N306/100))</x:f>
      </x:c>
      <x:c r="AO306" s="9" t="str">
        <x:f>IF($A306="","",MAX(0,$AL306*$O306/100))</x:f>
      </x:c>
      <x:c r="AP306" s="9" t="str">
        <x:f>IF($A306="","",MAX(0,$AL306+$AM306+$P306+$W306-$AN306-$AO306-$Q306))</x:f>
      </x:c>
    </x:row>
    <x:row r="307">
      <x:c r="A307" s="13"/>
      <x:c r="B307" s="7"/>
      <x:c r="C307" s="13"/>
      <x:c r="D307" s="14"/>
      <x:c r="E307" s="8"/>
      <x:c r="F307" s="13"/>
      <x:c r="G307" s="7"/>
      <x:c r="H307" s="7"/>
      <x:c r="I307" s="7"/>
      <x:c r="J307" s="13"/>
      <x:c r="K307" s="16"/>
      <x:c r="L307" s="10"/>
      <x:c r="M307" s="10"/>
      <x:c r="N307" s="10"/>
      <x:c r="O307" s="10"/>
      <x:c r="P307" s="9"/>
      <x:c r="Q307" s="9"/>
      <x:c r="R307" s="7"/>
      <x:c r="S307" s="7"/>
      <x:c r="T307" s="7"/>
      <x:c r="U307" s="7"/>
      <x:c r="V307" s="7"/>
      <x:c r="W307" s="9"/>
      <x:c r="X307" s="7"/>
      <x:c r="Y307" s="9"/>
      <x:c r="Z307" s="8"/>
      <x:c r="AA307" s="8"/>
      <x:c r="AB307" s="7"/>
      <x:c r="AC307" s="7"/>
      <x:c r="AD307" s="13"/>
      <x:c r="AE307" s="7"/>
      <x:c r="AF307" s="7"/>
      <x:c r="AG307" s="7"/>
      <x:c r="AH307" s="7"/>
      <x:c r="AI307" s="7"/>
      <x:c r="AJ307" s="9" t="str">
        <x:f>IF($A307="","",SUMIF(Sales_Items!$A$2:$A$501,$A307,Sales_Items!$O$2:$O$501))</x:f>
      </x:c>
      <x:c r="AK307" s="9" t="str">
        <x:f>IF($A307="","",$AJ307*$L307/100)</x:f>
      </x:c>
      <x:c r="AL307" s="9" t="str">
        <x:f>IF($A307="","",MAX(0,$AJ307-$AK307))</x:f>
      </x:c>
      <x:c r="AM307" s="9" t="str">
        <x:f>IF($A307="","",MAX(0,$AL307*$M307/100))</x:f>
      </x:c>
      <x:c r="AN307" s="9" t="str">
        <x:f>IF($A307="","",MAX(0,$AL307*$N307/100))</x:f>
      </x:c>
      <x:c r="AO307" s="9" t="str">
        <x:f>IF($A307="","",MAX(0,$AL307*$O307/100))</x:f>
      </x:c>
      <x:c r="AP307" s="9" t="str">
        <x:f>IF($A307="","",MAX(0,$AL307+$AM307+$P307+$W307-$AN307-$AO307-$Q307))</x:f>
      </x:c>
    </x:row>
    <x:row r="308">
      <x:c r="A308" s="13"/>
      <x:c r="B308" s="7"/>
      <x:c r="C308" s="13"/>
      <x:c r="D308" s="14"/>
      <x:c r="E308" s="8"/>
      <x:c r="F308" s="13"/>
      <x:c r="G308" s="7"/>
      <x:c r="H308" s="7"/>
      <x:c r="I308" s="7"/>
      <x:c r="J308" s="13"/>
      <x:c r="K308" s="16"/>
      <x:c r="L308" s="10"/>
      <x:c r="M308" s="10"/>
      <x:c r="N308" s="10"/>
      <x:c r="O308" s="10"/>
      <x:c r="P308" s="9"/>
      <x:c r="Q308" s="9"/>
      <x:c r="R308" s="7"/>
      <x:c r="S308" s="7"/>
      <x:c r="T308" s="7"/>
      <x:c r="U308" s="7"/>
      <x:c r="V308" s="7"/>
      <x:c r="W308" s="9"/>
      <x:c r="X308" s="7"/>
      <x:c r="Y308" s="9"/>
      <x:c r="Z308" s="8"/>
      <x:c r="AA308" s="8"/>
      <x:c r="AB308" s="7"/>
      <x:c r="AC308" s="7"/>
      <x:c r="AD308" s="13"/>
      <x:c r="AE308" s="7"/>
      <x:c r="AF308" s="7"/>
      <x:c r="AG308" s="7"/>
      <x:c r="AH308" s="7"/>
      <x:c r="AI308" s="7"/>
      <x:c r="AJ308" s="9" t="str">
        <x:f>IF($A308="","",SUMIF(Sales_Items!$A$2:$A$501,$A308,Sales_Items!$O$2:$O$501))</x:f>
      </x:c>
      <x:c r="AK308" s="9" t="str">
        <x:f>IF($A308="","",$AJ308*$L308/100)</x:f>
      </x:c>
      <x:c r="AL308" s="9" t="str">
        <x:f>IF($A308="","",MAX(0,$AJ308-$AK308))</x:f>
      </x:c>
      <x:c r="AM308" s="9" t="str">
        <x:f>IF($A308="","",MAX(0,$AL308*$M308/100))</x:f>
      </x:c>
      <x:c r="AN308" s="9" t="str">
        <x:f>IF($A308="","",MAX(0,$AL308*$N308/100))</x:f>
      </x:c>
      <x:c r="AO308" s="9" t="str">
        <x:f>IF($A308="","",MAX(0,$AL308*$O308/100))</x:f>
      </x:c>
      <x:c r="AP308" s="9" t="str">
        <x:f>IF($A308="","",MAX(0,$AL308+$AM308+$P308+$W308-$AN308-$AO308-$Q308))</x:f>
      </x:c>
    </x:row>
    <x:row r="309">
      <x:c r="A309" s="13"/>
      <x:c r="B309" s="7"/>
      <x:c r="C309" s="13"/>
      <x:c r="D309" s="14"/>
      <x:c r="E309" s="8"/>
      <x:c r="F309" s="13"/>
      <x:c r="G309" s="7"/>
      <x:c r="H309" s="7"/>
      <x:c r="I309" s="7"/>
      <x:c r="J309" s="13"/>
      <x:c r="K309" s="16"/>
      <x:c r="L309" s="10"/>
      <x:c r="M309" s="10"/>
      <x:c r="N309" s="10"/>
      <x:c r="O309" s="10"/>
      <x:c r="P309" s="9"/>
      <x:c r="Q309" s="9"/>
      <x:c r="R309" s="7"/>
      <x:c r="S309" s="7"/>
      <x:c r="T309" s="7"/>
      <x:c r="U309" s="7"/>
      <x:c r="V309" s="7"/>
      <x:c r="W309" s="9"/>
      <x:c r="X309" s="7"/>
      <x:c r="Y309" s="9"/>
      <x:c r="Z309" s="8"/>
      <x:c r="AA309" s="8"/>
      <x:c r="AB309" s="7"/>
      <x:c r="AC309" s="7"/>
      <x:c r="AD309" s="13"/>
      <x:c r="AE309" s="7"/>
      <x:c r="AF309" s="7"/>
      <x:c r="AG309" s="7"/>
      <x:c r="AH309" s="7"/>
      <x:c r="AI309" s="7"/>
      <x:c r="AJ309" s="9" t="str">
        <x:f>IF($A309="","",SUMIF(Sales_Items!$A$2:$A$501,$A309,Sales_Items!$O$2:$O$501))</x:f>
      </x:c>
      <x:c r="AK309" s="9" t="str">
        <x:f>IF($A309="","",$AJ309*$L309/100)</x:f>
      </x:c>
      <x:c r="AL309" s="9" t="str">
        <x:f>IF($A309="","",MAX(0,$AJ309-$AK309))</x:f>
      </x:c>
      <x:c r="AM309" s="9" t="str">
        <x:f>IF($A309="","",MAX(0,$AL309*$M309/100))</x:f>
      </x:c>
      <x:c r="AN309" s="9" t="str">
        <x:f>IF($A309="","",MAX(0,$AL309*$N309/100))</x:f>
      </x:c>
      <x:c r="AO309" s="9" t="str">
        <x:f>IF($A309="","",MAX(0,$AL309*$O309/100))</x:f>
      </x:c>
      <x:c r="AP309" s="9" t="str">
        <x:f>IF($A309="","",MAX(0,$AL309+$AM309+$P309+$W309-$AN309-$AO309-$Q309))</x:f>
      </x:c>
    </x:row>
    <x:row r="310">
      <x:c r="A310" s="13"/>
      <x:c r="B310" s="7"/>
      <x:c r="C310" s="13"/>
      <x:c r="D310" s="14"/>
      <x:c r="E310" s="8"/>
      <x:c r="F310" s="13"/>
      <x:c r="G310" s="7"/>
      <x:c r="H310" s="7"/>
      <x:c r="I310" s="7"/>
      <x:c r="J310" s="13"/>
      <x:c r="K310" s="16"/>
      <x:c r="L310" s="10"/>
      <x:c r="M310" s="10"/>
      <x:c r="N310" s="10"/>
      <x:c r="O310" s="10"/>
      <x:c r="P310" s="9"/>
      <x:c r="Q310" s="9"/>
      <x:c r="R310" s="7"/>
      <x:c r="S310" s="7"/>
      <x:c r="T310" s="7"/>
      <x:c r="U310" s="7"/>
      <x:c r="V310" s="7"/>
      <x:c r="W310" s="9"/>
      <x:c r="X310" s="7"/>
      <x:c r="Y310" s="9"/>
      <x:c r="Z310" s="8"/>
      <x:c r="AA310" s="8"/>
      <x:c r="AB310" s="7"/>
      <x:c r="AC310" s="7"/>
      <x:c r="AD310" s="13"/>
      <x:c r="AE310" s="7"/>
      <x:c r="AF310" s="7"/>
      <x:c r="AG310" s="7"/>
      <x:c r="AH310" s="7"/>
      <x:c r="AI310" s="7"/>
      <x:c r="AJ310" s="9" t="str">
        <x:f>IF($A310="","",SUMIF(Sales_Items!$A$2:$A$501,$A310,Sales_Items!$O$2:$O$501))</x:f>
      </x:c>
      <x:c r="AK310" s="9" t="str">
        <x:f>IF($A310="","",$AJ310*$L310/100)</x:f>
      </x:c>
      <x:c r="AL310" s="9" t="str">
        <x:f>IF($A310="","",MAX(0,$AJ310-$AK310))</x:f>
      </x:c>
      <x:c r="AM310" s="9" t="str">
        <x:f>IF($A310="","",MAX(0,$AL310*$M310/100))</x:f>
      </x:c>
      <x:c r="AN310" s="9" t="str">
        <x:f>IF($A310="","",MAX(0,$AL310*$N310/100))</x:f>
      </x:c>
      <x:c r="AO310" s="9" t="str">
        <x:f>IF($A310="","",MAX(0,$AL310*$O310/100))</x:f>
      </x:c>
      <x:c r="AP310" s="9" t="str">
        <x:f>IF($A310="","",MAX(0,$AL310+$AM310+$P310+$W310-$AN310-$AO310-$Q310))</x:f>
      </x:c>
    </x:row>
    <x:row r="311">
      <x:c r="A311" s="13"/>
      <x:c r="B311" s="7"/>
      <x:c r="C311" s="13"/>
      <x:c r="D311" s="14"/>
      <x:c r="E311" s="8"/>
      <x:c r="F311" s="13"/>
      <x:c r="G311" s="7"/>
      <x:c r="H311" s="7"/>
      <x:c r="I311" s="7"/>
      <x:c r="J311" s="13"/>
      <x:c r="K311" s="16"/>
      <x:c r="L311" s="10"/>
      <x:c r="M311" s="10"/>
      <x:c r="N311" s="10"/>
      <x:c r="O311" s="10"/>
      <x:c r="P311" s="9"/>
      <x:c r="Q311" s="9"/>
      <x:c r="R311" s="7"/>
      <x:c r="S311" s="7"/>
      <x:c r="T311" s="7"/>
      <x:c r="U311" s="7"/>
      <x:c r="V311" s="7"/>
      <x:c r="W311" s="9"/>
      <x:c r="X311" s="7"/>
      <x:c r="Y311" s="9"/>
      <x:c r="Z311" s="8"/>
      <x:c r="AA311" s="8"/>
      <x:c r="AB311" s="7"/>
      <x:c r="AC311" s="7"/>
      <x:c r="AD311" s="13"/>
      <x:c r="AE311" s="7"/>
      <x:c r="AF311" s="7"/>
      <x:c r="AG311" s="7"/>
      <x:c r="AH311" s="7"/>
      <x:c r="AI311" s="7"/>
      <x:c r="AJ311" s="9" t="str">
        <x:f>IF($A311="","",SUMIF(Sales_Items!$A$2:$A$501,$A311,Sales_Items!$O$2:$O$501))</x:f>
      </x:c>
      <x:c r="AK311" s="9" t="str">
        <x:f>IF($A311="","",$AJ311*$L311/100)</x:f>
      </x:c>
      <x:c r="AL311" s="9" t="str">
        <x:f>IF($A311="","",MAX(0,$AJ311-$AK311))</x:f>
      </x:c>
      <x:c r="AM311" s="9" t="str">
        <x:f>IF($A311="","",MAX(0,$AL311*$M311/100))</x:f>
      </x:c>
      <x:c r="AN311" s="9" t="str">
        <x:f>IF($A311="","",MAX(0,$AL311*$N311/100))</x:f>
      </x:c>
      <x:c r="AO311" s="9" t="str">
        <x:f>IF($A311="","",MAX(0,$AL311*$O311/100))</x:f>
      </x:c>
      <x:c r="AP311" s="9" t="str">
        <x:f>IF($A311="","",MAX(0,$AL311+$AM311+$P311+$W311-$AN311-$AO311-$Q311))</x:f>
      </x:c>
    </x:row>
    <x:row r="312">
      <x:c r="A312" s="13"/>
      <x:c r="B312" s="7"/>
      <x:c r="C312" s="13"/>
      <x:c r="D312" s="14"/>
      <x:c r="E312" s="8"/>
      <x:c r="F312" s="13"/>
      <x:c r="G312" s="7"/>
      <x:c r="H312" s="7"/>
      <x:c r="I312" s="7"/>
      <x:c r="J312" s="13"/>
      <x:c r="K312" s="16"/>
      <x:c r="L312" s="10"/>
      <x:c r="M312" s="10"/>
      <x:c r="N312" s="10"/>
      <x:c r="O312" s="10"/>
      <x:c r="P312" s="9"/>
      <x:c r="Q312" s="9"/>
      <x:c r="R312" s="7"/>
      <x:c r="S312" s="7"/>
      <x:c r="T312" s="7"/>
      <x:c r="U312" s="7"/>
      <x:c r="V312" s="7"/>
      <x:c r="W312" s="9"/>
      <x:c r="X312" s="7"/>
      <x:c r="Y312" s="9"/>
      <x:c r="Z312" s="8"/>
      <x:c r="AA312" s="8"/>
      <x:c r="AB312" s="7"/>
      <x:c r="AC312" s="7"/>
      <x:c r="AD312" s="13"/>
      <x:c r="AE312" s="7"/>
      <x:c r="AF312" s="7"/>
      <x:c r="AG312" s="7"/>
      <x:c r="AH312" s="7"/>
      <x:c r="AI312" s="7"/>
      <x:c r="AJ312" s="9" t="str">
        <x:f>IF($A312="","",SUMIF(Sales_Items!$A$2:$A$501,$A312,Sales_Items!$O$2:$O$501))</x:f>
      </x:c>
      <x:c r="AK312" s="9" t="str">
        <x:f>IF($A312="","",$AJ312*$L312/100)</x:f>
      </x:c>
      <x:c r="AL312" s="9" t="str">
        <x:f>IF($A312="","",MAX(0,$AJ312-$AK312))</x:f>
      </x:c>
      <x:c r="AM312" s="9" t="str">
        <x:f>IF($A312="","",MAX(0,$AL312*$M312/100))</x:f>
      </x:c>
      <x:c r="AN312" s="9" t="str">
        <x:f>IF($A312="","",MAX(0,$AL312*$N312/100))</x:f>
      </x:c>
      <x:c r="AO312" s="9" t="str">
        <x:f>IF($A312="","",MAX(0,$AL312*$O312/100))</x:f>
      </x:c>
      <x:c r="AP312" s="9" t="str">
        <x:f>IF($A312="","",MAX(0,$AL312+$AM312+$P312+$W312-$AN312-$AO312-$Q312))</x:f>
      </x:c>
    </x:row>
    <x:row r="313">
      <x:c r="A313" s="13"/>
      <x:c r="B313" s="7"/>
      <x:c r="C313" s="13"/>
      <x:c r="D313" s="14"/>
      <x:c r="E313" s="8"/>
      <x:c r="F313" s="13"/>
      <x:c r="G313" s="7"/>
      <x:c r="H313" s="7"/>
      <x:c r="I313" s="7"/>
      <x:c r="J313" s="13"/>
      <x:c r="K313" s="16"/>
      <x:c r="L313" s="10"/>
      <x:c r="M313" s="10"/>
      <x:c r="N313" s="10"/>
      <x:c r="O313" s="10"/>
      <x:c r="P313" s="9"/>
      <x:c r="Q313" s="9"/>
      <x:c r="R313" s="7"/>
      <x:c r="S313" s="7"/>
      <x:c r="T313" s="7"/>
      <x:c r="U313" s="7"/>
      <x:c r="V313" s="7"/>
      <x:c r="W313" s="9"/>
      <x:c r="X313" s="7"/>
      <x:c r="Y313" s="9"/>
      <x:c r="Z313" s="8"/>
      <x:c r="AA313" s="8"/>
      <x:c r="AB313" s="7"/>
      <x:c r="AC313" s="7"/>
      <x:c r="AD313" s="13"/>
      <x:c r="AE313" s="7"/>
      <x:c r="AF313" s="7"/>
      <x:c r="AG313" s="7"/>
      <x:c r="AH313" s="7"/>
      <x:c r="AI313" s="7"/>
      <x:c r="AJ313" s="9" t="str">
        <x:f>IF($A313="","",SUMIF(Sales_Items!$A$2:$A$501,$A313,Sales_Items!$O$2:$O$501))</x:f>
      </x:c>
      <x:c r="AK313" s="9" t="str">
        <x:f>IF($A313="","",$AJ313*$L313/100)</x:f>
      </x:c>
      <x:c r="AL313" s="9" t="str">
        <x:f>IF($A313="","",MAX(0,$AJ313-$AK313))</x:f>
      </x:c>
      <x:c r="AM313" s="9" t="str">
        <x:f>IF($A313="","",MAX(0,$AL313*$M313/100))</x:f>
      </x:c>
      <x:c r="AN313" s="9" t="str">
        <x:f>IF($A313="","",MAX(0,$AL313*$N313/100))</x:f>
      </x:c>
      <x:c r="AO313" s="9" t="str">
        <x:f>IF($A313="","",MAX(0,$AL313*$O313/100))</x:f>
      </x:c>
      <x:c r="AP313" s="9" t="str">
        <x:f>IF($A313="","",MAX(0,$AL313+$AM313+$P313+$W313-$AN313-$AO313-$Q313))</x:f>
      </x:c>
    </x:row>
    <x:row r="314">
      <x:c r="A314" s="13"/>
      <x:c r="B314" s="7"/>
      <x:c r="C314" s="13"/>
      <x:c r="D314" s="14"/>
      <x:c r="E314" s="8"/>
      <x:c r="F314" s="13"/>
      <x:c r="G314" s="7"/>
      <x:c r="H314" s="7"/>
      <x:c r="I314" s="7"/>
      <x:c r="J314" s="13"/>
      <x:c r="K314" s="16"/>
      <x:c r="L314" s="10"/>
      <x:c r="M314" s="10"/>
      <x:c r="N314" s="10"/>
      <x:c r="O314" s="10"/>
      <x:c r="P314" s="9"/>
      <x:c r="Q314" s="9"/>
      <x:c r="R314" s="7"/>
      <x:c r="S314" s="7"/>
      <x:c r="T314" s="7"/>
      <x:c r="U314" s="7"/>
      <x:c r="V314" s="7"/>
      <x:c r="W314" s="9"/>
      <x:c r="X314" s="7"/>
      <x:c r="Y314" s="9"/>
      <x:c r="Z314" s="8"/>
      <x:c r="AA314" s="8"/>
      <x:c r="AB314" s="7"/>
      <x:c r="AC314" s="7"/>
      <x:c r="AD314" s="13"/>
      <x:c r="AE314" s="7"/>
      <x:c r="AF314" s="7"/>
      <x:c r="AG314" s="7"/>
      <x:c r="AH314" s="7"/>
      <x:c r="AI314" s="7"/>
      <x:c r="AJ314" s="9" t="str">
        <x:f>IF($A314="","",SUMIF(Sales_Items!$A$2:$A$501,$A314,Sales_Items!$O$2:$O$501))</x:f>
      </x:c>
      <x:c r="AK314" s="9" t="str">
        <x:f>IF($A314="","",$AJ314*$L314/100)</x:f>
      </x:c>
      <x:c r="AL314" s="9" t="str">
        <x:f>IF($A314="","",MAX(0,$AJ314-$AK314))</x:f>
      </x:c>
      <x:c r="AM314" s="9" t="str">
        <x:f>IF($A314="","",MAX(0,$AL314*$M314/100))</x:f>
      </x:c>
      <x:c r="AN314" s="9" t="str">
        <x:f>IF($A314="","",MAX(0,$AL314*$N314/100))</x:f>
      </x:c>
      <x:c r="AO314" s="9" t="str">
        <x:f>IF($A314="","",MAX(0,$AL314*$O314/100))</x:f>
      </x:c>
      <x:c r="AP314" s="9" t="str">
        <x:f>IF($A314="","",MAX(0,$AL314+$AM314+$P314+$W314-$AN314-$AO314-$Q314))</x:f>
      </x:c>
    </x:row>
    <x:row r="315">
      <x:c r="A315" s="13"/>
      <x:c r="B315" s="7"/>
      <x:c r="C315" s="13"/>
      <x:c r="D315" s="14"/>
      <x:c r="E315" s="8"/>
      <x:c r="F315" s="13"/>
      <x:c r="G315" s="7"/>
      <x:c r="H315" s="7"/>
      <x:c r="I315" s="7"/>
      <x:c r="J315" s="13"/>
      <x:c r="K315" s="16"/>
      <x:c r="L315" s="10"/>
      <x:c r="M315" s="10"/>
      <x:c r="N315" s="10"/>
      <x:c r="O315" s="10"/>
      <x:c r="P315" s="9"/>
      <x:c r="Q315" s="9"/>
      <x:c r="R315" s="7"/>
      <x:c r="S315" s="7"/>
      <x:c r="T315" s="7"/>
      <x:c r="U315" s="7"/>
      <x:c r="V315" s="7"/>
      <x:c r="W315" s="9"/>
      <x:c r="X315" s="7"/>
      <x:c r="Y315" s="9"/>
      <x:c r="Z315" s="8"/>
      <x:c r="AA315" s="8"/>
      <x:c r="AB315" s="7"/>
      <x:c r="AC315" s="7"/>
      <x:c r="AD315" s="13"/>
      <x:c r="AE315" s="7"/>
      <x:c r="AF315" s="7"/>
      <x:c r="AG315" s="7"/>
      <x:c r="AH315" s="7"/>
      <x:c r="AI315" s="7"/>
      <x:c r="AJ315" s="9" t="str">
        <x:f>IF($A315="","",SUMIF(Sales_Items!$A$2:$A$501,$A315,Sales_Items!$O$2:$O$501))</x:f>
      </x:c>
      <x:c r="AK315" s="9" t="str">
        <x:f>IF($A315="","",$AJ315*$L315/100)</x:f>
      </x:c>
      <x:c r="AL315" s="9" t="str">
        <x:f>IF($A315="","",MAX(0,$AJ315-$AK315))</x:f>
      </x:c>
      <x:c r="AM315" s="9" t="str">
        <x:f>IF($A315="","",MAX(0,$AL315*$M315/100))</x:f>
      </x:c>
      <x:c r="AN315" s="9" t="str">
        <x:f>IF($A315="","",MAX(0,$AL315*$N315/100))</x:f>
      </x:c>
      <x:c r="AO315" s="9" t="str">
        <x:f>IF($A315="","",MAX(0,$AL315*$O315/100))</x:f>
      </x:c>
      <x:c r="AP315" s="9" t="str">
        <x:f>IF($A315="","",MAX(0,$AL315+$AM315+$P315+$W315-$AN315-$AO315-$Q315))</x:f>
      </x:c>
    </x:row>
    <x:row r="316">
      <x:c r="A316" s="13"/>
      <x:c r="B316" s="7"/>
      <x:c r="C316" s="13"/>
      <x:c r="D316" s="14"/>
      <x:c r="E316" s="8"/>
      <x:c r="F316" s="13"/>
      <x:c r="G316" s="7"/>
      <x:c r="H316" s="7"/>
      <x:c r="I316" s="7"/>
      <x:c r="J316" s="13"/>
      <x:c r="K316" s="16"/>
      <x:c r="L316" s="10"/>
      <x:c r="M316" s="10"/>
      <x:c r="N316" s="10"/>
      <x:c r="O316" s="10"/>
      <x:c r="P316" s="9"/>
      <x:c r="Q316" s="9"/>
      <x:c r="R316" s="7"/>
      <x:c r="S316" s="7"/>
      <x:c r="T316" s="7"/>
      <x:c r="U316" s="7"/>
      <x:c r="V316" s="7"/>
      <x:c r="W316" s="9"/>
      <x:c r="X316" s="7"/>
      <x:c r="Y316" s="9"/>
      <x:c r="Z316" s="8"/>
      <x:c r="AA316" s="8"/>
      <x:c r="AB316" s="7"/>
      <x:c r="AC316" s="7"/>
      <x:c r="AD316" s="13"/>
      <x:c r="AE316" s="7"/>
      <x:c r="AF316" s="7"/>
      <x:c r="AG316" s="7"/>
      <x:c r="AH316" s="7"/>
      <x:c r="AI316" s="7"/>
      <x:c r="AJ316" s="9" t="str">
        <x:f>IF($A316="","",SUMIF(Sales_Items!$A$2:$A$501,$A316,Sales_Items!$O$2:$O$501))</x:f>
      </x:c>
      <x:c r="AK316" s="9" t="str">
        <x:f>IF($A316="","",$AJ316*$L316/100)</x:f>
      </x:c>
      <x:c r="AL316" s="9" t="str">
        <x:f>IF($A316="","",MAX(0,$AJ316-$AK316))</x:f>
      </x:c>
      <x:c r="AM316" s="9" t="str">
        <x:f>IF($A316="","",MAX(0,$AL316*$M316/100))</x:f>
      </x:c>
      <x:c r="AN316" s="9" t="str">
        <x:f>IF($A316="","",MAX(0,$AL316*$N316/100))</x:f>
      </x:c>
      <x:c r="AO316" s="9" t="str">
        <x:f>IF($A316="","",MAX(0,$AL316*$O316/100))</x:f>
      </x:c>
      <x:c r="AP316" s="9" t="str">
        <x:f>IF($A316="","",MAX(0,$AL316+$AM316+$P316+$W316-$AN316-$AO316-$Q316))</x:f>
      </x:c>
    </x:row>
    <x:row r="317">
      <x:c r="A317" s="13"/>
      <x:c r="B317" s="7"/>
      <x:c r="C317" s="13"/>
      <x:c r="D317" s="14"/>
      <x:c r="E317" s="8"/>
      <x:c r="F317" s="13"/>
      <x:c r="G317" s="7"/>
      <x:c r="H317" s="7"/>
      <x:c r="I317" s="7"/>
      <x:c r="J317" s="13"/>
      <x:c r="K317" s="16"/>
      <x:c r="L317" s="10"/>
      <x:c r="M317" s="10"/>
      <x:c r="N317" s="10"/>
      <x:c r="O317" s="10"/>
      <x:c r="P317" s="9"/>
      <x:c r="Q317" s="9"/>
      <x:c r="R317" s="7"/>
      <x:c r="S317" s="7"/>
      <x:c r="T317" s="7"/>
      <x:c r="U317" s="7"/>
      <x:c r="V317" s="7"/>
      <x:c r="W317" s="9"/>
      <x:c r="X317" s="7"/>
      <x:c r="Y317" s="9"/>
      <x:c r="Z317" s="8"/>
      <x:c r="AA317" s="8"/>
      <x:c r="AB317" s="7"/>
      <x:c r="AC317" s="7"/>
      <x:c r="AD317" s="13"/>
      <x:c r="AE317" s="7"/>
      <x:c r="AF317" s="7"/>
      <x:c r="AG317" s="7"/>
      <x:c r="AH317" s="7"/>
      <x:c r="AI317" s="7"/>
      <x:c r="AJ317" s="9" t="str">
        <x:f>IF($A317="","",SUMIF(Sales_Items!$A$2:$A$501,$A317,Sales_Items!$O$2:$O$501))</x:f>
      </x:c>
      <x:c r="AK317" s="9" t="str">
        <x:f>IF($A317="","",$AJ317*$L317/100)</x:f>
      </x:c>
      <x:c r="AL317" s="9" t="str">
        <x:f>IF($A317="","",MAX(0,$AJ317-$AK317))</x:f>
      </x:c>
      <x:c r="AM317" s="9" t="str">
        <x:f>IF($A317="","",MAX(0,$AL317*$M317/100))</x:f>
      </x:c>
      <x:c r="AN317" s="9" t="str">
        <x:f>IF($A317="","",MAX(0,$AL317*$N317/100))</x:f>
      </x:c>
      <x:c r="AO317" s="9" t="str">
        <x:f>IF($A317="","",MAX(0,$AL317*$O317/100))</x:f>
      </x:c>
      <x:c r="AP317" s="9" t="str">
        <x:f>IF($A317="","",MAX(0,$AL317+$AM317+$P317+$W317-$AN317-$AO317-$Q317))</x:f>
      </x:c>
    </x:row>
    <x:row r="318">
      <x:c r="A318" s="13"/>
      <x:c r="B318" s="7"/>
      <x:c r="C318" s="13"/>
      <x:c r="D318" s="14"/>
      <x:c r="E318" s="8"/>
      <x:c r="F318" s="13"/>
      <x:c r="G318" s="7"/>
      <x:c r="H318" s="7"/>
      <x:c r="I318" s="7"/>
      <x:c r="J318" s="13"/>
      <x:c r="K318" s="16"/>
      <x:c r="L318" s="10"/>
      <x:c r="M318" s="10"/>
      <x:c r="N318" s="10"/>
      <x:c r="O318" s="10"/>
      <x:c r="P318" s="9"/>
      <x:c r="Q318" s="9"/>
      <x:c r="R318" s="7"/>
      <x:c r="S318" s="7"/>
      <x:c r="T318" s="7"/>
      <x:c r="U318" s="7"/>
      <x:c r="V318" s="7"/>
      <x:c r="W318" s="9"/>
      <x:c r="X318" s="7"/>
      <x:c r="Y318" s="9"/>
      <x:c r="Z318" s="8"/>
      <x:c r="AA318" s="8"/>
      <x:c r="AB318" s="7"/>
      <x:c r="AC318" s="7"/>
      <x:c r="AD318" s="13"/>
      <x:c r="AE318" s="7"/>
      <x:c r="AF318" s="7"/>
      <x:c r="AG318" s="7"/>
      <x:c r="AH318" s="7"/>
      <x:c r="AI318" s="7"/>
      <x:c r="AJ318" s="9" t="str">
        <x:f>IF($A318="","",SUMIF(Sales_Items!$A$2:$A$501,$A318,Sales_Items!$O$2:$O$501))</x:f>
      </x:c>
      <x:c r="AK318" s="9" t="str">
        <x:f>IF($A318="","",$AJ318*$L318/100)</x:f>
      </x:c>
      <x:c r="AL318" s="9" t="str">
        <x:f>IF($A318="","",MAX(0,$AJ318-$AK318))</x:f>
      </x:c>
      <x:c r="AM318" s="9" t="str">
        <x:f>IF($A318="","",MAX(0,$AL318*$M318/100))</x:f>
      </x:c>
      <x:c r="AN318" s="9" t="str">
        <x:f>IF($A318="","",MAX(0,$AL318*$N318/100))</x:f>
      </x:c>
      <x:c r="AO318" s="9" t="str">
        <x:f>IF($A318="","",MAX(0,$AL318*$O318/100))</x:f>
      </x:c>
      <x:c r="AP318" s="9" t="str">
        <x:f>IF($A318="","",MAX(0,$AL318+$AM318+$P318+$W318-$AN318-$AO318-$Q318))</x:f>
      </x:c>
    </x:row>
    <x:row r="319">
      <x:c r="A319" s="13"/>
      <x:c r="B319" s="7"/>
      <x:c r="C319" s="13"/>
      <x:c r="D319" s="14"/>
      <x:c r="E319" s="8"/>
      <x:c r="F319" s="13"/>
      <x:c r="G319" s="7"/>
      <x:c r="H319" s="7"/>
      <x:c r="I319" s="7"/>
      <x:c r="J319" s="13"/>
      <x:c r="K319" s="16"/>
      <x:c r="L319" s="10"/>
      <x:c r="M319" s="10"/>
      <x:c r="N319" s="10"/>
      <x:c r="O319" s="10"/>
      <x:c r="P319" s="9"/>
      <x:c r="Q319" s="9"/>
      <x:c r="R319" s="7"/>
      <x:c r="S319" s="7"/>
      <x:c r="T319" s="7"/>
      <x:c r="U319" s="7"/>
      <x:c r="V319" s="7"/>
      <x:c r="W319" s="9"/>
      <x:c r="X319" s="7"/>
      <x:c r="Y319" s="9"/>
      <x:c r="Z319" s="8"/>
      <x:c r="AA319" s="8"/>
      <x:c r="AB319" s="7"/>
      <x:c r="AC319" s="7"/>
      <x:c r="AD319" s="13"/>
      <x:c r="AE319" s="7"/>
      <x:c r="AF319" s="7"/>
      <x:c r="AG319" s="7"/>
      <x:c r="AH319" s="7"/>
      <x:c r="AI319" s="7"/>
      <x:c r="AJ319" s="9" t="str">
        <x:f>IF($A319="","",SUMIF(Sales_Items!$A$2:$A$501,$A319,Sales_Items!$O$2:$O$501))</x:f>
      </x:c>
      <x:c r="AK319" s="9" t="str">
        <x:f>IF($A319="","",$AJ319*$L319/100)</x:f>
      </x:c>
      <x:c r="AL319" s="9" t="str">
        <x:f>IF($A319="","",MAX(0,$AJ319-$AK319))</x:f>
      </x:c>
      <x:c r="AM319" s="9" t="str">
        <x:f>IF($A319="","",MAX(0,$AL319*$M319/100))</x:f>
      </x:c>
      <x:c r="AN319" s="9" t="str">
        <x:f>IF($A319="","",MAX(0,$AL319*$N319/100))</x:f>
      </x:c>
      <x:c r="AO319" s="9" t="str">
        <x:f>IF($A319="","",MAX(0,$AL319*$O319/100))</x:f>
      </x:c>
      <x:c r="AP319" s="9" t="str">
        <x:f>IF($A319="","",MAX(0,$AL319+$AM319+$P319+$W319-$AN319-$AO319-$Q319))</x:f>
      </x:c>
    </x:row>
    <x:row r="320">
      <x:c r="A320" s="13"/>
      <x:c r="B320" s="7"/>
      <x:c r="C320" s="13"/>
      <x:c r="D320" s="14"/>
      <x:c r="E320" s="8"/>
      <x:c r="F320" s="13"/>
      <x:c r="G320" s="7"/>
      <x:c r="H320" s="7"/>
      <x:c r="I320" s="7"/>
      <x:c r="J320" s="13"/>
      <x:c r="K320" s="16"/>
      <x:c r="L320" s="10"/>
      <x:c r="M320" s="10"/>
      <x:c r="N320" s="10"/>
      <x:c r="O320" s="10"/>
      <x:c r="P320" s="9"/>
      <x:c r="Q320" s="9"/>
      <x:c r="R320" s="7"/>
      <x:c r="S320" s="7"/>
      <x:c r="T320" s="7"/>
      <x:c r="U320" s="7"/>
      <x:c r="V320" s="7"/>
      <x:c r="W320" s="9"/>
      <x:c r="X320" s="7"/>
      <x:c r="Y320" s="9"/>
      <x:c r="Z320" s="8"/>
      <x:c r="AA320" s="8"/>
      <x:c r="AB320" s="7"/>
      <x:c r="AC320" s="7"/>
      <x:c r="AD320" s="13"/>
      <x:c r="AE320" s="7"/>
      <x:c r="AF320" s="7"/>
      <x:c r="AG320" s="7"/>
      <x:c r="AH320" s="7"/>
      <x:c r="AI320" s="7"/>
      <x:c r="AJ320" s="9" t="str">
        <x:f>IF($A320="","",SUMIF(Sales_Items!$A$2:$A$501,$A320,Sales_Items!$O$2:$O$501))</x:f>
      </x:c>
      <x:c r="AK320" s="9" t="str">
        <x:f>IF($A320="","",$AJ320*$L320/100)</x:f>
      </x:c>
      <x:c r="AL320" s="9" t="str">
        <x:f>IF($A320="","",MAX(0,$AJ320-$AK320))</x:f>
      </x:c>
      <x:c r="AM320" s="9" t="str">
        <x:f>IF($A320="","",MAX(0,$AL320*$M320/100))</x:f>
      </x:c>
      <x:c r="AN320" s="9" t="str">
        <x:f>IF($A320="","",MAX(0,$AL320*$N320/100))</x:f>
      </x:c>
      <x:c r="AO320" s="9" t="str">
        <x:f>IF($A320="","",MAX(0,$AL320*$O320/100))</x:f>
      </x:c>
      <x:c r="AP320" s="9" t="str">
        <x:f>IF($A320="","",MAX(0,$AL320+$AM320+$P320+$W320-$AN320-$AO320-$Q320))</x:f>
      </x:c>
    </x:row>
    <x:row r="321">
      <x:c r="A321" s="13"/>
      <x:c r="B321" s="7"/>
      <x:c r="C321" s="13"/>
      <x:c r="D321" s="14"/>
      <x:c r="E321" s="8"/>
      <x:c r="F321" s="13"/>
      <x:c r="G321" s="7"/>
      <x:c r="H321" s="7"/>
      <x:c r="I321" s="7"/>
      <x:c r="J321" s="13"/>
      <x:c r="K321" s="16"/>
      <x:c r="L321" s="10"/>
      <x:c r="M321" s="10"/>
      <x:c r="N321" s="10"/>
      <x:c r="O321" s="10"/>
      <x:c r="P321" s="9"/>
      <x:c r="Q321" s="9"/>
      <x:c r="R321" s="7"/>
      <x:c r="S321" s="7"/>
      <x:c r="T321" s="7"/>
      <x:c r="U321" s="7"/>
      <x:c r="V321" s="7"/>
      <x:c r="W321" s="9"/>
      <x:c r="X321" s="7"/>
      <x:c r="Y321" s="9"/>
      <x:c r="Z321" s="8"/>
      <x:c r="AA321" s="8"/>
      <x:c r="AB321" s="7"/>
      <x:c r="AC321" s="7"/>
      <x:c r="AD321" s="13"/>
      <x:c r="AE321" s="7"/>
      <x:c r="AF321" s="7"/>
      <x:c r="AG321" s="7"/>
      <x:c r="AH321" s="7"/>
      <x:c r="AI321" s="7"/>
      <x:c r="AJ321" s="9" t="str">
        <x:f>IF($A321="","",SUMIF(Sales_Items!$A$2:$A$501,$A321,Sales_Items!$O$2:$O$501))</x:f>
      </x:c>
      <x:c r="AK321" s="9" t="str">
        <x:f>IF($A321="","",$AJ321*$L321/100)</x:f>
      </x:c>
      <x:c r="AL321" s="9" t="str">
        <x:f>IF($A321="","",MAX(0,$AJ321-$AK321))</x:f>
      </x:c>
      <x:c r="AM321" s="9" t="str">
        <x:f>IF($A321="","",MAX(0,$AL321*$M321/100))</x:f>
      </x:c>
      <x:c r="AN321" s="9" t="str">
        <x:f>IF($A321="","",MAX(0,$AL321*$N321/100))</x:f>
      </x:c>
      <x:c r="AO321" s="9" t="str">
        <x:f>IF($A321="","",MAX(0,$AL321*$O321/100))</x:f>
      </x:c>
      <x:c r="AP321" s="9" t="str">
        <x:f>IF($A321="","",MAX(0,$AL321+$AM321+$P321+$W321-$AN321-$AO321-$Q321))</x:f>
      </x:c>
    </x:row>
    <x:row r="322">
      <x:c r="A322" s="13"/>
      <x:c r="B322" s="7"/>
      <x:c r="C322" s="13"/>
      <x:c r="D322" s="14"/>
      <x:c r="E322" s="8"/>
      <x:c r="F322" s="13"/>
      <x:c r="G322" s="7"/>
      <x:c r="H322" s="7"/>
      <x:c r="I322" s="7"/>
      <x:c r="J322" s="13"/>
      <x:c r="K322" s="16"/>
      <x:c r="L322" s="10"/>
      <x:c r="M322" s="10"/>
      <x:c r="N322" s="10"/>
      <x:c r="O322" s="10"/>
      <x:c r="P322" s="9"/>
      <x:c r="Q322" s="9"/>
      <x:c r="R322" s="7"/>
      <x:c r="S322" s="7"/>
      <x:c r="T322" s="7"/>
      <x:c r="U322" s="7"/>
      <x:c r="V322" s="7"/>
      <x:c r="W322" s="9"/>
      <x:c r="X322" s="7"/>
      <x:c r="Y322" s="9"/>
      <x:c r="Z322" s="8"/>
      <x:c r="AA322" s="8"/>
      <x:c r="AB322" s="7"/>
      <x:c r="AC322" s="7"/>
      <x:c r="AD322" s="13"/>
      <x:c r="AE322" s="7"/>
      <x:c r="AF322" s="7"/>
      <x:c r="AG322" s="7"/>
      <x:c r="AH322" s="7"/>
      <x:c r="AI322" s="7"/>
      <x:c r="AJ322" s="9" t="str">
        <x:f>IF($A322="","",SUMIF(Sales_Items!$A$2:$A$501,$A322,Sales_Items!$O$2:$O$501))</x:f>
      </x:c>
      <x:c r="AK322" s="9" t="str">
        <x:f>IF($A322="","",$AJ322*$L322/100)</x:f>
      </x:c>
      <x:c r="AL322" s="9" t="str">
        <x:f>IF($A322="","",MAX(0,$AJ322-$AK322))</x:f>
      </x:c>
      <x:c r="AM322" s="9" t="str">
        <x:f>IF($A322="","",MAX(0,$AL322*$M322/100))</x:f>
      </x:c>
      <x:c r="AN322" s="9" t="str">
        <x:f>IF($A322="","",MAX(0,$AL322*$N322/100))</x:f>
      </x:c>
      <x:c r="AO322" s="9" t="str">
        <x:f>IF($A322="","",MAX(0,$AL322*$O322/100))</x:f>
      </x:c>
      <x:c r="AP322" s="9" t="str">
        <x:f>IF($A322="","",MAX(0,$AL322+$AM322+$P322+$W322-$AN322-$AO322-$Q322))</x:f>
      </x:c>
    </x:row>
    <x:row r="323">
      <x:c r="A323" s="13"/>
      <x:c r="B323" s="7"/>
      <x:c r="C323" s="13"/>
      <x:c r="D323" s="14"/>
      <x:c r="E323" s="8"/>
      <x:c r="F323" s="13"/>
      <x:c r="G323" s="7"/>
      <x:c r="H323" s="7"/>
      <x:c r="I323" s="7"/>
      <x:c r="J323" s="13"/>
      <x:c r="K323" s="16"/>
      <x:c r="L323" s="10"/>
      <x:c r="M323" s="10"/>
      <x:c r="N323" s="10"/>
      <x:c r="O323" s="10"/>
      <x:c r="P323" s="9"/>
      <x:c r="Q323" s="9"/>
      <x:c r="R323" s="7"/>
      <x:c r="S323" s="7"/>
      <x:c r="T323" s="7"/>
      <x:c r="U323" s="7"/>
      <x:c r="V323" s="7"/>
      <x:c r="W323" s="9"/>
      <x:c r="X323" s="7"/>
      <x:c r="Y323" s="9"/>
      <x:c r="Z323" s="8"/>
      <x:c r="AA323" s="8"/>
      <x:c r="AB323" s="7"/>
      <x:c r="AC323" s="7"/>
      <x:c r="AD323" s="13"/>
      <x:c r="AE323" s="7"/>
      <x:c r="AF323" s="7"/>
      <x:c r="AG323" s="7"/>
      <x:c r="AH323" s="7"/>
      <x:c r="AI323" s="7"/>
      <x:c r="AJ323" s="9" t="str">
        <x:f>IF($A323="","",SUMIF(Sales_Items!$A$2:$A$501,$A323,Sales_Items!$O$2:$O$501))</x:f>
      </x:c>
      <x:c r="AK323" s="9" t="str">
        <x:f>IF($A323="","",$AJ323*$L323/100)</x:f>
      </x:c>
      <x:c r="AL323" s="9" t="str">
        <x:f>IF($A323="","",MAX(0,$AJ323-$AK323))</x:f>
      </x:c>
      <x:c r="AM323" s="9" t="str">
        <x:f>IF($A323="","",MAX(0,$AL323*$M323/100))</x:f>
      </x:c>
      <x:c r="AN323" s="9" t="str">
        <x:f>IF($A323="","",MAX(0,$AL323*$N323/100))</x:f>
      </x:c>
      <x:c r="AO323" s="9" t="str">
        <x:f>IF($A323="","",MAX(0,$AL323*$O323/100))</x:f>
      </x:c>
      <x:c r="AP323" s="9" t="str">
        <x:f>IF($A323="","",MAX(0,$AL323+$AM323+$P323+$W323-$AN323-$AO323-$Q323))</x:f>
      </x:c>
    </x:row>
    <x:row r="324">
      <x:c r="A324" s="13"/>
      <x:c r="B324" s="7"/>
      <x:c r="C324" s="13"/>
      <x:c r="D324" s="14"/>
      <x:c r="E324" s="8"/>
      <x:c r="F324" s="13"/>
      <x:c r="G324" s="7"/>
      <x:c r="H324" s="7"/>
      <x:c r="I324" s="7"/>
      <x:c r="J324" s="13"/>
      <x:c r="K324" s="16"/>
      <x:c r="L324" s="10"/>
      <x:c r="M324" s="10"/>
      <x:c r="N324" s="10"/>
      <x:c r="O324" s="10"/>
      <x:c r="P324" s="9"/>
      <x:c r="Q324" s="9"/>
      <x:c r="R324" s="7"/>
      <x:c r="S324" s="7"/>
      <x:c r="T324" s="7"/>
      <x:c r="U324" s="7"/>
      <x:c r="V324" s="7"/>
      <x:c r="W324" s="9"/>
      <x:c r="X324" s="7"/>
      <x:c r="Y324" s="9"/>
      <x:c r="Z324" s="8"/>
      <x:c r="AA324" s="8"/>
      <x:c r="AB324" s="7"/>
      <x:c r="AC324" s="7"/>
      <x:c r="AD324" s="13"/>
      <x:c r="AE324" s="7"/>
      <x:c r="AF324" s="7"/>
      <x:c r="AG324" s="7"/>
      <x:c r="AH324" s="7"/>
      <x:c r="AI324" s="7"/>
      <x:c r="AJ324" s="9" t="str">
        <x:f>IF($A324="","",SUMIF(Sales_Items!$A$2:$A$501,$A324,Sales_Items!$O$2:$O$501))</x:f>
      </x:c>
      <x:c r="AK324" s="9" t="str">
        <x:f>IF($A324="","",$AJ324*$L324/100)</x:f>
      </x:c>
      <x:c r="AL324" s="9" t="str">
        <x:f>IF($A324="","",MAX(0,$AJ324-$AK324))</x:f>
      </x:c>
      <x:c r="AM324" s="9" t="str">
        <x:f>IF($A324="","",MAX(0,$AL324*$M324/100))</x:f>
      </x:c>
      <x:c r="AN324" s="9" t="str">
        <x:f>IF($A324="","",MAX(0,$AL324*$N324/100))</x:f>
      </x:c>
      <x:c r="AO324" s="9" t="str">
        <x:f>IF($A324="","",MAX(0,$AL324*$O324/100))</x:f>
      </x:c>
      <x:c r="AP324" s="9" t="str">
        <x:f>IF($A324="","",MAX(0,$AL324+$AM324+$P324+$W324-$AN324-$AO324-$Q324))</x:f>
      </x:c>
    </x:row>
    <x:row r="325">
      <x:c r="A325" s="13"/>
      <x:c r="B325" s="7"/>
      <x:c r="C325" s="13"/>
      <x:c r="D325" s="14"/>
      <x:c r="E325" s="8"/>
      <x:c r="F325" s="13"/>
      <x:c r="G325" s="7"/>
      <x:c r="H325" s="7"/>
      <x:c r="I325" s="7"/>
      <x:c r="J325" s="13"/>
      <x:c r="K325" s="16"/>
      <x:c r="L325" s="10"/>
      <x:c r="M325" s="10"/>
      <x:c r="N325" s="10"/>
      <x:c r="O325" s="10"/>
      <x:c r="P325" s="9"/>
      <x:c r="Q325" s="9"/>
      <x:c r="R325" s="7"/>
      <x:c r="S325" s="7"/>
      <x:c r="T325" s="7"/>
      <x:c r="U325" s="7"/>
      <x:c r="V325" s="7"/>
      <x:c r="W325" s="9"/>
      <x:c r="X325" s="7"/>
      <x:c r="Y325" s="9"/>
      <x:c r="Z325" s="8"/>
      <x:c r="AA325" s="8"/>
      <x:c r="AB325" s="7"/>
      <x:c r="AC325" s="7"/>
      <x:c r="AD325" s="13"/>
      <x:c r="AE325" s="7"/>
      <x:c r="AF325" s="7"/>
      <x:c r="AG325" s="7"/>
      <x:c r="AH325" s="7"/>
      <x:c r="AI325" s="7"/>
      <x:c r="AJ325" s="9" t="str">
        <x:f>IF($A325="","",SUMIF(Sales_Items!$A$2:$A$501,$A325,Sales_Items!$O$2:$O$501))</x:f>
      </x:c>
      <x:c r="AK325" s="9" t="str">
        <x:f>IF($A325="","",$AJ325*$L325/100)</x:f>
      </x:c>
      <x:c r="AL325" s="9" t="str">
        <x:f>IF($A325="","",MAX(0,$AJ325-$AK325))</x:f>
      </x:c>
      <x:c r="AM325" s="9" t="str">
        <x:f>IF($A325="","",MAX(0,$AL325*$M325/100))</x:f>
      </x:c>
      <x:c r="AN325" s="9" t="str">
        <x:f>IF($A325="","",MAX(0,$AL325*$N325/100))</x:f>
      </x:c>
      <x:c r="AO325" s="9" t="str">
        <x:f>IF($A325="","",MAX(0,$AL325*$O325/100))</x:f>
      </x:c>
      <x:c r="AP325" s="9" t="str">
        <x:f>IF($A325="","",MAX(0,$AL325+$AM325+$P325+$W325-$AN325-$AO325-$Q325))</x:f>
      </x:c>
    </x:row>
    <x:row r="326">
      <x:c r="A326" s="13"/>
      <x:c r="B326" s="7"/>
      <x:c r="C326" s="13"/>
      <x:c r="D326" s="14"/>
      <x:c r="E326" s="8"/>
      <x:c r="F326" s="13"/>
      <x:c r="G326" s="7"/>
      <x:c r="H326" s="7"/>
      <x:c r="I326" s="7"/>
      <x:c r="J326" s="13"/>
      <x:c r="K326" s="16"/>
      <x:c r="L326" s="10"/>
      <x:c r="M326" s="10"/>
      <x:c r="N326" s="10"/>
      <x:c r="O326" s="10"/>
      <x:c r="P326" s="9"/>
      <x:c r="Q326" s="9"/>
      <x:c r="R326" s="7"/>
      <x:c r="S326" s="7"/>
      <x:c r="T326" s="7"/>
      <x:c r="U326" s="7"/>
      <x:c r="V326" s="7"/>
      <x:c r="W326" s="9"/>
      <x:c r="X326" s="7"/>
      <x:c r="Y326" s="9"/>
      <x:c r="Z326" s="8"/>
      <x:c r="AA326" s="8"/>
      <x:c r="AB326" s="7"/>
      <x:c r="AC326" s="7"/>
      <x:c r="AD326" s="13"/>
      <x:c r="AE326" s="7"/>
      <x:c r="AF326" s="7"/>
      <x:c r="AG326" s="7"/>
      <x:c r="AH326" s="7"/>
      <x:c r="AI326" s="7"/>
      <x:c r="AJ326" s="9" t="str">
        <x:f>IF($A326="","",SUMIF(Sales_Items!$A$2:$A$501,$A326,Sales_Items!$O$2:$O$501))</x:f>
      </x:c>
      <x:c r="AK326" s="9" t="str">
        <x:f>IF($A326="","",$AJ326*$L326/100)</x:f>
      </x:c>
      <x:c r="AL326" s="9" t="str">
        <x:f>IF($A326="","",MAX(0,$AJ326-$AK326))</x:f>
      </x:c>
      <x:c r="AM326" s="9" t="str">
        <x:f>IF($A326="","",MAX(0,$AL326*$M326/100))</x:f>
      </x:c>
      <x:c r="AN326" s="9" t="str">
        <x:f>IF($A326="","",MAX(0,$AL326*$N326/100))</x:f>
      </x:c>
      <x:c r="AO326" s="9" t="str">
        <x:f>IF($A326="","",MAX(0,$AL326*$O326/100))</x:f>
      </x:c>
      <x:c r="AP326" s="9" t="str">
        <x:f>IF($A326="","",MAX(0,$AL326+$AM326+$P326+$W326-$AN326-$AO326-$Q326))</x:f>
      </x:c>
    </x:row>
    <x:row r="327">
      <x:c r="A327" s="13"/>
      <x:c r="B327" s="7"/>
      <x:c r="C327" s="13"/>
      <x:c r="D327" s="14"/>
      <x:c r="E327" s="8"/>
      <x:c r="F327" s="13"/>
      <x:c r="G327" s="7"/>
      <x:c r="H327" s="7"/>
      <x:c r="I327" s="7"/>
      <x:c r="J327" s="13"/>
      <x:c r="K327" s="16"/>
      <x:c r="L327" s="10"/>
      <x:c r="M327" s="10"/>
      <x:c r="N327" s="10"/>
      <x:c r="O327" s="10"/>
      <x:c r="P327" s="9"/>
      <x:c r="Q327" s="9"/>
      <x:c r="R327" s="7"/>
      <x:c r="S327" s="7"/>
      <x:c r="T327" s="7"/>
      <x:c r="U327" s="7"/>
      <x:c r="V327" s="7"/>
      <x:c r="W327" s="9"/>
      <x:c r="X327" s="7"/>
      <x:c r="Y327" s="9"/>
      <x:c r="Z327" s="8"/>
      <x:c r="AA327" s="8"/>
      <x:c r="AB327" s="7"/>
      <x:c r="AC327" s="7"/>
      <x:c r="AD327" s="13"/>
      <x:c r="AE327" s="7"/>
      <x:c r="AF327" s="7"/>
      <x:c r="AG327" s="7"/>
      <x:c r="AH327" s="7"/>
      <x:c r="AI327" s="7"/>
      <x:c r="AJ327" s="9" t="str">
        <x:f>IF($A327="","",SUMIF(Sales_Items!$A$2:$A$501,$A327,Sales_Items!$O$2:$O$501))</x:f>
      </x:c>
      <x:c r="AK327" s="9" t="str">
        <x:f>IF($A327="","",$AJ327*$L327/100)</x:f>
      </x:c>
      <x:c r="AL327" s="9" t="str">
        <x:f>IF($A327="","",MAX(0,$AJ327-$AK327))</x:f>
      </x:c>
      <x:c r="AM327" s="9" t="str">
        <x:f>IF($A327="","",MAX(0,$AL327*$M327/100))</x:f>
      </x:c>
      <x:c r="AN327" s="9" t="str">
        <x:f>IF($A327="","",MAX(0,$AL327*$N327/100))</x:f>
      </x:c>
      <x:c r="AO327" s="9" t="str">
        <x:f>IF($A327="","",MAX(0,$AL327*$O327/100))</x:f>
      </x:c>
      <x:c r="AP327" s="9" t="str">
        <x:f>IF($A327="","",MAX(0,$AL327+$AM327+$P327+$W327-$AN327-$AO327-$Q327))</x:f>
      </x:c>
    </x:row>
    <x:row r="328">
      <x:c r="A328" s="13"/>
      <x:c r="B328" s="7"/>
      <x:c r="C328" s="13"/>
      <x:c r="D328" s="14"/>
      <x:c r="E328" s="8"/>
      <x:c r="F328" s="13"/>
      <x:c r="G328" s="7"/>
      <x:c r="H328" s="7"/>
      <x:c r="I328" s="7"/>
      <x:c r="J328" s="13"/>
      <x:c r="K328" s="16"/>
      <x:c r="L328" s="10"/>
      <x:c r="M328" s="10"/>
      <x:c r="N328" s="10"/>
      <x:c r="O328" s="10"/>
      <x:c r="P328" s="9"/>
      <x:c r="Q328" s="9"/>
      <x:c r="R328" s="7"/>
      <x:c r="S328" s="7"/>
      <x:c r="T328" s="7"/>
      <x:c r="U328" s="7"/>
      <x:c r="V328" s="7"/>
      <x:c r="W328" s="9"/>
      <x:c r="X328" s="7"/>
      <x:c r="Y328" s="9"/>
      <x:c r="Z328" s="8"/>
      <x:c r="AA328" s="8"/>
      <x:c r="AB328" s="7"/>
      <x:c r="AC328" s="7"/>
      <x:c r="AD328" s="13"/>
      <x:c r="AE328" s="7"/>
      <x:c r="AF328" s="7"/>
      <x:c r="AG328" s="7"/>
      <x:c r="AH328" s="7"/>
      <x:c r="AI328" s="7"/>
      <x:c r="AJ328" s="9" t="str">
        <x:f>IF($A328="","",SUMIF(Sales_Items!$A$2:$A$501,$A328,Sales_Items!$O$2:$O$501))</x:f>
      </x:c>
      <x:c r="AK328" s="9" t="str">
        <x:f>IF($A328="","",$AJ328*$L328/100)</x:f>
      </x:c>
      <x:c r="AL328" s="9" t="str">
        <x:f>IF($A328="","",MAX(0,$AJ328-$AK328))</x:f>
      </x:c>
      <x:c r="AM328" s="9" t="str">
        <x:f>IF($A328="","",MAX(0,$AL328*$M328/100))</x:f>
      </x:c>
      <x:c r="AN328" s="9" t="str">
        <x:f>IF($A328="","",MAX(0,$AL328*$N328/100))</x:f>
      </x:c>
      <x:c r="AO328" s="9" t="str">
        <x:f>IF($A328="","",MAX(0,$AL328*$O328/100))</x:f>
      </x:c>
      <x:c r="AP328" s="9" t="str">
        <x:f>IF($A328="","",MAX(0,$AL328+$AM328+$P328+$W328-$AN328-$AO328-$Q328))</x:f>
      </x:c>
    </x:row>
    <x:row r="329">
      <x:c r="A329" s="13"/>
      <x:c r="B329" s="7"/>
      <x:c r="C329" s="13"/>
      <x:c r="D329" s="14"/>
      <x:c r="E329" s="8"/>
      <x:c r="F329" s="13"/>
      <x:c r="G329" s="7"/>
      <x:c r="H329" s="7"/>
      <x:c r="I329" s="7"/>
      <x:c r="J329" s="13"/>
      <x:c r="K329" s="16"/>
      <x:c r="L329" s="10"/>
      <x:c r="M329" s="10"/>
      <x:c r="N329" s="10"/>
      <x:c r="O329" s="10"/>
      <x:c r="P329" s="9"/>
      <x:c r="Q329" s="9"/>
      <x:c r="R329" s="7"/>
      <x:c r="S329" s="7"/>
      <x:c r="T329" s="7"/>
      <x:c r="U329" s="7"/>
      <x:c r="V329" s="7"/>
      <x:c r="W329" s="9"/>
      <x:c r="X329" s="7"/>
      <x:c r="Y329" s="9"/>
      <x:c r="Z329" s="8"/>
      <x:c r="AA329" s="8"/>
      <x:c r="AB329" s="7"/>
      <x:c r="AC329" s="7"/>
      <x:c r="AD329" s="13"/>
      <x:c r="AE329" s="7"/>
      <x:c r="AF329" s="7"/>
      <x:c r="AG329" s="7"/>
      <x:c r="AH329" s="7"/>
      <x:c r="AI329" s="7"/>
      <x:c r="AJ329" s="9" t="str">
        <x:f>IF($A329="","",SUMIF(Sales_Items!$A$2:$A$501,$A329,Sales_Items!$O$2:$O$501))</x:f>
      </x:c>
      <x:c r="AK329" s="9" t="str">
        <x:f>IF($A329="","",$AJ329*$L329/100)</x:f>
      </x:c>
      <x:c r="AL329" s="9" t="str">
        <x:f>IF($A329="","",MAX(0,$AJ329-$AK329))</x:f>
      </x:c>
      <x:c r="AM329" s="9" t="str">
        <x:f>IF($A329="","",MAX(0,$AL329*$M329/100))</x:f>
      </x:c>
      <x:c r="AN329" s="9" t="str">
        <x:f>IF($A329="","",MAX(0,$AL329*$N329/100))</x:f>
      </x:c>
      <x:c r="AO329" s="9" t="str">
        <x:f>IF($A329="","",MAX(0,$AL329*$O329/100))</x:f>
      </x:c>
      <x:c r="AP329" s="9" t="str">
        <x:f>IF($A329="","",MAX(0,$AL329+$AM329+$P329+$W329-$AN329-$AO329-$Q329))</x:f>
      </x:c>
    </x:row>
    <x:row r="330">
      <x:c r="A330" s="13"/>
      <x:c r="B330" s="7"/>
      <x:c r="C330" s="13"/>
      <x:c r="D330" s="14"/>
      <x:c r="E330" s="8"/>
      <x:c r="F330" s="13"/>
      <x:c r="G330" s="7"/>
      <x:c r="H330" s="7"/>
      <x:c r="I330" s="7"/>
      <x:c r="J330" s="13"/>
      <x:c r="K330" s="16"/>
      <x:c r="L330" s="10"/>
      <x:c r="M330" s="10"/>
      <x:c r="N330" s="10"/>
      <x:c r="O330" s="10"/>
      <x:c r="P330" s="9"/>
      <x:c r="Q330" s="9"/>
      <x:c r="R330" s="7"/>
      <x:c r="S330" s="7"/>
      <x:c r="T330" s="7"/>
      <x:c r="U330" s="7"/>
      <x:c r="V330" s="7"/>
      <x:c r="W330" s="9"/>
      <x:c r="X330" s="7"/>
      <x:c r="Y330" s="9"/>
      <x:c r="Z330" s="8"/>
      <x:c r="AA330" s="8"/>
      <x:c r="AB330" s="7"/>
      <x:c r="AC330" s="7"/>
      <x:c r="AD330" s="13"/>
      <x:c r="AE330" s="7"/>
      <x:c r="AF330" s="7"/>
      <x:c r="AG330" s="7"/>
      <x:c r="AH330" s="7"/>
      <x:c r="AI330" s="7"/>
      <x:c r="AJ330" s="9" t="str">
        <x:f>IF($A330="","",SUMIF(Sales_Items!$A$2:$A$501,$A330,Sales_Items!$O$2:$O$501))</x:f>
      </x:c>
      <x:c r="AK330" s="9" t="str">
        <x:f>IF($A330="","",$AJ330*$L330/100)</x:f>
      </x:c>
      <x:c r="AL330" s="9" t="str">
        <x:f>IF($A330="","",MAX(0,$AJ330-$AK330))</x:f>
      </x:c>
      <x:c r="AM330" s="9" t="str">
        <x:f>IF($A330="","",MAX(0,$AL330*$M330/100))</x:f>
      </x:c>
      <x:c r="AN330" s="9" t="str">
        <x:f>IF($A330="","",MAX(0,$AL330*$N330/100))</x:f>
      </x:c>
      <x:c r="AO330" s="9" t="str">
        <x:f>IF($A330="","",MAX(0,$AL330*$O330/100))</x:f>
      </x:c>
      <x:c r="AP330" s="9" t="str">
        <x:f>IF($A330="","",MAX(0,$AL330+$AM330+$P330+$W330-$AN330-$AO330-$Q330))</x:f>
      </x:c>
    </x:row>
    <x:row r="331">
      <x:c r="A331" s="13"/>
      <x:c r="B331" s="7"/>
      <x:c r="C331" s="13"/>
      <x:c r="D331" s="14"/>
      <x:c r="E331" s="8"/>
      <x:c r="F331" s="13"/>
      <x:c r="G331" s="7"/>
      <x:c r="H331" s="7"/>
      <x:c r="I331" s="7"/>
      <x:c r="J331" s="13"/>
      <x:c r="K331" s="16"/>
      <x:c r="L331" s="10"/>
      <x:c r="M331" s="10"/>
      <x:c r="N331" s="10"/>
      <x:c r="O331" s="10"/>
      <x:c r="P331" s="9"/>
      <x:c r="Q331" s="9"/>
      <x:c r="R331" s="7"/>
      <x:c r="S331" s="7"/>
      <x:c r="T331" s="7"/>
      <x:c r="U331" s="7"/>
      <x:c r="V331" s="7"/>
      <x:c r="W331" s="9"/>
      <x:c r="X331" s="7"/>
      <x:c r="Y331" s="9"/>
      <x:c r="Z331" s="8"/>
      <x:c r="AA331" s="8"/>
      <x:c r="AB331" s="7"/>
      <x:c r="AC331" s="7"/>
      <x:c r="AD331" s="13"/>
      <x:c r="AE331" s="7"/>
      <x:c r="AF331" s="7"/>
      <x:c r="AG331" s="7"/>
      <x:c r="AH331" s="7"/>
      <x:c r="AI331" s="7"/>
      <x:c r="AJ331" s="9" t="str">
        <x:f>IF($A331="","",SUMIF(Sales_Items!$A$2:$A$501,$A331,Sales_Items!$O$2:$O$501))</x:f>
      </x:c>
      <x:c r="AK331" s="9" t="str">
        <x:f>IF($A331="","",$AJ331*$L331/100)</x:f>
      </x:c>
      <x:c r="AL331" s="9" t="str">
        <x:f>IF($A331="","",MAX(0,$AJ331-$AK331))</x:f>
      </x:c>
      <x:c r="AM331" s="9" t="str">
        <x:f>IF($A331="","",MAX(0,$AL331*$M331/100))</x:f>
      </x:c>
      <x:c r="AN331" s="9" t="str">
        <x:f>IF($A331="","",MAX(0,$AL331*$N331/100))</x:f>
      </x:c>
      <x:c r="AO331" s="9" t="str">
        <x:f>IF($A331="","",MAX(0,$AL331*$O331/100))</x:f>
      </x:c>
      <x:c r="AP331" s="9" t="str">
        <x:f>IF($A331="","",MAX(0,$AL331+$AM331+$P331+$W331-$AN331-$AO331-$Q331))</x:f>
      </x:c>
    </x:row>
    <x:row r="332">
      <x:c r="A332" s="13"/>
      <x:c r="B332" s="7"/>
      <x:c r="C332" s="13"/>
      <x:c r="D332" s="14"/>
      <x:c r="E332" s="8"/>
      <x:c r="F332" s="13"/>
      <x:c r="G332" s="7"/>
      <x:c r="H332" s="7"/>
      <x:c r="I332" s="7"/>
      <x:c r="J332" s="13"/>
      <x:c r="K332" s="16"/>
      <x:c r="L332" s="10"/>
      <x:c r="M332" s="10"/>
      <x:c r="N332" s="10"/>
      <x:c r="O332" s="10"/>
      <x:c r="P332" s="9"/>
      <x:c r="Q332" s="9"/>
      <x:c r="R332" s="7"/>
      <x:c r="S332" s="7"/>
      <x:c r="T332" s="7"/>
      <x:c r="U332" s="7"/>
      <x:c r="V332" s="7"/>
      <x:c r="W332" s="9"/>
      <x:c r="X332" s="7"/>
      <x:c r="Y332" s="9"/>
      <x:c r="Z332" s="8"/>
      <x:c r="AA332" s="8"/>
      <x:c r="AB332" s="7"/>
      <x:c r="AC332" s="7"/>
      <x:c r="AD332" s="13"/>
      <x:c r="AE332" s="7"/>
      <x:c r="AF332" s="7"/>
      <x:c r="AG332" s="7"/>
      <x:c r="AH332" s="7"/>
      <x:c r="AI332" s="7"/>
      <x:c r="AJ332" s="9" t="str">
        <x:f>IF($A332="","",SUMIF(Sales_Items!$A$2:$A$501,$A332,Sales_Items!$O$2:$O$501))</x:f>
      </x:c>
      <x:c r="AK332" s="9" t="str">
        <x:f>IF($A332="","",$AJ332*$L332/100)</x:f>
      </x:c>
      <x:c r="AL332" s="9" t="str">
        <x:f>IF($A332="","",MAX(0,$AJ332-$AK332))</x:f>
      </x:c>
      <x:c r="AM332" s="9" t="str">
        <x:f>IF($A332="","",MAX(0,$AL332*$M332/100))</x:f>
      </x:c>
      <x:c r="AN332" s="9" t="str">
        <x:f>IF($A332="","",MAX(0,$AL332*$N332/100))</x:f>
      </x:c>
      <x:c r="AO332" s="9" t="str">
        <x:f>IF($A332="","",MAX(0,$AL332*$O332/100))</x:f>
      </x:c>
      <x:c r="AP332" s="9" t="str">
        <x:f>IF($A332="","",MAX(0,$AL332+$AM332+$P332+$W332-$AN332-$AO332-$Q332))</x:f>
      </x:c>
    </x:row>
    <x:row r="333">
      <x:c r="A333" s="13"/>
      <x:c r="B333" s="7"/>
      <x:c r="C333" s="13"/>
      <x:c r="D333" s="14"/>
      <x:c r="E333" s="8"/>
      <x:c r="F333" s="13"/>
      <x:c r="G333" s="7"/>
      <x:c r="H333" s="7"/>
      <x:c r="I333" s="7"/>
      <x:c r="J333" s="13"/>
      <x:c r="K333" s="16"/>
      <x:c r="L333" s="10"/>
      <x:c r="M333" s="10"/>
      <x:c r="N333" s="10"/>
      <x:c r="O333" s="10"/>
      <x:c r="P333" s="9"/>
      <x:c r="Q333" s="9"/>
      <x:c r="R333" s="7"/>
      <x:c r="S333" s="7"/>
      <x:c r="T333" s="7"/>
      <x:c r="U333" s="7"/>
      <x:c r="V333" s="7"/>
      <x:c r="W333" s="9"/>
      <x:c r="X333" s="7"/>
      <x:c r="Y333" s="9"/>
      <x:c r="Z333" s="8"/>
      <x:c r="AA333" s="8"/>
      <x:c r="AB333" s="7"/>
      <x:c r="AC333" s="7"/>
      <x:c r="AD333" s="13"/>
      <x:c r="AE333" s="7"/>
      <x:c r="AF333" s="7"/>
      <x:c r="AG333" s="7"/>
      <x:c r="AH333" s="7"/>
      <x:c r="AI333" s="7"/>
      <x:c r="AJ333" s="9" t="str">
        <x:f>IF($A333="","",SUMIF(Sales_Items!$A$2:$A$501,$A333,Sales_Items!$O$2:$O$501))</x:f>
      </x:c>
      <x:c r="AK333" s="9" t="str">
        <x:f>IF($A333="","",$AJ333*$L333/100)</x:f>
      </x:c>
      <x:c r="AL333" s="9" t="str">
        <x:f>IF($A333="","",MAX(0,$AJ333-$AK333))</x:f>
      </x:c>
      <x:c r="AM333" s="9" t="str">
        <x:f>IF($A333="","",MAX(0,$AL333*$M333/100))</x:f>
      </x:c>
      <x:c r="AN333" s="9" t="str">
        <x:f>IF($A333="","",MAX(0,$AL333*$N333/100))</x:f>
      </x:c>
      <x:c r="AO333" s="9" t="str">
        <x:f>IF($A333="","",MAX(0,$AL333*$O333/100))</x:f>
      </x:c>
      <x:c r="AP333" s="9" t="str">
        <x:f>IF($A333="","",MAX(0,$AL333+$AM333+$P333+$W333-$AN333-$AO333-$Q333))</x:f>
      </x:c>
    </x:row>
    <x:row r="334">
      <x:c r="A334" s="13"/>
      <x:c r="B334" s="7"/>
      <x:c r="C334" s="13"/>
      <x:c r="D334" s="14"/>
      <x:c r="E334" s="8"/>
      <x:c r="F334" s="13"/>
      <x:c r="G334" s="7"/>
      <x:c r="H334" s="7"/>
      <x:c r="I334" s="7"/>
      <x:c r="J334" s="13"/>
      <x:c r="K334" s="16"/>
      <x:c r="L334" s="10"/>
      <x:c r="M334" s="10"/>
      <x:c r="N334" s="10"/>
      <x:c r="O334" s="10"/>
      <x:c r="P334" s="9"/>
      <x:c r="Q334" s="9"/>
      <x:c r="R334" s="7"/>
      <x:c r="S334" s="7"/>
      <x:c r="T334" s="7"/>
      <x:c r="U334" s="7"/>
      <x:c r="V334" s="7"/>
      <x:c r="W334" s="9"/>
      <x:c r="X334" s="7"/>
      <x:c r="Y334" s="9"/>
      <x:c r="Z334" s="8"/>
      <x:c r="AA334" s="8"/>
      <x:c r="AB334" s="7"/>
      <x:c r="AC334" s="7"/>
      <x:c r="AD334" s="13"/>
      <x:c r="AE334" s="7"/>
      <x:c r="AF334" s="7"/>
      <x:c r="AG334" s="7"/>
      <x:c r="AH334" s="7"/>
      <x:c r="AI334" s="7"/>
      <x:c r="AJ334" s="9" t="str">
        <x:f>IF($A334="","",SUMIF(Sales_Items!$A$2:$A$501,$A334,Sales_Items!$O$2:$O$501))</x:f>
      </x:c>
      <x:c r="AK334" s="9" t="str">
        <x:f>IF($A334="","",$AJ334*$L334/100)</x:f>
      </x:c>
      <x:c r="AL334" s="9" t="str">
        <x:f>IF($A334="","",MAX(0,$AJ334-$AK334))</x:f>
      </x:c>
      <x:c r="AM334" s="9" t="str">
        <x:f>IF($A334="","",MAX(0,$AL334*$M334/100))</x:f>
      </x:c>
      <x:c r="AN334" s="9" t="str">
        <x:f>IF($A334="","",MAX(0,$AL334*$N334/100))</x:f>
      </x:c>
      <x:c r="AO334" s="9" t="str">
        <x:f>IF($A334="","",MAX(0,$AL334*$O334/100))</x:f>
      </x:c>
      <x:c r="AP334" s="9" t="str">
        <x:f>IF($A334="","",MAX(0,$AL334+$AM334+$P334+$W334-$AN334-$AO334-$Q334))</x:f>
      </x:c>
    </x:row>
    <x:row r="335">
      <x:c r="A335" s="13"/>
      <x:c r="B335" s="7"/>
      <x:c r="C335" s="13"/>
      <x:c r="D335" s="14"/>
      <x:c r="E335" s="8"/>
      <x:c r="F335" s="13"/>
      <x:c r="G335" s="7"/>
      <x:c r="H335" s="7"/>
      <x:c r="I335" s="7"/>
      <x:c r="J335" s="13"/>
      <x:c r="K335" s="16"/>
      <x:c r="L335" s="10"/>
      <x:c r="M335" s="10"/>
      <x:c r="N335" s="10"/>
      <x:c r="O335" s="10"/>
      <x:c r="P335" s="9"/>
      <x:c r="Q335" s="9"/>
      <x:c r="R335" s="7"/>
      <x:c r="S335" s="7"/>
      <x:c r="T335" s="7"/>
      <x:c r="U335" s="7"/>
      <x:c r="V335" s="7"/>
      <x:c r="W335" s="9"/>
      <x:c r="X335" s="7"/>
      <x:c r="Y335" s="9"/>
      <x:c r="Z335" s="8"/>
      <x:c r="AA335" s="8"/>
      <x:c r="AB335" s="7"/>
      <x:c r="AC335" s="7"/>
      <x:c r="AD335" s="13"/>
      <x:c r="AE335" s="7"/>
      <x:c r="AF335" s="7"/>
      <x:c r="AG335" s="7"/>
      <x:c r="AH335" s="7"/>
      <x:c r="AI335" s="7"/>
      <x:c r="AJ335" s="9" t="str">
        <x:f>IF($A335="","",SUMIF(Sales_Items!$A$2:$A$501,$A335,Sales_Items!$O$2:$O$501))</x:f>
      </x:c>
      <x:c r="AK335" s="9" t="str">
        <x:f>IF($A335="","",$AJ335*$L335/100)</x:f>
      </x:c>
      <x:c r="AL335" s="9" t="str">
        <x:f>IF($A335="","",MAX(0,$AJ335-$AK335))</x:f>
      </x:c>
      <x:c r="AM335" s="9" t="str">
        <x:f>IF($A335="","",MAX(0,$AL335*$M335/100))</x:f>
      </x:c>
      <x:c r="AN335" s="9" t="str">
        <x:f>IF($A335="","",MAX(0,$AL335*$N335/100))</x:f>
      </x:c>
      <x:c r="AO335" s="9" t="str">
        <x:f>IF($A335="","",MAX(0,$AL335*$O335/100))</x:f>
      </x:c>
      <x:c r="AP335" s="9" t="str">
        <x:f>IF($A335="","",MAX(0,$AL335+$AM335+$P335+$W335-$AN335-$AO335-$Q335))</x:f>
      </x:c>
    </x:row>
    <x:row r="336">
      <x:c r="A336" s="13"/>
      <x:c r="B336" s="7"/>
      <x:c r="C336" s="13"/>
      <x:c r="D336" s="14"/>
      <x:c r="E336" s="8"/>
      <x:c r="F336" s="13"/>
      <x:c r="G336" s="7"/>
      <x:c r="H336" s="7"/>
      <x:c r="I336" s="7"/>
      <x:c r="J336" s="13"/>
      <x:c r="K336" s="16"/>
      <x:c r="L336" s="10"/>
      <x:c r="M336" s="10"/>
      <x:c r="N336" s="10"/>
      <x:c r="O336" s="10"/>
      <x:c r="P336" s="9"/>
      <x:c r="Q336" s="9"/>
      <x:c r="R336" s="7"/>
      <x:c r="S336" s="7"/>
      <x:c r="T336" s="7"/>
      <x:c r="U336" s="7"/>
      <x:c r="V336" s="7"/>
      <x:c r="W336" s="9"/>
      <x:c r="X336" s="7"/>
      <x:c r="Y336" s="9"/>
      <x:c r="Z336" s="8"/>
      <x:c r="AA336" s="8"/>
      <x:c r="AB336" s="7"/>
      <x:c r="AC336" s="7"/>
      <x:c r="AD336" s="13"/>
      <x:c r="AE336" s="7"/>
      <x:c r="AF336" s="7"/>
      <x:c r="AG336" s="7"/>
      <x:c r="AH336" s="7"/>
      <x:c r="AI336" s="7"/>
      <x:c r="AJ336" s="9" t="str">
        <x:f>IF($A336="","",SUMIF(Sales_Items!$A$2:$A$501,$A336,Sales_Items!$O$2:$O$501))</x:f>
      </x:c>
      <x:c r="AK336" s="9" t="str">
        <x:f>IF($A336="","",$AJ336*$L336/100)</x:f>
      </x:c>
      <x:c r="AL336" s="9" t="str">
        <x:f>IF($A336="","",MAX(0,$AJ336-$AK336))</x:f>
      </x:c>
      <x:c r="AM336" s="9" t="str">
        <x:f>IF($A336="","",MAX(0,$AL336*$M336/100))</x:f>
      </x:c>
      <x:c r="AN336" s="9" t="str">
        <x:f>IF($A336="","",MAX(0,$AL336*$N336/100))</x:f>
      </x:c>
      <x:c r="AO336" s="9" t="str">
        <x:f>IF($A336="","",MAX(0,$AL336*$O336/100))</x:f>
      </x:c>
      <x:c r="AP336" s="9" t="str">
        <x:f>IF($A336="","",MAX(0,$AL336+$AM336+$P336+$W336-$AN336-$AO336-$Q336))</x:f>
      </x:c>
    </x:row>
    <x:row r="337">
      <x:c r="A337" s="13"/>
      <x:c r="B337" s="7"/>
      <x:c r="C337" s="13"/>
      <x:c r="D337" s="14"/>
      <x:c r="E337" s="8"/>
      <x:c r="F337" s="13"/>
      <x:c r="G337" s="7"/>
      <x:c r="H337" s="7"/>
      <x:c r="I337" s="7"/>
      <x:c r="J337" s="13"/>
      <x:c r="K337" s="16"/>
      <x:c r="L337" s="10"/>
      <x:c r="M337" s="10"/>
      <x:c r="N337" s="10"/>
      <x:c r="O337" s="10"/>
      <x:c r="P337" s="9"/>
      <x:c r="Q337" s="9"/>
      <x:c r="R337" s="7"/>
      <x:c r="S337" s="7"/>
      <x:c r="T337" s="7"/>
      <x:c r="U337" s="7"/>
      <x:c r="V337" s="7"/>
      <x:c r="W337" s="9"/>
      <x:c r="X337" s="7"/>
      <x:c r="Y337" s="9"/>
      <x:c r="Z337" s="8"/>
      <x:c r="AA337" s="8"/>
      <x:c r="AB337" s="7"/>
      <x:c r="AC337" s="7"/>
      <x:c r="AD337" s="13"/>
      <x:c r="AE337" s="7"/>
      <x:c r="AF337" s="7"/>
      <x:c r="AG337" s="7"/>
      <x:c r="AH337" s="7"/>
      <x:c r="AI337" s="7"/>
      <x:c r="AJ337" s="9" t="str">
        <x:f>IF($A337="","",SUMIF(Sales_Items!$A$2:$A$501,$A337,Sales_Items!$O$2:$O$501))</x:f>
      </x:c>
      <x:c r="AK337" s="9" t="str">
        <x:f>IF($A337="","",$AJ337*$L337/100)</x:f>
      </x:c>
      <x:c r="AL337" s="9" t="str">
        <x:f>IF($A337="","",MAX(0,$AJ337-$AK337))</x:f>
      </x:c>
      <x:c r="AM337" s="9" t="str">
        <x:f>IF($A337="","",MAX(0,$AL337*$M337/100))</x:f>
      </x:c>
      <x:c r="AN337" s="9" t="str">
        <x:f>IF($A337="","",MAX(0,$AL337*$N337/100))</x:f>
      </x:c>
      <x:c r="AO337" s="9" t="str">
        <x:f>IF($A337="","",MAX(0,$AL337*$O337/100))</x:f>
      </x:c>
      <x:c r="AP337" s="9" t="str">
        <x:f>IF($A337="","",MAX(0,$AL337+$AM337+$P337+$W337-$AN337-$AO337-$Q337))</x:f>
      </x:c>
    </x:row>
    <x:row r="338">
      <x:c r="A338" s="13"/>
      <x:c r="B338" s="7"/>
      <x:c r="C338" s="13"/>
      <x:c r="D338" s="14"/>
      <x:c r="E338" s="8"/>
      <x:c r="F338" s="13"/>
      <x:c r="G338" s="7"/>
      <x:c r="H338" s="7"/>
      <x:c r="I338" s="7"/>
      <x:c r="J338" s="13"/>
      <x:c r="K338" s="16"/>
      <x:c r="L338" s="10"/>
      <x:c r="M338" s="10"/>
      <x:c r="N338" s="10"/>
      <x:c r="O338" s="10"/>
      <x:c r="P338" s="9"/>
      <x:c r="Q338" s="9"/>
      <x:c r="R338" s="7"/>
      <x:c r="S338" s="7"/>
      <x:c r="T338" s="7"/>
      <x:c r="U338" s="7"/>
      <x:c r="V338" s="7"/>
      <x:c r="W338" s="9"/>
      <x:c r="X338" s="7"/>
      <x:c r="Y338" s="9"/>
      <x:c r="Z338" s="8"/>
      <x:c r="AA338" s="8"/>
      <x:c r="AB338" s="7"/>
      <x:c r="AC338" s="7"/>
      <x:c r="AD338" s="13"/>
      <x:c r="AE338" s="7"/>
      <x:c r="AF338" s="7"/>
      <x:c r="AG338" s="7"/>
      <x:c r="AH338" s="7"/>
      <x:c r="AI338" s="7"/>
      <x:c r="AJ338" s="9" t="str">
        <x:f>IF($A338="","",SUMIF(Sales_Items!$A$2:$A$501,$A338,Sales_Items!$O$2:$O$501))</x:f>
      </x:c>
      <x:c r="AK338" s="9" t="str">
        <x:f>IF($A338="","",$AJ338*$L338/100)</x:f>
      </x:c>
      <x:c r="AL338" s="9" t="str">
        <x:f>IF($A338="","",MAX(0,$AJ338-$AK338))</x:f>
      </x:c>
      <x:c r="AM338" s="9" t="str">
        <x:f>IF($A338="","",MAX(0,$AL338*$M338/100))</x:f>
      </x:c>
      <x:c r="AN338" s="9" t="str">
        <x:f>IF($A338="","",MAX(0,$AL338*$N338/100))</x:f>
      </x:c>
      <x:c r="AO338" s="9" t="str">
        <x:f>IF($A338="","",MAX(0,$AL338*$O338/100))</x:f>
      </x:c>
      <x:c r="AP338" s="9" t="str">
        <x:f>IF($A338="","",MAX(0,$AL338+$AM338+$P338+$W338-$AN338-$AO338-$Q338))</x:f>
      </x:c>
    </x:row>
    <x:row r="339">
      <x:c r="A339" s="13"/>
      <x:c r="B339" s="7"/>
      <x:c r="C339" s="13"/>
      <x:c r="D339" s="14"/>
      <x:c r="E339" s="8"/>
      <x:c r="F339" s="13"/>
      <x:c r="G339" s="7"/>
      <x:c r="H339" s="7"/>
      <x:c r="I339" s="7"/>
      <x:c r="J339" s="13"/>
      <x:c r="K339" s="16"/>
      <x:c r="L339" s="10"/>
      <x:c r="M339" s="10"/>
      <x:c r="N339" s="10"/>
      <x:c r="O339" s="10"/>
      <x:c r="P339" s="9"/>
      <x:c r="Q339" s="9"/>
      <x:c r="R339" s="7"/>
      <x:c r="S339" s="7"/>
      <x:c r="T339" s="7"/>
      <x:c r="U339" s="7"/>
      <x:c r="V339" s="7"/>
      <x:c r="W339" s="9"/>
      <x:c r="X339" s="7"/>
      <x:c r="Y339" s="9"/>
      <x:c r="Z339" s="8"/>
      <x:c r="AA339" s="8"/>
      <x:c r="AB339" s="7"/>
      <x:c r="AC339" s="7"/>
      <x:c r="AD339" s="13"/>
      <x:c r="AE339" s="7"/>
      <x:c r="AF339" s="7"/>
      <x:c r="AG339" s="7"/>
      <x:c r="AH339" s="7"/>
      <x:c r="AI339" s="7"/>
      <x:c r="AJ339" s="9" t="str">
        <x:f>IF($A339="","",SUMIF(Sales_Items!$A$2:$A$501,$A339,Sales_Items!$O$2:$O$501))</x:f>
      </x:c>
      <x:c r="AK339" s="9" t="str">
        <x:f>IF($A339="","",$AJ339*$L339/100)</x:f>
      </x:c>
      <x:c r="AL339" s="9" t="str">
        <x:f>IF($A339="","",MAX(0,$AJ339-$AK339))</x:f>
      </x:c>
      <x:c r="AM339" s="9" t="str">
        <x:f>IF($A339="","",MAX(0,$AL339*$M339/100))</x:f>
      </x:c>
      <x:c r="AN339" s="9" t="str">
        <x:f>IF($A339="","",MAX(0,$AL339*$N339/100))</x:f>
      </x:c>
      <x:c r="AO339" s="9" t="str">
        <x:f>IF($A339="","",MAX(0,$AL339*$O339/100))</x:f>
      </x:c>
      <x:c r="AP339" s="9" t="str">
        <x:f>IF($A339="","",MAX(0,$AL339+$AM339+$P339+$W339-$AN339-$AO339-$Q339))</x:f>
      </x:c>
    </x:row>
    <x:row r="340">
      <x:c r="A340" s="13"/>
      <x:c r="B340" s="7"/>
      <x:c r="C340" s="13"/>
      <x:c r="D340" s="14"/>
      <x:c r="E340" s="8"/>
      <x:c r="F340" s="13"/>
      <x:c r="G340" s="7"/>
      <x:c r="H340" s="7"/>
      <x:c r="I340" s="7"/>
      <x:c r="J340" s="13"/>
      <x:c r="K340" s="16"/>
      <x:c r="L340" s="10"/>
      <x:c r="M340" s="10"/>
      <x:c r="N340" s="10"/>
      <x:c r="O340" s="10"/>
      <x:c r="P340" s="9"/>
      <x:c r="Q340" s="9"/>
      <x:c r="R340" s="7"/>
      <x:c r="S340" s="7"/>
      <x:c r="T340" s="7"/>
      <x:c r="U340" s="7"/>
      <x:c r="V340" s="7"/>
      <x:c r="W340" s="9"/>
      <x:c r="X340" s="7"/>
      <x:c r="Y340" s="9"/>
      <x:c r="Z340" s="8"/>
      <x:c r="AA340" s="8"/>
      <x:c r="AB340" s="7"/>
      <x:c r="AC340" s="7"/>
      <x:c r="AD340" s="13"/>
      <x:c r="AE340" s="7"/>
      <x:c r="AF340" s="7"/>
      <x:c r="AG340" s="7"/>
      <x:c r="AH340" s="7"/>
      <x:c r="AI340" s="7"/>
      <x:c r="AJ340" s="9" t="str">
        <x:f>IF($A340="","",SUMIF(Sales_Items!$A$2:$A$501,$A340,Sales_Items!$O$2:$O$501))</x:f>
      </x:c>
      <x:c r="AK340" s="9" t="str">
        <x:f>IF($A340="","",$AJ340*$L340/100)</x:f>
      </x:c>
      <x:c r="AL340" s="9" t="str">
        <x:f>IF($A340="","",MAX(0,$AJ340-$AK340))</x:f>
      </x:c>
      <x:c r="AM340" s="9" t="str">
        <x:f>IF($A340="","",MAX(0,$AL340*$M340/100))</x:f>
      </x:c>
      <x:c r="AN340" s="9" t="str">
        <x:f>IF($A340="","",MAX(0,$AL340*$N340/100))</x:f>
      </x:c>
      <x:c r="AO340" s="9" t="str">
        <x:f>IF($A340="","",MAX(0,$AL340*$O340/100))</x:f>
      </x:c>
      <x:c r="AP340" s="9" t="str">
        <x:f>IF($A340="","",MAX(0,$AL340+$AM340+$P340+$W340-$AN340-$AO340-$Q340))</x:f>
      </x:c>
    </x:row>
    <x:row r="341">
      <x:c r="A341" s="13"/>
      <x:c r="B341" s="7"/>
      <x:c r="C341" s="13"/>
      <x:c r="D341" s="14"/>
      <x:c r="E341" s="8"/>
      <x:c r="F341" s="13"/>
      <x:c r="G341" s="7"/>
      <x:c r="H341" s="7"/>
      <x:c r="I341" s="7"/>
      <x:c r="J341" s="13"/>
      <x:c r="K341" s="16"/>
      <x:c r="L341" s="10"/>
      <x:c r="M341" s="10"/>
      <x:c r="N341" s="10"/>
      <x:c r="O341" s="10"/>
      <x:c r="P341" s="9"/>
      <x:c r="Q341" s="9"/>
      <x:c r="R341" s="7"/>
      <x:c r="S341" s="7"/>
      <x:c r="T341" s="7"/>
      <x:c r="U341" s="7"/>
      <x:c r="V341" s="7"/>
      <x:c r="W341" s="9"/>
      <x:c r="X341" s="7"/>
      <x:c r="Y341" s="9"/>
      <x:c r="Z341" s="8"/>
      <x:c r="AA341" s="8"/>
      <x:c r="AB341" s="7"/>
      <x:c r="AC341" s="7"/>
      <x:c r="AD341" s="13"/>
      <x:c r="AE341" s="7"/>
      <x:c r="AF341" s="7"/>
      <x:c r="AG341" s="7"/>
      <x:c r="AH341" s="7"/>
      <x:c r="AI341" s="7"/>
      <x:c r="AJ341" s="9" t="str">
        <x:f>IF($A341="","",SUMIF(Sales_Items!$A$2:$A$501,$A341,Sales_Items!$O$2:$O$501))</x:f>
      </x:c>
      <x:c r="AK341" s="9" t="str">
        <x:f>IF($A341="","",$AJ341*$L341/100)</x:f>
      </x:c>
      <x:c r="AL341" s="9" t="str">
        <x:f>IF($A341="","",MAX(0,$AJ341-$AK341))</x:f>
      </x:c>
      <x:c r="AM341" s="9" t="str">
        <x:f>IF($A341="","",MAX(0,$AL341*$M341/100))</x:f>
      </x:c>
      <x:c r="AN341" s="9" t="str">
        <x:f>IF($A341="","",MAX(0,$AL341*$N341/100))</x:f>
      </x:c>
      <x:c r="AO341" s="9" t="str">
        <x:f>IF($A341="","",MAX(0,$AL341*$O341/100))</x:f>
      </x:c>
      <x:c r="AP341" s="9" t="str">
        <x:f>IF($A341="","",MAX(0,$AL341+$AM341+$P341+$W341-$AN341-$AO341-$Q341))</x:f>
      </x:c>
    </x:row>
    <x:row r="342">
      <x:c r="A342" s="13"/>
      <x:c r="B342" s="7"/>
      <x:c r="C342" s="13"/>
      <x:c r="D342" s="14"/>
      <x:c r="E342" s="8"/>
      <x:c r="F342" s="13"/>
      <x:c r="G342" s="7"/>
      <x:c r="H342" s="7"/>
      <x:c r="I342" s="7"/>
      <x:c r="J342" s="13"/>
      <x:c r="K342" s="16"/>
      <x:c r="L342" s="10"/>
      <x:c r="M342" s="10"/>
      <x:c r="N342" s="10"/>
      <x:c r="O342" s="10"/>
      <x:c r="P342" s="9"/>
      <x:c r="Q342" s="9"/>
      <x:c r="R342" s="7"/>
      <x:c r="S342" s="7"/>
      <x:c r="T342" s="7"/>
      <x:c r="U342" s="7"/>
      <x:c r="V342" s="7"/>
      <x:c r="W342" s="9"/>
      <x:c r="X342" s="7"/>
      <x:c r="Y342" s="9"/>
      <x:c r="Z342" s="8"/>
      <x:c r="AA342" s="8"/>
      <x:c r="AB342" s="7"/>
      <x:c r="AC342" s="7"/>
      <x:c r="AD342" s="13"/>
      <x:c r="AE342" s="7"/>
      <x:c r="AF342" s="7"/>
      <x:c r="AG342" s="7"/>
      <x:c r="AH342" s="7"/>
      <x:c r="AI342" s="7"/>
      <x:c r="AJ342" s="9" t="str">
        <x:f>IF($A342="","",SUMIF(Sales_Items!$A$2:$A$501,$A342,Sales_Items!$O$2:$O$501))</x:f>
      </x:c>
      <x:c r="AK342" s="9" t="str">
        <x:f>IF($A342="","",$AJ342*$L342/100)</x:f>
      </x:c>
      <x:c r="AL342" s="9" t="str">
        <x:f>IF($A342="","",MAX(0,$AJ342-$AK342))</x:f>
      </x:c>
      <x:c r="AM342" s="9" t="str">
        <x:f>IF($A342="","",MAX(0,$AL342*$M342/100))</x:f>
      </x:c>
      <x:c r="AN342" s="9" t="str">
        <x:f>IF($A342="","",MAX(0,$AL342*$N342/100))</x:f>
      </x:c>
      <x:c r="AO342" s="9" t="str">
        <x:f>IF($A342="","",MAX(0,$AL342*$O342/100))</x:f>
      </x:c>
      <x:c r="AP342" s="9" t="str">
        <x:f>IF($A342="","",MAX(0,$AL342+$AM342+$P342+$W342-$AN342-$AO342-$Q342))</x:f>
      </x:c>
    </x:row>
    <x:row r="343">
      <x:c r="A343" s="13"/>
      <x:c r="B343" s="7"/>
      <x:c r="C343" s="13"/>
      <x:c r="D343" s="14"/>
      <x:c r="E343" s="8"/>
      <x:c r="F343" s="13"/>
      <x:c r="G343" s="7"/>
      <x:c r="H343" s="7"/>
      <x:c r="I343" s="7"/>
      <x:c r="J343" s="13"/>
      <x:c r="K343" s="16"/>
      <x:c r="L343" s="10"/>
      <x:c r="M343" s="10"/>
      <x:c r="N343" s="10"/>
      <x:c r="O343" s="10"/>
      <x:c r="P343" s="9"/>
      <x:c r="Q343" s="9"/>
      <x:c r="R343" s="7"/>
      <x:c r="S343" s="7"/>
      <x:c r="T343" s="7"/>
      <x:c r="U343" s="7"/>
      <x:c r="V343" s="7"/>
      <x:c r="W343" s="9"/>
      <x:c r="X343" s="7"/>
      <x:c r="Y343" s="9"/>
      <x:c r="Z343" s="8"/>
      <x:c r="AA343" s="8"/>
      <x:c r="AB343" s="7"/>
      <x:c r="AC343" s="7"/>
      <x:c r="AD343" s="13"/>
      <x:c r="AE343" s="7"/>
      <x:c r="AF343" s="7"/>
      <x:c r="AG343" s="7"/>
      <x:c r="AH343" s="7"/>
      <x:c r="AI343" s="7"/>
      <x:c r="AJ343" s="9" t="str">
        <x:f>IF($A343="","",SUMIF(Sales_Items!$A$2:$A$501,$A343,Sales_Items!$O$2:$O$501))</x:f>
      </x:c>
      <x:c r="AK343" s="9" t="str">
        <x:f>IF($A343="","",$AJ343*$L343/100)</x:f>
      </x:c>
      <x:c r="AL343" s="9" t="str">
        <x:f>IF($A343="","",MAX(0,$AJ343-$AK343))</x:f>
      </x:c>
      <x:c r="AM343" s="9" t="str">
        <x:f>IF($A343="","",MAX(0,$AL343*$M343/100))</x:f>
      </x:c>
      <x:c r="AN343" s="9" t="str">
        <x:f>IF($A343="","",MAX(0,$AL343*$N343/100))</x:f>
      </x:c>
      <x:c r="AO343" s="9" t="str">
        <x:f>IF($A343="","",MAX(0,$AL343*$O343/100))</x:f>
      </x:c>
      <x:c r="AP343" s="9" t="str">
        <x:f>IF($A343="","",MAX(0,$AL343+$AM343+$P343+$W343-$AN343-$AO343-$Q343))</x:f>
      </x:c>
    </x:row>
    <x:row r="344">
      <x:c r="A344" s="13"/>
      <x:c r="B344" s="7"/>
      <x:c r="C344" s="13"/>
      <x:c r="D344" s="14"/>
      <x:c r="E344" s="8"/>
      <x:c r="F344" s="13"/>
      <x:c r="G344" s="7"/>
      <x:c r="H344" s="7"/>
      <x:c r="I344" s="7"/>
      <x:c r="J344" s="13"/>
      <x:c r="K344" s="16"/>
      <x:c r="L344" s="10"/>
      <x:c r="M344" s="10"/>
      <x:c r="N344" s="10"/>
      <x:c r="O344" s="10"/>
      <x:c r="P344" s="9"/>
      <x:c r="Q344" s="9"/>
      <x:c r="R344" s="7"/>
      <x:c r="S344" s="7"/>
      <x:c r="T344" s="7"/>
      <x:c r="U344" s="7"/>
      <x:c r="V344" s="7"/>
      <x:c r="W344" s="9"/>
      <x:c r="X344" s="7"/>
      <x:c r="Y344" s="9"/>
      <x:c r="Z344" s="8"/>
      <x:c r="AA344" s="8"/>
      <x:c r="AB344" s="7"/>
      <x:c r="AC344" s="7"/>
      <x:c r="AD344" s="13"/>
      <x:c r="AE344" s="7"/>
      <x:c r="AF344" s="7"/>
      <x:c r="AG344" s="7"/>
      <x:c r="AH344" s="7"/>
      <x:c r="AI344" s="7"/>
      <x:c r="AJ344" s="9" t="str">
        <x:f>IF($A344="","",SUMIF(Sales_Items!$A$2:$A$501,$A344,Sales_Items!$O$2:$O$501))</x:f>
      </x:c>
      <x:c r="AK344" s="9" t="str">
        <x:f>IF($A344="","",$AJ344*$L344/100)</x:f>
      </x:c>
      <x:c r="AL344" s="9" t="str">
        <x:f>IF($A344="","",MAX(0,$AJ344-$AK344))</x:f>
      </x:c>
      <x:c r="AM344" s="9" t="str">
        <x:f>IF($A344="","",MAX(0,$AL344*$M344/100))</x:f>
      </x:c>
      <x:c r="AN344" s="9" t="str">
        <x:f>IF($A344="","",MAX(0,$AL344*$N344/100))</x:f>
      </x:c>
      <x:c r="AO344" s="9" t="str">
        <x:f>IF($A344="","",MAX(0,$AL344*$O344/100))</x:f>
      </x:c>
      <x:c r="AP344" s="9" t="str">
        <x:f>IF($A344="","",MAX(0,$AL344+$AM344+$P344+$W344-$AN344-$AO344-$Q344))</x:f>
      </x:c>
    </x:row>
    <x:row r="345">
      <x:c r="A345" s="13"/>
      <x:c r="B345" s="7"/>
      <x:c r="C345" s="13"/>
      <x:c r="D345" s="14"/>
      <x:c r="E345" s="8"/>
      <x:c r="F345" s="13"/>
      <x:c r="G345" s="7"/>
      <x:c r="H345" s="7"/>
      <x:c r="I345" s="7"/>
      <x:c r="J345" s="13"/>
      <x:c r="K345" s="16"/>
      <x:c r="L345" s="10"/>
      <x:c r="M345" s="10"/>
      <x:c r="N345" s="10"/>
      <x:c r="O345" s="10"/>
      <x:c r="P345" s="9"/>
      <x:c r="Q345" s="9"/>
      <x:c r="R345" s="7"/>
      <x:c r="S345" s="7"/>
      <x:c r="T345" s="7"/>
      <x:c r="U345" s="7"/>
      <x:c r="V345" s="7"/>
      <x:c r="W345" s="9"/>
      <x:c r="X345" s="7"/>
      <x:c r="Y345" s="9"/>
      <x:c r="Z345" s="8"/>
      <x:c r="AA345" s="8"/>
      <x:c r="AB345" s="7"/>
      <x:c r="AC345" s="7"/>
      <x:c r="AD345" s="13"/>
      <x:c r="AE345" s="7"/>
      <x:c r="AF345" s="7"/>
      <x:c r="AG345" s="7"/>
      <x:c r="AH345" s="7"/>
      <x:c r="AI345" s="7"/>
      <x:c r="AJ345" s="9" t="str">
        <x:f>IF($A345="","",SUMIF(Sales_Items!$A$2:$A$501,$A345,Sales_Items!$O$2:$O$501))</x:f>
      </x:c>
      <x:c r="AK345" s="9" t="str">
        <x:f>IF($A345="","",$AJ345*$L345/100)</x:f>
      </x:c>
      <x:c r="AL345" s="9" t="str">
        <x:f>IF($A345="","",MAX(0,$AJ345-$AK345))</x:f>
      </x:c>
      <x:c r="AM345" s="9" t="str">
        <x:f>IF($A345="","",MAX(0,$AL345*$M345/100))</x:f>
      </x:c>
      <x:c r="AN345" s="9" t="str">
        <x:f>IF($A345="","",MAX(0,$AL345*$N345/100))</x:f>
      </x:c>
      <x:c r="AO345" s="9" t="str">
        <x:f>IF($A345="","",MAX(0,$AL345*$O345/100))</x:f>
      </x:c>
      <x:c r="AP345" s="9" t="str">
        <x:f>IF($A345="","",MAX(0,$AL345+$AM345+$P345+$W345-$AN345-$AO345-$Q345))</x:f>
      </x:c>
    </x:row>
    <x:row r="346">
      <x:c r="A346" s="13"/>
      <x:c r="B346" s="7"/>
      <x:c r="C346" s="13"/>
      <x:c r="D346" s="14"/>
      <x:c r="E346" s="8"/>
      <x:c r="F346" s="13"/>
      <x:c r="G346" s="7"/>
      <x:c r="H346" s="7"/>
      <x:c r="I346" s="7"/>
      <x:c r="J346" s="13"/>
      <x:c r="K346" s="16"/>
      <x:c r="L346" s="10"/>
      <x:c r="M346" s="10"/>
      <x:c r="N346" s="10"/>
      <x:c r="O346" s="10"/>
      <x:c r="P346" s="9"/>
      <x:c r="Q346" s="9"/>
      <x:c r="R346" s="7"/>
      <x:c r="S346" s="7"/>
      <x:c r="T346" s="7"/>
      <x:c r="U346" s="7"/>
      <x:c r="V346" s="7"/>
      <x:c r="W346" s="9"/>
      <x:c r="X346" s="7"/>
      <x:c r="Y346" s="9"/>
      <x:c r="Z346" s="8"/>
      <x:c r="AA346" s="8"/>
      <x:c r="AB346" s="7"/>
      <x:c r="AC346" s="7"/>
      <x:c r="AD346" s="13"/>
      <x:c r="AE346" s="7"/>
      <x:c r="AF346" s="7"/>
      <x:c r="AG346" s="7"/>
      <x:c r="AH346" s="7"/>
      <x:c r="AI346" s="7"/>
      <x:c r="AJ346" s="9" t="str">
        <x:f>IF($A346="","",SUMIF(Sales_Items!$A$2:$A$501,$A346,Sales_Items!$O$2:$O$501))</x:f>
      </x:c>
      <x:c r="AK346" s="9" t="str">
        <x:f>IF($A346="","",$AJ346*$L346/100)</x:f>
      </x:c>
      <x:c r="AL346" s="9" t="str">
        <x:f>IF($A346="","",MAX(0,$AJ346-$AK346))</x:f>
      </x:c>
      <x:c r="AM346" s="9" t="str">
        <x:f>IF($A346="","",MAX(0,$AL346*$M346/100))</x:f>
      </x:c>
      <x:c r="AN346" s="9" t="str">
        <x:f>IF($A346="","",MAX(0,$AL346*$N346/100))</x:f>
      </x:c>
      <x:c r="AO346" s="9" t="str">
        <x:f>IF($A346="","",MAX(0,$AL346*$O346/100))</x:f>
      </x:c>
      <x:c r="AP346" s="9" t="str">
        <x:f>IF($A346="","",MAX(0,$AL346+$AM346+$P346+$W346-$AN346-$AO346-$Q346))</x:f>
      </x:c>
    </x:row>
    <x:row r="347">
      <x:c r="A347" s="13"/>
      <x:c r="B347" s="7"/>
      <x:c r="C347" s="13"/>
      <x:c r="D347" s="14"/>
      <x:c r="E347" s="8"/>
      <x:c r="F347" s="13"/>
      <x:c r="G347" s="7"/>
      <x:c r="H347" s="7"/>
      <x:c r="I347" s="7"/>
      <x:c r="J347" s="13"/>
      <x:c r="K347" s="16"/>
      <x:c r="L347" s="10"/>
      <x:c r="M347" s="10"/>
      <x:c r="N347" s="10"/>
      <x:c r="O347" s="10"/>
      <x:c r="P347" s="9"/>
      <x:c r="Q347" s="9"/>
      <x:c r="R347" s="7"/>
      <x:c r="S347" s="7"/>
      <x:c r="T347" s="7"/>
      <x:c r="U347" s="7"/>
      <x:c r="V347" s="7"/>
      <x:c r="W347" s="9"/>
      <x:c r="X347" s="7"/>
      <x:c r="Y347" s="9"/>
      <x:c r="Z347" s="8"/>
      <x:c r="AA347" s="8"/>
      <x:c r="AB347" s="7"/>
      <x:c r="AC347" s="7"/>
      <x:c r="AD347" s="13"/>
      <x:c r="AE347" s="7"/>
      <x:c r="AF347" s="7"/>
      <x:c r="AG347" s="7"/>
      <x:c r="AH347" s="7"/>
      <x:c r="AI347" s="7"/>
      <x:c r="AJ347" s="9" t="str">
        <x:f>IF($A347="","",SUMIF(Sales_Items!$A$2:$A$501,$A347,Sales_Items!$O$2:$O$501))</x:f>
      </x:c>
      <x:c r="AK347" s="9" t="str">
        <x:f>IF($A347="","",$AJ347*$L347/100)</x:f>
      </x:c>
      <x:c r="AL347" s="9" t="str">
        <x:f>IF($A347="","",MAX(0,$AJ347-$AK347))</x:f>
      </x:c>
      <x:c r="AM347" s="9" t="str">
        <x:f>IF($A347="","",MAX(0,$AL347*$M347/100))</x:f>
      </x:c>
      <x:c r="AN347" s="9" t="str">
        <x:f>IF($A347="","",MAX(0,$AL347*$N347/100))</x:f>
      </x:c>
      <x:c r="AO347" s="9" t="str">
        <x:f>IF($A347="","",MAX(0,$AL347*$O347/100))</x:f>
      </x:c>
      <x:c r="AP347" s="9" t="str">
        <x:f>IF($A347="","",MAX(0,$AL347+$AM347+$P347+$W347-$AN347-$AO347-$Q347))</x:f>
      </x:c>
    </x:row>
    <x:row r="348">
      <x:c r="A348" s="13"/>
      <x:c r="B348" s="7"/>
      <x:c r="C348" s="13"/>
      <x:c r="D348" s="14"/>
      <x:c r="E348" s="8"/>
      <x:c r="F348" s="13"/>
      <x:c r="G348" s="7"/>
      <x:c r="H348" s="7"/>
      <x:c r="I348" s="7"/>
      <x:c r="J348" s="13"/>
      <x:c r="K348" s="16"/>
      <x:c r="L348" s="10"/>
      <x:c r="M348" s="10"/>
      <x:c r="N348" s="10"/>
      <x:c r="O348" s="10"/>
      <x:c r="P348" s="9"/>
      <x:c r="Q348" s="9"/>
      <x:c r="R348" s="7"/>
      <x:c r="S348" s="7"/>
      <x:c r="T348" s="7"/>
      <x:c r="U348" s="7"/>
      <x:c r="V348" s="7"/>
      <x:c r="W348" s="9"/>
      <x:c r="X348" s="7"/>
      <x:c r="Y348" s="9"/>
      <x:c r="Z348" s="8"/>
      <x:c r="AA348" s="8"/>
      <x:c r="AB348" s="7"/>
      <x:c r="AC348" s="7"/>
      <x:c r="AD348" s="13"/>
      <x:c r="AE348" s="7"/>
      <x:c r="AF348" s="7"/>
      <x:c r="AG348" s="7"/>
      <x:c r="AH348" s="7"/>
      <x:c r="AI348" s="7"/>
      <x:c r="AJ348" s="9" t="str">
        <x:f>IF($A348="","",SUMIF(Sales_Items!$A$2:$A$501,$A348,Sales_Items!$O$2:$O$501))</x:f>
      </x:c>
      <x:c r="AK348" s="9" t="str">
        <x:f>IF($A348="","",$AJ348*$L348/100)</x:f>
      </x:c>
      <x:c r="AL348" s="9" t="str">
        <x:f>IF($A348="","",MAX(0,$AJ348-$AK348))</x:f>
      </x:c>
      <x:c r="AM348" s="9" t="str">
        <x:f>IF($A348="","",MAX(0,$AL348*$M348/100))</x:f>
      </x:c>
      <x:c r="AN348" s="9" t="str">
        <x:f>IF($A348="","",MAX(0,$AL348*$N348/100))</x:f>
      </x:c>
      <x:c r="AO348" s="9" t="str">
        <x:f>IF($A348="","",MAX(0,$AL348*$O348/100))</x:f>
      </x:c>
      <x:c r="AP348" s="9" t="str">
        <x:f>IF($A348="","",MAX(0,$AL348+$AM348+$P348+$W348-$AN348-$AO348-$Q348))</x:f>
      </x:c>
    </x:row>
    <x:row r="349">
      <x:c r="A349" s="13"/>
      <x:c r="B349" s="7"/>
      <x:c r="C349" s="13"/>
      <x:c r="D349" s="14"/>
      <x:c r="E349" s="8"/>
      <x:c r="F349" s="13"/>
      <x:c r="G349" s="7"/>
      <x:c r="H349" s="7"/>
      <x:c r="I349" s="7"/>
      <x:c r="J349" s="13"/>
      <x:c r="K349" s="16"/>
      <x:c r="L349" s="10"/>
      <x:c r="M349" s="10"/>
      <x:c r="N349" s="10"/>
      <x:c r="O349" s="10"/>
      <x:c r="P349" s="9"/>
      <x:c r="Q349" s="9"/>
      <x:c r="R349" s="7"/>
      <x:c r="S349" s="7"/>
      <x:c r="T349" s="7"/>
      <x:c r="U349" s="7"/>
      <x:c r="V349" s="7"/>
      <x:c r="W349" s="9"/>
      <x:c r="X349" s="7"/>
      <x:c r="Y349" s="9"/>
      <x:c r="Z349" s="8"/>
      <x:c r="AA349" s="8"/>
      <x:c r="AB349" s="7"/>
      <x:c r="AC349" s="7"/>
      <x:c r="AD349" s="13"/>
      <x:c r="AE349" s="7"/>
      <x:c r="AF349" s="7"/>
      <x:c r="AG349" s="7"/>
      <x:c r="AH349" s="7"/>
      <x:c r="AI349" s="7"/>
      <x:c r="AJ349" s="9" t="str">
        <x:f>IF($A349="","",SUMIF(Sales_Items!$A$2:$A$501,$A349,Sales_Items!$O$2:$O$501))</x:f>
      </x:c>
      <x:c r="AK349" s="9" t="str">
        <x:f>IF($A349="","",$AJ349*$L349/100)</x:f>
      </x:c>
      <x:c r="AL349" s="9" t="str">
        <x:f>IF($A349="","",MAX(0,$AJ349-$AK349))</x:f>
      </x:c>
      <x:c r="AM349" s="9" t="str">
        <x:f>IF($A349="","",MAX(0,$AL349*$M349/100))</x:f>
      </x:c>
      <x:c r="AN349" s="9" t="str">
        <x:f>IF($A349="","",MAX(0,$AL349*$N349/100))</x:f>
      </x:c>
      <x:c r="AO349" s="9" t="str">
        <x:f>IF($A349="","",MAX(0,$AL349*$O349/100))</x:f>
      </x:c>
      <x:c r="AP349" s="9" t="str">
        <x:f>IF($A349="","",MAX(0,$AL349+$AM349+$P349+$W349-$AN349-$AO349-$Q349))</x:f>
      </x:c>
    </x:row>
    <x:row r="350">
      <x:c r="A350" s="13"/>
      <x:c r="B350" s="7"/>
      <x:c r="C350" s="13"/>
      <x:c r="D350" s="14"/>
      <x:c r="E350" s="8"/>
      <x:c r="F350" s="13"/>
      <x:c r="G350" s="7"/>
      <x:c r="H350" s="7"/>
      <x:c r="I350" s="7"/>
      <x:c r="J350" s="13"/>
      <x:c r="K350" s="16"/>
      <x:c r="L350" s="10"/>
      <x:c r="M350" s="10"/>
      <x:c r="N350" s="10"/>
      <x:c r="O350" s="10"/>
      <x:c r="P350" s="9"/>
      <x:c r="Q350" s="9"/>
      <x:c r="R350" s="7"/>
      <x:c r="S350" s="7"/>
      <x:c r="T350" s="7"/>
      <x:c r="U350" s="7"/>
      <x:c r="V350" s="7"/>
      <x:c r="W350" s="9"/>
      <x:c r="X350" s="7"/>
      <x:c r="Y350" s="9"/>
      <x:c r="Z350" s="8"/>
      <x:c r="AA350" s="8"/>
      <x:c r="AB350" s="7"/>
      <x:c r="AC350" s="7"/>
      <x:c r="AD350" s="13"/>
      <x:c r="AE350" s="7"/>
      <x:c r="AF350" s="7"/>
      <x:c r="AG350" s="7"/>
      <x:c r="AH350" s="7"/>
      <x:c r="AI350" s="7"/>
      <x:c r="AJ350" s="9" t="str">
        <x:f>IF($A350="","",SUMIF(Sales_Items!$A$2:$A$501,$A350,Sales_Items!$O$2:$O$501))</x:f>
      </x:c>
      <x:c r="AK350" s="9" t="str">
        <x:f>IF($A350="","",$AJ350*$L350/100)</x:f>
      </x:c>
      <x:c r="AL350" s="9" t="str">
        <x:f>IF($A350="","",MAX(0,$AJ350-$AK350))</x:f>
      </x:c>
      <x:c r="AM350" s="9" t="str">
        <x:f>IF($A350="","",MAX(0,$AL350*$M350/100))</x:f>
      </x:c>
      <x:c r="AN350" s="9" t="str">
        <x:f>IF($A350="","",MAX(0,$AL350*$N350/100))</x:f>
      </x:c>
      <x:c r="AO350" s="9" t="str">
        <x:f>IF($A350="","",MAX(0,$AL350*$O350/100))</x:f>
      </x:c>
      <x:c r="AP350" s="9" t="str">
        <x:f>IF($A350="","",MAX(0,$AL350+$AM350+$P350+$W350-$AN350-$AO350-$Q350))</x:f>
      </x:c>
    </x:row>
    <x:row r="351">
      <x:c r="A351" s="13"/>
      <x:c r="B351" s="7"/>
      <x:c r="C351" s="13"/>
      <x:c r="D351" s="14"/>
      <x:c r="E351" s="8"/>
      <x:c r="F351" s="13"/>
      <x:c r="G351" s="7"/>
      <x:c r="H351" s="7"/>
      <x:c r="I351" s="7"/>
      <x:c r="J351" s="13"/>
      <x:c r="K351" s="16"/>
      <x:c r="L351" s="10"/>
      <x:c r="M351" s="10"/>
      <x:c r="N351" s="10"/>
      <x:c r="O351" s="10"/>
      <x:c r="P351" s="9"/>
      <x:c r="Q351" s="9"/>
      <x:c r="R351" s="7"/>
      <x:c r="S351" s="7"/>
      <x:c r="T351" s="7"/>
      <x:c r="U351" s="7"/>
      <x:c r="V351" s="7"/>
      <x:c r="W351" s="9"/>
      <x:c r="X351" s="7"/>
      <x:c r="Y351" s="9"/>
      <x:c r="Z351" s="8"/>
      <x:c r="AA351" s="8"/>
      <x:c r="AB351" s="7"/>
      <x:c r="AC351" s="7"/>
      <x:c r="AD351" s="13"/>
      <x:c r="AE351" s="7"/>
      <x:c r="AF351" s="7"/>
      <x:c r="AG351" s="7"/>
      <x:c r="AH351" s="7"/>
      <x:c r="AI351" s="7"/>
      <x:c r="AJ351" s="9" t="str">
        <x:f>IF($A351="","",SUMIF(Sales_Items!$A$2:$A$501,$A351,Sales_Items!$O$2:$O$501))</x:f>
      </x:c>
      <x:c r="AK351" s="9" t="str">
        <x:f>IF($A351="","",$AJ351*$L351/100)</x:f>
      </x:c>
      <x:c r="AL351" s="9" t="str">
        <x:f>IF($A351="","",MAX(0,$AJ351-$AK351))</x:f>
      </x:c>
      <x:c r="AM351" s="9" t="str">
        <x:f>IF($A351="","",MAX(0,$AL351*$M351/100))</x:f>
      </x:c>
      <x:c r="AN351" s="9" t="str">
        <x:f>IF($A351="","",MAX(0,$AL351*$N351/100))</x:f>
      </x:c>
      <x:c r="AO351" s="9" t="str">
        <x:f>IF($A351="","",MAX(0,$AL351*$O351/100))</x:f>
      </x:c>
      <x:c r="AP351" s="9" t="str">
        <x:f>IF($A351="","",MAX(0,$AL351+$AM351+$P351+$W351-$AN351-$AO351-$Q351))</x:f>
      </x:c>
    </x:row>
    <x:row r="352">
      <x:c r="A352" s="13"/>
      <x:c r="B352" s="7"/>
      <x:c r="C352" s="13"/>
      <x:c r="D352" s="14"/>
      <x:c r="E352" s="8"/>
      <x:c r="F352" s="13"/>
      <x:c r="G352" s="7"/>
      <x:c r="H352" s="7"/>
      <x:c r="I352" s="7"/>
      <x:c r="J352" s="13"/>
      <x:c r="K352" s="16"/>
      <x:c r="L352" s="10"/>
      <x:c r="M352" s="10"/>
      <x:c r="N352" s="10"/>
      <x:c r="O352" s="10"/>
      <x:c r="P352" s="9"/>
      <x:c r="Q352" s="9"/>
      <x:c r="R352" s="7"/>
      <x:c r="S352" s="7"/>
      <x:c r="T352" s="7"/>
      <x:c r="U352" s="7"/>
      <x:c r="V352" s="7"/>
      <x:c r="W352" s="9"/>
      <x:c r="X352" s="7"/>
      <x:c r="Y352" s="9"/>
      <x:c r="Z352" s="8"/>
      <x:c r="AA352" s="8"/>
      <x:c r="AB352" s="7"/>
      <x:c r="AC352" s="7"/>
      <x:c r="AD352" s="13"/>
      <x:c r="AE352" s="7"/>
      <x:c r="AF352" s="7"/>
      <x:c r="AG352" s="7"/>
      <x:c r="AH352" s="7"/>
      <x:c r="AI352" s="7"/>
      <x:c r="AJ352" s="9" t="str">
        <x:f>IF($A352="","",SUMIF(Sales_Items!$A$2:$A$501,$A352,Sales_Items!$O$2:$O$501))</x:f>
      </x:c>
      <x:c r="AK352" s="9" t="str">
        <x:f>IF($A352="","",$AJ352*$L352/100)</x:f>
      </x:c>
      <x:c r="AL352" s="9" t="str">
        <x:f>IF($A352="","",MAX(0,$AJ352-$AK352))</x:f>
      </x:c>
      <x:c r="AM352" s="9" t="str">
        <x:f>IF($A352="","",MAX(0,$AL352*$M352/100))</x:f>
      </x:c>
      <x:c r="AN352" s="9" t="str">
        <x:f>IF($A352="","",MAX(0,$AL352*$N352/100))</x:f>
      </x:c>
      <x:c r="AO352" s="9" t="str">
        <x:f>IF($A352="","",MAX(0,$AL352*$O352/100))</x:f>
      </x:c>
      <x:c r="AP352" s="9" t="str">
        <x:f>IF($A352="","",MAX(0,$AL352+$AM352+$P352+$W352-$AN352-$AO352-$Q352))</x:f>
      </x:c>
    </x:row>
    <x:row r="353">
      <x:c r="A353" s="13"/>
      <x:c r="B353" s="7"/>
      <x:c r="C353" s="13"/>
      <x:c r="D353" s="14"/>
      <x:c r="E353" s="8"/>
      <x:c r="F353" s="13"/>
      <x:c r="G353" s="7"/>
      <x:c r="H353" s="7"/>
      <x:c r="I353" s="7"/>
      <x:c r="J353" s="13"/>
      <x:c r="K353" s="16"/>
      <x:c r="L353" s="10"/>
      <x:c r="M353" s="10"/>
      <x:c r="N353" s="10"/>
      <x:c r="O353" s="10"/>
      <x:c r="P353" s="9"/>
      <x:c r="Q353" s="9"/>
      <x:c r="R353" s="7"/>
      <x:c r="S353" s="7"/>
      <x:c r="T353" s="7"/>
      <x:c r="U353" s="7"/>
      <x:c r="V353" s="7"/>
      <x:c r="W353" s="9"/>
      <x:c r="X353" s="7"/>
      <x:c r="Y353" s="9"/>
      <x:c r="Z353" s="8"/>
      <x:c r="AA353" s="8"/>
      <x:c r="AB353" s="7"/>
      <x:c r="AC353" s="7"/>
      <x:c r="AD353" s="13"/>
      <x:c r="AE353" s="7"/>
      <x:c r="AF353" s="7"/>
      <x:c r="AG353" s="7"/>
      <x:c r="AH353" s="7"/>
      <x:c r="AI353" s="7"/>
      <x:c r="AJ353" s="9" t="str">
        <x:f>IF($A353="","",SUMIF(Sales_Items!$A$2:$A$501,$A353,Sales_Items!$O$2:$O$501))</x:f>
      </x:c>
      <x:c r="AK353" s="9" t="str">
        <x:f>IF($A353="","",$AJ353*$L353/100)</x:f>
      </x:c>
      <x:c r="AL353" s="9" t="str">
        <x:f>IF($A353="","",MAX(0,$AJ353-$AK353))</x:f>
      </x:c>
      <x:c r="AM353" s="9" t="str">
        <x:f>IF($A353="","",MAX(0,$AL353*$M353/100))</x:f>
      </x:c>
      <x:c r="AN353" s="9" t="str">
        <x:f>IF($A353="","",MAX(0,$AL353*$N353/100))</x:f>
      </x:c>
      <x:c r="AO353" s="9" t="str">
        <x:f>IF($A353="","",MAX(0,$AL353*$O353/100))</x:f>
      </x:c>
      <x:c r="AP353" s="9" t="str">
        <x:f>IF($A353="","",MAX(0,$AL353+$AM353+$P353+$W353-$AN353-$AO353-$Q353))</x:f>
      </x:c>
    </x:row>
    <x:row r="354">
      <x:c r="A354" s="13"/>
      <x:c r="B354" s="7"/>
      <x:c r="C354" s="13"/>
      <x:c r="D354" s="14"/>
      <x:c r="E354" s="8"/>
      <x:c r="F354" s="13"/>
      <x:c r="G354" s="7"/>
      <x:c r="H354" s="7"/>
      <x:c r="I354" s="7"/>
      <x:c r="J354" s="13"/>
      <x:c r="K354" s="16"/>
      <x:c r="L354" s="10"/>
      <x:c r="M354" s="10"/>
      <x:c r="N354" s="10"/>
      <x:c r="O354" s="10"/>
      <x:c r="P354" s="9"/>
      <x:c r="Q354" s="9"/>
      <x:c r="R354" s="7"/>
      <x:c r="S354" s="7"/>
      <x:c r="T354" s="7"/>
      <x:c r="U354" s="7"/>
      <x:c r="V354" s="7"/>
      <x:c r="W354" s="9"/>
      <x:c r="X354" s="7"/>
      <x:c r="Y354" s="9"/>
      <x:c r="Z354" s="8"/>
      <x:c r="AA354" s="8"/>
      <x:c r="AB354" s="7"/>
      <x:c r="AC354" s="7"/>
      <x:c r="AD354" s="13"/>
      <x:c r="AE354" s="7"/>
      <x:c r="AF354" s="7"/>
      <x:c r="AG354" s="7"/>
      <x:c r="AH354" s="7"/>
      <x:c r="AI354" s="7"/>
      <x:c r="AJ354" s="9" t="str">
        <x:f>IF($A354="","",SUMIF(Sales_Items!$A$2:$A$501,$A354,Sales_Items!$O$2:$O$501))</x:f>
      </x:c>
      <x:c r="AK354" s="9" t="str">
        <x:f>IF($A354="","",$AJ354*$L354/100)</x:f>
      </x:c>
      <x:c r="AL354" s="9" t="str">
        <x:f>IF($A354="","",MAX(0,$AJ354-$AK354))</x:f>
      </x:c>
      <x:c r="AM354" s="9" t="str">
        <x:f>IF($A354="","",MAX(0,$AL354*$M354/100))</x:f>
      </x:c>
      <x:c r="AN354" s="9" t="str">
        <x:f>IF($A354="","",MAX(0,$AL354*$N354/100))</x:f>
      </x:c>
      <x:c r="AO354" s="9" t="str">
        <x:f>IF($A354="","",MAX(0,$AL354*$O354/100))</x:f>
      </x:c>
      <x:c r="AP354" s="9" t="str">
        <x:f>IF($A354="","",MAX(0,$AL354+$AM354+$P354+$W354-$AN354-$AO354-$Q354))</x:f>
      </x:c>
    </x:row>
    <x:row r="355">
      <x:c r="A355" s="13"/>
      <x:c r="B355" s="7"/>
      <x:c r="C355" s="13"/>
      <x:c r="D355" s="14"/>
      <x:c r="E355" s="8"/>
      <x:c r="F355" s="13"/>
      <x:c r="G355" s="7"/>
      <x:c r="H355" s="7"/>
      <x:c r="I355" s="7"/>
      <x:c r="J355" s="13"/>
      <x:c r="K355" s="16"/>
      <x:c r="L355" s="10"/>
      <x:c r="M355" s="10"/>
      <x:c r="N355" s="10"/>
      <x:c r="O355" s="10"/>
      <x:c r="P355" s="9"/>
      <x:c r="Q355" s="9"/>
      <x:c r="R355" s="7"/>
      <x:c r="S355" s="7"/>
      <x:c r="T355" s="7"/>
      <x:c r="U355" s="7"/>
      <x:c r="V355" s="7"/>
      <x:c r="W355" s="9"/>
      <x:c r="X355" s="7"/>
      <x:c r="Y355" s="9"/>
      <x:c r="Z355" s="8"/>
      <x:c r="AA355" s="8"/>
      <x:c r="AB355" s="7"/>
      <x:c r="AC355" s="7"/>
      <x:c r="AD355" s="13"/>
      <x:c r="AE355" s="7"/>
      <x:c r="AF355" s="7"/>
      <x:c r="AG355" s="7"/>
      <x:c r="AH355" s="7"/>
      <x:c r="AI355" s="7"/>
      <x:c r="AJ355" s="9" t="str">
        <x:f>IF($A355="","",SUMIF(Sales_Items!$A$2:$A$501,$A355,Sales_Items!$O$2:$O$501))</x:f>
      </x:c>
      <x:c r="AK355" s="9" t="str">
        <x:f>IF($A355="","",$AJ355*$L355/100)</x:f>
      </x:c>
      <x:c r="AL355" s="9" t="str">
        <x:f>IF($A355="","",MAX(0,$AJ355-$AK355))</x:f>
      </x:c>
      <x:c r="AM355" s="9" t="str">
        <x:f>IF($A355="","",MAX(0,$AL355*$M355/100))</x:f>
      </x:c>
      <x:c r="AN355" s="9" t="str">
        <x:f>IF($A355="","",MAX(0,$AL355*$N355/100))</x:f>
      </x:c>
      <x:c r="AO355" s="9" t="str">
        <x:f>IF($A355="","",MAX(0,$AL355*$O355/100))</x:f>
      </x:c>
      <x:c r="AP355" s="9" t="str">
        <x:f>IF($A355="","",MAX(0,$AL355+$AM355+$P355+$W355-$AN355-$AO355-$Q355))</x:f>
      </x:c>
    </x:row>
    <x:row r="356">
      <x:c r="A356" s="13"/>
      <x:c r="B356" s="7"/>
      <x:c r="C356" s="13"/>
      <x:c r="D356" s="14"/>
      <x:c r="E356" s="8"/>
      <x:c r="F356" s="13"/>
      <x:c r="G356" s="7"/>
      <x:c r="H356" s="7"/>
      <x:c r="I356" s="7"/>
      <x:c r="J356" s="13"/>
      <x:c r="K356" s="16"/>
      <x:c r="L356" s="10"/>
      <x:c r="M356" s="10"/>
      <x:c r="N356" s="10"/>
      <x:c r="O356" s="10"/>
      <x:c r="P356" s="9"/>
      <x:c r="Q356" s="9"/>
      <x:c r="R356" s="7"/>
      <x:c r="S356" s="7"/>
      <x:c r="T356" s="7"/>
      <x:c r="U356" s="7"/>
      <x:c r="V356" s="7"/>
      <x:c r="W356" s="9"/>
      <x:c r="X356" s="7"/>
      <x:c r="Y356" s="9"/>
      <x:c r="Z356" s="8"/>
      <x:c r="AA356" s="8"/>
      <x:c r="AB356" s="7"/>
      <x:c r="AC356" s="7"/>
      <x:c r="AD356" s="13"/>
      <x:c r="AE356" s="7"/>
      <x:c r="AF356" s="7"/>
      <x:c r="AG356" s="7"/>
      <x:c r="AH356" s="7"/>
      <x:c r="AI356" s="7"/>
      <x:c r="AJ356" s="9" t="str">
        <x:f>IF($A356="","",SUMIF(Sales_Items!$A$2:$A$501,$A356,Sales_Items!$O$2:$O$501))</x:f>
      </x:c>
      <x:c r="AK356" s="9" t="str">
        <x:f>IF($A356="","",$AJ356*$L356/100)</x:f>
      </x:c>
      <x:c r="AL356" s="9" t="str">
        <x:f>IF($A356="","",MAX(0,$AJ356-$AK356))</x:f>
      </x:c>
      <x:c r="AM356" s="9" t="str">
        <x:f>IF($A356="","",MAX(0,$AL356*$M356/100))</x:f>
      </x:c>
      <x:c r="AN356" s="9" t="str">
        <x:f>IF($A356="","",MAX(0,$AL356*$N356/100))</x:f>
      </x:c>
      <x:c r="AO356" s="9" t="str">
        <x:f>IF($A356="","",MAX(0,$AL356*$O356/100))</x:f>
      </x:c>
      <x:c r="AP356" s="9" t="str">
        <x:f>IF($A356="","",MAX(0,$AL356+$AM356+$P356+$W356-$AN356-$AO356-$Q356))</x:f>
      </x:c>
    </x:row>
    <x:row r="357">
      <x:c r="A357" s="13"/>
      <x:c r="B357" s="7"/>
      <x:c r="C357" s="13"/>
      <x:c r="D357" s="14"/>
      <x:c r="E357" s="8"/>
      <x:c r="F357" s="13"/>
      <x:c r="G357" s="7"/>
      <x:c r="H357" s="7"/>
      <x:c r="I357" s="7"/>
      <x:c r="J357" s="13"/>
      <x:c r="K357" s="16"/>
      <x:c r="L357" s="10"/>
      <x:c r="M357" s="10"/>
      <x:c r="N357" s="10"/>
      <x:c r="O357" s="10"/>
      <x:c r="P357" s="9"/>
      <x:c r="Q357" s="9"/>
      <x:c r="R357" s="7"/>
      <x:c r="S357" s="7"/>
      <x:c r="T357" s="7"/>
      <x:c r="U357" s="7"/>
      <x:c r="V357" s="7"/>
      <x:c r="W357" s="9"/>
      <x:c r="X357" s="7"/>
      <x:c r="Y357" s="9"/>
      <x:c r="Z357" s="8"/>
      <x:c r="AA357" s="8"/>
      <x:c r="AB357" s="7"/>
      <x:c r="AC357" s="7"/>
      <x:c r="AD357" s="13"/>
      <x:c r="AE357" s="7"/>
      <x:c r="AF357" s="7"/>
      <x:c r="AG357" s="7"/>
      <x:c r="AH357" s="7"/>
      <x:c r="AI357" s="7"/>
      <x:c r="AJ357" s="9" t="str">
        <x:f>IF($A357="","",SUMIF(Sales_Items!$A$2:$A$501,$A357,Sales_Items!$O$2:$O$501))</x:f>
      </x:c>
      <x:c r="AK357" s="9" t="str">
        <x:f>IF($A357="","",$AJ357*$L357/100)</x:f>
      </x:c>
      <x:c r="AL357" s="9" t="str">
        <x:f>IF($A357="","",MAX(0,$AJ357-$AK357))</x:f>
      </x:c>
      <x:c r="AM357" s="9" t="str">
        <x:f>IF($A357="","",MAX(0,$AL357*$M357/100))</x:f>
      </x:c>
      <x:c r="AN357" s="9" t="str">
        <x:f>IF($A357="","",MAX(0,$AL357*$N357/100))</x:f>
      </x:c>
      <x:c r="AO357" s="9" t="str">
        <x:f>IF($A357="","",MAX(0,$AL357*$O357/100))</x:f>
      </x:c>
      <x:c r="AP357" s="9" t="str">
        <x:f>IF($A357="","",MAX(0,$AL357+$AM357+$P357+$W357-$AN357-$AO357-$Q357))</x:f>
      </x:c>
    </x:row>
    <x:row r="358">
      <x:c r="A358" s="13"/>
      <x:c r="B358" s="7"/>
      <x:c r="C358" s="13"/>
      <x:c r="D358" s="14"/>
      <x:c r="E358" s="8"/>
      <x:c r="F358" s="13"/>
      <x:c r="G358" s="7"/>
      <x:c r="H358" s="7"/>
      <x:c r="I358" s="7"/>
      <x:c r="J358" s="13"/>
      <x:c r="K358" s="16"/>
      <x:c r="L358" s="10"/>
      <x:c r="M358" s="10"/>
      <x:c r="N358" s="10"/>
      <x:c r="O358" s="10"/>
      <x:c r="P358" s="9"/>
      <x:c r="Q358" s="9"/>
      <x:c r="R358" s="7"/>
      <x:c r="S358" s="7"/>
      <x:c r="T358" s="7"/>
      <x:c r="U358" s="7"/>
      <x:c r="V358" s="7"/>
      <x:c r="W358" s="9"/>
      <x:c r="X358" s="7"/>
      <x:c r="Y358" s="9"/>
      <x:c r="Z358" s="8"/>
      <x:c r="AA358" s="8"/>
      <x:c r="AB358" s="7"/>
      <x:c r="AC358" s="7"/>
      <x:c r="AD358" s="13"/>
      <x:c r="AE358" s="7"/>
      <x:c r="AF358" s="7"/>
      <x:c r="AG358" s="7"/>
      <x:c r="AH358" s="7"/>
      <x:c r="AI358" s="7"/>
      <x:c r="AJ358" s="9" t="str">
        <x:f>IF($A358="","",SUMIF(Sales_Items!$A$2:$A$501,$A358,Sales_Items!$O$2:$O$501))</x:f>
      </x:c>
      <x:c r="AK358" s="9" t="str">
        <x:f>IF($A358="","",$AJ358*$L358/100)</x:f>
      </x:c>
      <x:c r="AL358" s="9" t="str">
        <x:f>IF($A358="","",MAX(0,$AJ358-$AK358))</x:f>
      </x:c>
      <x:c r="AM358" s="9" t="str">
        <x:f>IF($A358="","",MAX(0,$AL358*$M358/100))</x:f>
      </x:c>
      <x:c r="AN358" s="9" t="str">
        <x:f>IF($A358="","",MAX(0,$AL358*$N358/100))</x:f>
      </x:c>
      <x:c r="AO358" s="9" t="str">
        <x:f>IF($A358="","",MAX(0,$AL358*$O358/100))</x:f>
      </x:c>
      <x:c r="AP358" s="9" t="str">
        <x:f>IF($A358="","",MAX(0,$AL358+$AM358+$P358+$W358-$AN358-$AO358-$Q358))</x:f>
      </x:c>
    </x:row>
    <x:row r="359">
      <x:c r="A359" s="13"/>
      <x:c r="B359" s="7"/>
      <x:c r="C359" s="13"/>
      <x:c r="D359" s="14"/>
      <x:c r="E359" s="8"/>
      <x:c r="F359" s="13"/>
      <x:c r="G359" s="7"/>
      <x:c r="H359" s="7"/>
      <x:c r="I359" s="7"/>
      <x:c r="J359" s="13"/>
      <x:c r="K359" s="16"/>
      <x:c r="L359" s="10"/>
      <x:c r="M359" s="10"/>
      <x:c r="N359" s="10"/>
      <x:c r="O359" s="10"/>
      <x:c r="P359" s="9"/>
      <x:c r="Q359" s="9"/>
      <x:c r="R359" s="7"/>
      <x:c r="S359" s="7"/>
      <x:c r="T359" s="7"/>
      <x:c r="U359" s="7"/>
      <x:c r="V359" s="7"/>
      <x:c r="W359" s="9"/>
      <x:c r="X359" s="7"/>
      <x:c r="Y359" s="9"/>
      <x:c r="Z359" s="8"/>
      <x:c r="AA359" s="8"/>
      <x:c r="AB359" s="7"/>
      <x:c r="AC359" s="7"/>
      <x:c r="AD359" s="13"/>
      <x:c r="AE359" s="7"/>
      <x:c r="AF359" s="7"/>
      <x:c r="AG359" s="7"/>
      <x:c r="AH359" s="7"/>
      <x:c r="AI359" s="7"/>
      <x:c r="AJ359" s="9" t="str">
        <x:f>IF($A359="","",SUMIF(Sales_Items!$A$2:$A$501,$A359,Sales_Items!$O$2:$O$501))</x:f>
      </x:c>
      <x:c r="AK359" s="9" t="str">
        <x:f>IF($A359="","",$AJ359*$L359/100)</x:f>
      </x:c>
      <x:c r="AL359" s="9" t="str">
        <x:f>IF($A359="","",MAX(0,$AJ359-$AK359))</x:f>
      </x:c>
      <x:c r="AM359" s="9" t="str">
        <x:f>IF($A359="","",MAX(0,$AL359*$M359/100))</x:f>
      </x:c>
      <x:c r="AN359" s="9" t="str">
        <x:f>IF($A359="","",MAX(0,$AL359*$N359/100))</x:f>
      </x:c>
      <x:c r="AO359" s="9" t="str">
        <x:f>IF($A359="","",MAX(0,$AL359*$O359/100))</x:f>
      </x:c>
      <x:c r="AP359" s="9" t="str">
        <x:f>IF($A359="","",MAX(0,$AL359+$AM359+$P359+$W359-$AN359-$AO359-$Q359))</x:f>
      </x:c>
    </x:row>
    <x:row r="360">
      <x:c r="A360" s="13"/>
      <x:c r="B360" s="7"/>
      <x:c r="C360" s="13"/>
      <x:c r="D360" s="14"/>
      <x:c r="E360" s="8"/>
      <x:c r="F360" s="13"/>
      <x:c r="G360" s="7"/>
      <x:c r="H360" s="7"/>
      <x:c r="I360" s="7"/>
      <x:c r="J360" s="13"/>
      <x:c r="K360" s="16"/>
      <x:c r="L360" s="10"/>
      <x:c r="M360" s="10"/>
      <x:c r="N360" s="10"/>
      <x:c r="O360" s="10"/>
      <x:c r="P360" s="9"/>
      <x:c r="Q360" s="9"/>
      <x:c r="R360" s="7"/>
      <x:c r="S360" s="7"/>
      <x:c r="T360" s="7"/>
      <x:c r="U360" s="7"/>
      <x:c r="V360" s="7"/>
      <x:c r="W360" s="9"/>
      <x:c r="X360" s="7"/>
      <x:c r="Y360" s="9"/>
      <x:c r="Z360" s="8"/>
      <x:c r="AA360" s="8"/>
      <x:c r="AB360" s="7"/>
      <x:c r="AC360" s="7"/>
      <x:c r="AD360" s="13"/>
      <x:c r="AE360" s="7"/>
      <x:c r="AF360" s="7"/>
      <x:c r="AG360" s="7"/>
      <x:c r="AH360" s="7"/>
      <x:c r="AI360" s="7"/>
      <x:c r="AJ360" s="9" t="str">
        <x:f>IF($A360="","",SUMIF(Sales_Items!$A$2:$A$501,$A360,Sales_Items!$O$2:$O$501))</x:f>
      </x:c>
      <x:c r="AK360" s="9" t="str">
        <x:f>IF($A360="","",$AJ360*$L360/100)</x:f>
      </x:c>
      <x:c r="AL360" s="9" t="str">
        <x:f>IF($A360="","",MAX(0,$AJ360-$AK360))</x:f>
      </x:c>
      <x:c r="AM360" s="9" t="str">
        <x:f>IF($A360="","",MAX(0,$AL360*$M360/100))</x:f>
      </x:c>
      <x:c r="AN360" s="9" t="str">
        <x:f>IF($A360="","",MAX(0,$AL360*$N360/100))</x:f>
      </x:c>
      <x:c r="AO360" s="9" t="str">
        <x:f>IF($A360="","",MAX(0,$AL360*$O360/100))</x:f>
      </x:c>
      <x:c r="AP360" s="9" t="str">
        <x:f>IF($A360="","",MAX(0,$AL360+$AM360+$P360+$W360-$AN360-$AO360-$Q360))</x:f>
      </x:c>
    </x:row>
    <x:row r="361">
      <x:c r="A361" s="13"/>
      <x:c r="B361" s="7"/>
      <x:c r="C361" s="13"/>
      <x:c r="D361" s="14"/>
      <x:c r="E361" s="8"/>
      <x:c r="F361" s="13"/>
      <x:c r="G361" s="7"/>
      <x:c r="H361" s="7"/>
      <x:c r="I361" s="7"/>
      <x:c r="J361" s="13"/>
      <x:c r="K361" s="16"/>
      <x:c r="L361" s="10"/>
      <x:c r="M361" s="10"/>
      <x:c r="N361" s="10"/>
      <x:c r="O361" s="10"/>
      <x:c r="P361" s="9"/>
      <x:c r="Q361" s="9"/>
      <x:c r="R361" s="7"/>
      <x:c r="S361" s="7"/>
      <x:c r="T361" s="7"/>
      <x:c r="U361" s="7"/>
      <x:c r="V361" s="7"/>
      <x:c r="W361" s="9"/>
      <x:c r="X361" s="7"/>
      <x:c r="Y361" s="9"/>
      <x:c r="Z361" s="8"/>
      <x:c r="AA361" s="8"/>
      <x:c r="AB361" s="7"/>
      <x:c r="AC361" s="7"/>
      <x:c r="AD361" s="13"/>
      <x:c r="AE361" s="7"/>
      <x:c r="AF361" s="7"/>
      <x:c r="AG361" s="7"/>
      <x:c r="AH361" s="7"/>
      <x:c r="AI361" s="7"/>
      <x:c r="AJ361" s="9" t="str">
        <x:f>IF($A361="","",SUMIF(Sales_Items!$A$2:$A$501,$A361,Sales_Items!$O$2:$O$501))</x:f>
      </x:c>
      <x:c r="AK361" s="9" t="str">
        <x:f>IF($A361="","",$AJ361*$L361/100)</x:f>
      </x:c>
      <x:c r="AL361" s="9" t="str">
        <x:f>IF($A361="","",MAX(0,$AJ361-$AK361))</x:f>
      </x:c>
      <x:c r="AM361" s="9" t="str">
        <x:f>IF($A361="","",MAX(0,$AL361*$M361/100))</x:f>
      </x:c>
      <x:c r="AN361" s="9" t="str">
        <x:f>IF($A361="","",MAX(0,$AL361*$N361/100))</x:f>
      </x:c>
      <x:c r="AO361" s="9" t="str">
        <x:f>IF($A361="","",MAX(0,$AL361*$O361/100))</x:f>
      </x:c>
      <x:c r="AP361" s="9" t="str">
        <x:f>IF($A361="","",MAX(0,$AL361+$AM361+$P361+$W361-$AN361-$AO361-$Q361))</x:f>
      </x:c>
    </x:row>
    <x:row r="362">
      <x:c r="A362" s="13"/>
      <x:c r="B362" s="7"/>
      <x:c r="C362" s="13"/>
      <x:c r="D362" s="14"/>
      <x:c r="E362" s="8"/>
      <x:c r="F362" s="13"/>
      <x:c r="G362" s="7"/>
      <x:c r="H362" s="7"/>
      <x:c r="I362" s="7"/>
      <x:c r="J362" s="13"/>
      <x:c r="K362" s="16"/>
      <x:c r="L362" s="10"/>
      <x:c r="M362" s="10"/>
      <x:c r="N362" s="10"/>
      <x:c r="O362" s="10"/>
      <x:c r="P362" s="9"/>
      <x:c r="Q362" s="9"/>
      <x:c r="R362" s="7"/>
      <x:c r="S362" s="7"/>
      <x:c r="T362" s="7"/>
      <x:c r="U362" s="7"/>
      <x:c r="V362" s="7"/>
      <x:c r="W362" s="9"/>
      <x:c r="X362" s="7"/>
      <x:c r="Y362" s="9"/>
      <x:c r="Z362" s="8"/>
      <x:c r="AA362" s="8"/>
      <x:c r="AB362" s="7"/>
      <x:c r="AC362" s="7"/>
      <x:c r="AD362" s="13"/>
      <x:c r="AE362" s="7"/>
      <x:c r="AF362" s="7"/>
      <x:c r="AG362" s="7"/>
      <x:c r="AH362" s="7"/>
      <x:c r="AI362" s="7"/>
      <x:c r="AJ362" s="9" t="str">
        <x:f>IF($A362="","",SUMIF(Sales_Items!$A$2:$A$501,$A362,Sales_Items!$O$2:$O$501))</x:f>
      </x:c>
      <x:c r="AK362" s="9" t="str">
        <x:f>IF($A362="","",$AJ362*$L362/100)</x:f>
      </x:c>
      <x:c r="AL362" s="9" t="str">
        <x:f>IF($A362="","",MAX(0,$AJ362-$AK362))</x:f>
      </x:c>
      <x:c r="AM362" s="9" t="str">
        <x:f>IF($A362="","",MAX(0,$AL362*$M362/100))</x:f>
      </x:c>
      <x:c r="AN362" s="9" t="str">
        <x:f>IF($A362="","",MAX(0,$AL362*$N362/100))</x:f>
      </x:c>
      <x:c r="AO362" s="9" t="str">
        <x:f>IF($A362="","",MAX(0,$AL362*$O362/100))</x:f>
      </x:c>
      <x:c r="AP362" s="9" t="str">
        <x:f>IF($A362="","",MAX(0,$AL362+$AM362+$P362+$W362-$AN362-$AO362-$Q362))</x:f>
      </x:c>
    </x:row>
    <x:row r="363">
      <x:c r="A363" s="13"/>
      <x:c r="B363" s="7"/>
      <x:c r="C363" s="13"/>
      <x:c r="D363" s="14"/>
      <x:c r="E363" s="8"/>
      <x:c r="F363" s="13"/>
      <x:c r="G363" s="7"/>
      <x:c r="H363" s="7"/>
      <x:c r="I363" s="7"/>
      <x:c r="J363" s="13"/>
      <x:c r="K363" s="16"/>
      <x:c r="L363" s="10"/>
      <x:c r="M363" s="10"/>
      <x:c r="N363" s="10"/>
      <x:c r="O363" s="10"/>
      <x:c r="P363" s="9"/>
      <x:c r="Q363" s="9"/>
      <x:c r="R363" s="7"/>
      <x:c r="S363" s="7"/>
      <x:c r="T363" s="7"/>
      <x:c r="U363" s="7"/>
      <x:c r="V363" s="7"/>
      <x:c r="W363" s="9"/>
      <x:c r="X363" s="7"/>
      <x:c r="Y363" s="9"/>
      <x:c r="Z363" s="8"/>
      <x:c r="AA363" s="8"/>
      <x:c r="AB363" s="7"/>
      <x:c r="AC363" s="7"/>
      <x:c r="AD363" s="13"/>
      <x:c r="AE363" s="7"/>
      <x:c r="AF363" s="7"/>
      <x:c r="AG363" s="7"/>
      <x:c r="AH363" s="7"/>
      <x:c r="AI363" s="7"/>
      <x:c r="AJ363" s="9" t="str">
        <x:f>IF($A363="","",SUMIF(Sales_Items!$A$2:$A$501,$A363,Sales_Items!$O$2:$O$501))</x:f>
      </x:c>
      <x:c r="AK363" s="9" t="str">
        <x:f>IF($A363="","",$AJ363*$L363/100)</x:f>
      </x:c>
      <x:c r="AL363" s="9" t="str">
        <x:f>IF($A363="","",MAX(0,$AJ363-$AK363))</x:f>
      </x:c>
      <x:c r="AM363" s="9" t="str">
        <x:f>IF($A363="","",MAX(0,$AL363*$M363/100))</x:f>
      </x:c>
      <x:c r="AN363" s="9" t="str">
        <x:f>IF($A363="","",MAX(0,$AL363*$N363/100))</x:f>
      </x:c>
      <x:c r="AO363" s="9" t="str">
        <x:f>IF($A363="","",MAX(0,$AL363*$O363/100))</x:f>
      </x:c>
      <x:c r="AP363" s="9" t="str">
        <x:f>IF($A363="","",MAX(0,$AL363+$AM363+$P363+$W363-$AN363-$AO363-$Q363))</x:f>
      </x:c>
    </x:row>
    <x:row r="364">
      <x:c r="A364" s="13"/>
      <x:c r="B364" s="7"/>
      <x:c r="C364" s="13"/>
      <x:c r="D364" s="14"/>
      <x:c r="E364" s="8"/>
      <x:c r="F364" s="13"/>
      <x:c r="G364" s="7"/>
      <x:c r="H364" s="7"/>
      <x:c r="I364" s="7"/>
      <x:c r="J364" s="13"/>
      <x:c r="K364" s="16"/>
      <x:c r="L364" s="10"/>
      <x:c r="M364" s="10"/>
      <x:c r="N364" s="10"/>
      <x:c r="O364" s="10"/>
      <x:c r="P364" s="9"/>
      <x:c r="Q364" s="9"/>
      <x:c r="R364" s="7"/>
      <x:c r="S364" s="7"/>
      <x:c r="T364" s="7"/>
      <x:c r="U364" s="7"/>
      <x:c r="V364" s="7"/>
      <x:c r="W364" s="9"/>
      <x:c r="X364" s="7"/>
      <x:c r="Y364" s="9"/>
      <x:c r="Z364" s="8"/>
      <x:c r="AA364" s="8"/>
      <x:c r="AB364" s="7"/>
      <x:c r="AC364" s="7"/>
      <x:c r="AD364" s="13"/>
      <x:c r="AE364" s="7"/>
      <x:c r="AF364" s="7"/>
      <x:c r="AG364" s="7"/>
      <x:c r="AH364" s="7"/>
      <x:c r="AI364" s="7"/>
      <x:c r="AJ364" s="9" t="str">
        <x:f>IF($A364="","",SUMIF(Sales_Items!$A$2:$A$501,$A364,Sales_Items!$O$2:$O$501))</x:f>
      </x:c>
      <x:c r="AK364" s="9" t="str">
        <x:f>IF($A364="","",$AJ364*$L364/100)</x:f>
      </x:c>
      <x:c r="AL364" s="9" t="str">
        <x:f>IF($A364="","",MAX(0,$AJ364-$AK364))</x:f>
      </x:c>
      <x:c r="AM364" s="9" t="str">
        <x:f>IF($A364="","",MAX(0,$AL364*$M364/100))</x:f>
      </x:c>
      <x:c r="AN364" s="9" t="str">
        <x:f>IF($A364="","",MAX(0,$AL364*$N364/100))</x:f>
      </x:c>
      <x:c r="AO364" s="9" t="str">
        <x:f>IF($A364="","",MAX(0,$AL364*$O364/100))</x:f>
      </x:c>
      <x:c r="AP364" s="9" t="str">
        <x:f>IF($A364="","",MAX(0,$AL364+$AM364+$P364+$W364-$AN364-$AO364-$Q364))</x:f>
      </x:c>
    </x:row>
    <x:row r="365">
      <x:c r="A365" s="13"/>
      <x:c r="B365" s="7"/>
      <x:c r="C365" s="13"/>
      <x:c r="D365" s="14"/>
      <x:c r="E365" s="8"/>
      <x:c r="F365" s="13"/>
      <x:c r="G365" s="7"/>
      <x:c r="H365" s="7"/>
      <x:c r="I365" s="7"/>
      <x:c r="J365" s="13"/>
      <x:c r="K365" s="16"/>
      <x:c r="L365" s="10"/>
      <x:c r="M365" s="10"/>
      <x:c r="N365" s="10"/>
      <x:c r="O365" s="10"/>
      <x:c r="P365" s="9"/>
      <x:c r="Q365" s="9"/>
      <x:c r="R365" s="7"/>
      <x:c r="S365" s="7"/>
      <x:c r="T365" s="7"/>
      <x:c r="U365" s="7"/>
      <x:c r="V365" s="7"/>
      <x:c r="W365" s="9"/>
      <x:c r="X365" s="7"/>
      <x:c r="Y365" s="9"/>
      <x:c r="Z365" s="8"/>
      <x:c r="AA365" s="8"/>
      <x:c r="AB365" s="7"/>
      <x:c r="AC365" s="7"/>
      <x:c r="AD365" s="13"/>
      <x:c r="AE365" s="7"/>
      <x:c r="AF365" s="7"/>
      <x:c r="AG365" s="7"/>
      <x:c r="AH365" s="7"/>
      <x:c r="AI365" s="7"/>
      <x:c r="AJ365" s="9" t="str">
        <x:f>IF($A365="","",SUMIF(Sales_Items!$A$2:$A$501,$A365,Sales_Items!$O$2:$O$501))</x:f>
      </x:c>
      <x:c r="AK365" s="9" t="str">
        <x:f>IF($A365="","",$AJ365*$L365/100)</x:f>
      </x:c>
      <x:c r="AL365" s="9" t="str">
        <x:f>IF($A365="","",MAX(0,$AJ365-$AK365))</x:f>
      </x:c>
      <x:c r="AM365" s="9" t="str">
        <x:f>IF($A365="","",MAX(0,$AL365*$M365/100))</x:f>
      </x:c>
      <x:c r="AN365" s="9" t="str">
        <x:f>IF($A365="","",MAX(0,$AL365*$N365/100))</x:f>
      </x:c>
      <x:c r="AO365" s="9" t="str">
        <x:f>IF($A365="","",MAX(0,$AL365*$O365/100))</x:f>
      </x:c>
      <x:c r="AP365" s="9" t="str">
        <x:f>IF($A365="","",MAX(0,$AL365+$AM365+$P365+$W365-$AN365-$AO365-$Q365))</x:f>
      </x:c>
    </x:row>
    <x:row r="366">
      <x:c r="A366" s="13"/>
      <x:c r="B366" s="7"/>
      <x:c r="C366" s="13"/>
      <x:c r="D366" s="14"/>
      <x:c r="E366" s="8"/>
      <x:c r="F366" s="13"/>
      <x:c r="G366" s="7"/>
      <x:c r="H366" s="7"/>
      <x:c r="I366" s="7"/>
      <x:c r="J366" s="13"/>
      <x:c r="K366" s="16"/>
      <x:c r="L366" s="10"/>
      <x:c r="M366" s="10"/>
      <x:c r="N366" s="10"/>
      <x:c r="O366" s="10"/>
      <x:c r="P366" s="9"/>
      <x:c r="Q366" s="9"/>
      <x:c r="R366" s="7"/>
      <x:c r="S366" s="7"/>
      <x:c r="T366" s="7"/>
      <x:c r="U366" s="7"/>
      <x:c r="V366" s="7"/>
      <x:c r="W366" s="9"/>
      <x:c r="X366" s="7"/>
      <x:c r="Y366" s="9"/>
      <x:c r="Z366" s="8"/>
      <x:c r="AA366" s="8"/>
      <x:c r="AB366" s="7"/>
      <x:c r="AC366" s="7"/>
      <x:c r="AD366" s="13"/>
      <x:c r="AE366" s="7"/>
      <x:c r="AF366" s="7"/>
      <x:c r="AG366" s="7"/>
      <x:c r="AH366" s="7"/>
      <x:c r="AI366" s="7"/>
      <x:c r="AJ366" s="9" t="str">
        <x:f>IF($A366="","",SUMIF(Sales_Items!$A$2:$A$501,$A366,Sales_Items!$O$2:$O$501))</x:f>
      </x:c>
      <x:c r="AK366" s="9" t="str">
        <x:f>IF($A366="","",$AJ366*$L366/100)</x:f>
      </x:c>
      <x:c r="AL366" s="9" t="str">
        <x:f>IF($A366="","",MAX(0,$AJ366-$AK366))</x:f>
      </x:c>
      <x:c r="AM366" s="9" t="str">
        <x:f>IF($A366="","",MAX(0,$AL366*$M366/100))</x:f>
      </x:c>
      <x:c r="AN366" s="9" t="str">
        <x:f>IF($A366="","",MAX(0,$AL366*$N366/100))</x:f>
      </x:c>
      <x:c r="AO366" s="9" t="str">
        <x:f>IF($A366="","",MAX(0,$AL366*$O366/100))</x:f>
      </x:c>
      <x:c r="AP366" s="9" t="str">
        <x:f>IF($A366="","",MAX(0,$AL366+$AM366+$P366+$W366-$AN366-$AO366-$Q366))</x:f>
      </x:c>
    </x:row>
    <x:row r="367">
      <x:c r="A367" s="13"/>
      <x:c r="B367" s="7"/>
      <x:c r="C367" s="13"/>
      <x:c r="D367" s="14"/>
      <x:c r="E367" s="8"/>
      <x:c r="F367" s="13"/>
      <x:c r="G367" s="7"/>
      <x:c r="H367" s="7"/>
      <x:c r="I367" s="7"/>
      <x:c r="J367" s="13"/>
      <x:c r="K367" s="16"/>
      <x:c r="L367" s="10"/>
      <x:c r="M367" s="10"/>
      <x:c r="N367" s="10"/>
      <x:c r="O367" s="10"/>
      <x:c r="P367" s="9"/>
      <x:c r="Q367" s="9"/>
      <x:c r="R367" s="7"/>
      <x:c r="S367" s="7"/>
      <x:c r="T367" s="7"/>
      <x:c r="U367" s="7"/>
      <x:c r="V367" s="7"/>
      <x:c r="W367" s="9"/>
      <x:c r="X367" s="7"/>
      <x:c r="Y367" s="9"/>
      <x:c r="Z367" s="8"/>
      <x:c r="AA367" s="8"/>
      <x:c r="AB367" s="7"/>
      <x:c r="AC367" s="7"/>
      <x:c r="AD367" s="13"/>
      <x:c r="AE367" s="7"/>
      <x:c r="AF367" s="7"/>
      <x:c r="AG367" s="7"/>
      <x:c r="AH367" s="7"/>
      <x:c r="AI367" s="7"/>
      <x:c r="AJ367" s="9" t="str">
        <x:f>IF($A367="","",SUMIF(Sales_Items!$A$2:$A$501,$A367,Sales_Items!$O$2:$O$501))</x:f>
      </x:c>
      <x:c r="AK367" s="9" t="str">
        <x:f>IF($A367="","",$AJ367*$L367/100)</x:f>
      </x:c>
      <x:c r="AL367" s="9" t="str">
        <x:f>IF($A367="","",MAX(0,$AJ367-$AK367))</x:f>
      </x:c>
      <x:c r="AM367" s="9" t="str">
        <x:f>IF($A367="","",MAX(0,$AL367*$M367/100))</x:f>
      </x:c>
      <x:c r="AN367" s="9" t="str">
        <x:f>IF($A367="","",MAX(0,$AL367*$N367/100))</x:f>
      </x:c>
      <x:c r="AO367" s="9" t="str">
        <x:f>IF($A367="","",MAX(0,$AL367*$O367/100))</x:f>
      </x:c>
      <x:c r="AP367" s="9" t="str">
        <x:f>IF($A367="","",MAX(0,$AL367+$AM367+$P367+$W367-$AN367-$AO367-$Q367))</x:f>
      </x:c>
    </x:row>
    <x:row r="368">
      <x:c r="A368" s="13"/>
      <x:c r="B368" s="7"/>
      <x:c r="C368" s="13"/>
      <x:c r="D368" s="14"/>
      <x:c r="E368" s="8"/>
      <x:c r="F368" s="13"/>
      <x:c r="G368" s="7"/>
      <x:c r="H368" s="7"/>
      <x:c r="I368" s="7"/>
      <x:c r="J368" s="13"/>
      <x:c r="K368" s="16"/>
      <x:c r="L368" s="10"/>
      <x:c r="M368" s="10"/>
      <x:c r="N368" s="10"/>
      <x:c r="O368" s="10"/>
      <x:c r="P368" s="9"/>
      <x:c r="Q368" s="9"/>
      <x:c r="R368" s="7"/>
      <x:c r="S368" s="7"/>
      <x:c r="T368" s="7"/>
      <x:c r="U368" s="7"/>
      <x:c r="V368" s="7"/>
      <x:c r="W368" s="9"/>
      <x:c r="X368" s="7"/>
      <x:c r="Y368" s="9"/>
      <x:c r="Z368" s="8"/>
      <x:c r="AA368" s="8"/>
      <x:c r="AB368" s="7"/>
      <x:c r="AC368" s="7"/>
      <x:c r="AD368" s="13"/>
      <x:c r="AE368" s="7"/>
      <x:c r="AF368" s="7"/>
      <x:c r="AG368" s="7"/>
      <x:c r="AH368" s="7"/>
      <x:c r="AI368" s="7"/>
      <x:c r="AJ368" s="9" t="str">
        <x:f>IF($A368="","",SUMIF(Sales_Items!$A$2:$A$501,$A368,Sales_Items!$O$2:$O$501))</x:f>
      </x:c>
      <x:c r="AK368" s="9" t="str">
        <x:f>IF($A368="","",$AJ368*$L368/100)</x:f>
      </x:c>
      <x:c r="AL368" s="9" t="str">
        <x:f>IF($A368="","",MAX(0,$AJ368-$AK368))</x:f>
      </x:c>
      <x:c r="AM368" s="9" t="str">
        <x:f>IF($A368="","",MAX(0,$AL368*$M368/100))</x:f>
      </x:c>
      <x:c r="AN368" s="9" t="str">
        <x:f>IF($A368="","",MAX(0,$AL368*$N368/100))</x:f>
      </x:c>
      <x:c r="AO368" s="9" t="str">
        <x:f>IF($A368="","",MAX(0,$AL368*$O368/100))</x:f>
      </x:c>
      <x:c r="AP368" s="9" t="str">
        <x:f>IF($A368="","",MAX(0,$AL368+$AM368+$P368+$W368-$AN368-$AO368-$Q368))</x:f>
      </x:c>
    </x:row>
    <x:row r="369">
      <x:c r="A369" s="13"/>
      <x:c r="B369" s="7"/>
      <x:c r="C369" s="13"/>
      <x:c r="D369" s="14"/>
      <x:c r="E369" s="8"/>
      <x:c r="F369" s="13"/>
      <x:c r="G369" s="7"/>
      <x:c r="H369" s="7"/>
      <x:c r="I369" s="7"/>
      <x:c r="J369" s="13"/>
      <x:c r="K369" s="16"/>
      <x:c r="L369" s="10"/>
      <x:c r="M369" s="10"/>
      <x:c r="N369" s="10"/>
      <x:c r="O369" s="10"/>
      <x:c r="P369" s="9"/>
      <x:c r="Q369" s="9"/>
      <x:c r="R369" s="7"/>
      <x:c r="S369" s="7"/>
      <x:c r="T369" s="7"/>
      <x:c r="U369" s="7"/>
      <x:c r="V369" s="7"/>
      <x:c r="W369" s="9"/>
      <x:c r="X369" s="7"/>
      <x:c r="Y369" s="9"/>
      <x:c r="Z369" s="8"/>
      <x:c r="AA369" s="8"/>
      <x:c r="AB369" s="7"/>
      <x:c r="AC369" s="7"/>
      <x:c r="AD369" s="13"/>
      <x:c r="AE369" s="7"/>
      <x:c r="AF369" s="7"/>
      <x:c r="AG369" s="7"/>
      <x:c r="AH369" s="7"/>
      <x:c r="AI369" s="7"/>
      <x:c r="AJ369" s="9" t="str">
        <x:f>IF($A369="","",SUMIF(Sales_Items!$A$2:$A$501,$A369,Sales_Items!$O$2:$O$501))</x:f>
      </x:c>
      <x:c r="AK369" s="9" t="str">
        <x:f>IF($A369="","",$AJ369*$L369/100)</x:f>
      </x:c>
      <x:c r="AL369" s="9" t="str">
        <x:f>IF($A369="","",MAX(0,$AJ369-$AK369))</x:f>
      </x:c>
      <x:c r="AM369" s="9" t="str">
        <x:f>IF($A369="","",MAX(0,$AL369*$M369/100))</x:f>
      </x:c>
      <x:c r="AN369" s="9" t="str">
        <x:f>IF($A369="","",MAX(0,$AL369*$N369/100))</x:f>
      </x:c>
      <x:c r="AO369" s="9" t="str">
        <x:f>IF($A369="","",MAX(0,$AL369*$O369/100))</x:f>
      </x:c>
      <x:c r="AP369" s="9" t="str">
        <x:f>IF($A369="","",MAX(0,$AL369+$AM369+$P369+$W369-$AN369-$AO369-$Q369))</x:f>
      </x:c>
    </x:row>
    <x:row r="370">
      <x:c r="A370" s="13"/>
      <x:c r="B370" s="7"/>
      <x:c r="C370" s="13"/>
      <x:c r="D370" s="14"/>
      <x:c r="E370" s="8"/>
      <x:c r="F370" s="13"/>
      <x:c r="G370" s="7"/>
      <x:c r="H370" s="7"/>
      <x:c r="I370" s="7"/>
      <x:c r="J370" s="13"/>
      <x:c r="K370" s="16"/>
      <x:c r="L370" s="10"/>
      <x:c r="M370" s="10"/>
      <x:c r="N370" s="10"/>
      <x:c r="O370" s="10"/>
      <x:c r="P370" s="9"/>
      <x:c r="Q370" s="9"/>
      <x:c r="R370" s="7"/>
      <x:c r="S370" s="7"/>
      <x:c r="T370" s="7"/>
      <x:c r="U370" s="7"/>
      <x:c r="V370" s="7"/>
      <x:c r="W370" s="9"/>
      <x:c r="X370" s="7"/>
      <x:c r="Y370" s="9"/>
      <x:c r="Z370" s="8"/>
      <x:c r="AA370" s="8"/>
      <x:c r="AB370" s="7"/>
      <x:c r="AC370" s="7"/>
      <x:c r="AD370" s="13"/>
      <x:c r="AE370" s="7"/>
      <x:c r="AF370" s="7"/>
      <x:c r="AG370" s="7"/>
      <x:c r="AH370" s="7"/>
      <x:c r="AI370" s="7"/>
      <x:c r="AJ370" s="9" t="str">
        <x:f>IF($A370="","",SUMIF(Sales_Items!$A$2:$A$501,$A370,Sales_Items!$O$2:$O$501))</x:f>
      </x:c>
      <x:c r="AK370" s="9" t="str">
        <x:f>IF($A370="","",$AJ370*$L370/100)</x:f>
      </x:c>
      <x:c r="AL370" s="9" t="str">
        <x:f>IF($A370="","",MAX(0,$AJ370-$AK370))</x:f>
      </x:c>
      <x:c r="AM370" s="9" t="str">
        <x:f>IF($A370="","",MAX(0,$AL370*$M370/100))</x:f>
      </x:c>
      <x:c r="AN370" s="9" t="str">
        <x:f>IF($A370="","",MAX(0,$AL370*$N370/100))</x:f>
      </x:c>
      <x:c r="AO370" s="9" t="str">
        <x:f>IF($A370="","",MAX(0,$AL370*$O370/100))</x:f>
      </x:c>
      <x:c r="AP370" s="9" t="str">
        <x:f>IF($A370="","",MAX(0,$AL370+$AM370+$P370+$W370-$AN370-$AO370-$Q370))</x:f>
      </x:c>
    </x:row>
    <x:row r="371">
      <x:c r="A371" s="13"/>
      <x:c r="B371" s="7"/>
      <x:c r="C371" s="13"/>
      <x:c r="D371" s="14"/>
      <x:c r="E371" s="8"/>
      <x:c r="F371" s="13"/>
      <x:c r="G371" s="7"/>
      <x:c r="H371" s="7"/>
      <x:c r="I371" s="7"/>
      <x:c r="J371" s="13"/>
      <x:c r="K371" s="16"/>
      <x:c r="L371" s="10"/>
      <x:c r="M371" s="10"/>
      <x:c r="N371" s="10"/>
      <x:c r="O371" s="10"/>
      <x:c r="P371" s="9"/>
      <x:c r="Q371" s="9"/>
      <x:c r="R371" s="7"/>
      <x:c r="S371" s="7"/>
      <x:c r="T371" s="7"/>
      <x:c r="U371" s="7"/>
      <x:c r="V371" s="7"/>
      <x:c r="W371" s="9"/>
      <x:c r="X371" s="7"/>
      <x:c r="Y371" s="9"/>
      <x:c r="Z371" s="8"/>
      <x:c r="AA371" s="8"/>
      <x:c r="AB371" s="7"/>
      <x:c r="AC371" s="7"/>
      <x:c r="AD371" s="13"/>
      <x:c r="AE371" s="7"/>
      <x:c r="AF371" s="7"/>
      <x:c r="AG371" s="7"/>
      <x:c r="AH371" s="7"/>
      <x:c r="AI371" s="7"/>
      <x:c r="AJ371" s="9" t="str">
        <x:f>IF($A371="","",SUMIF(Sales_Items!$A$2:$A$501,$A371,Sales_Items!$O$2:$O$501))</x:f>
      </x:c>
      <x:c r="AK371" s="9" t="str">
        <x:f>IF($A371="","",$AJ371*$L371/100)</x:f>
      </x:c>
      <x:c r="AL371" s="9" t="str">
        <x:f>IF($A371="","",MAX(0,$AJ371-$AK371))</x:f>
      </x:c>
      <x:c r="AM371" s="9" t="str">
        <x:f>IF($A371="","",MAX(0,$AL371*$M371/100))</x:f>
      </x:c>
      <x:c r="AN371" s="9" t="str">
        <x:f>IF($A371="","",MAX(0,$AL371*$N371/100))</x:f>
      </x:c>
      <x:c r="AO371" s="9" t="str">
        <x:f>IF($A371="","",MAX(0,$AL371*$O371/100))</x:f>
      </x:c>
      <x:c r="AP371" s="9" t="str">
        <x:f>IF($A371="","",MAX(0,$AL371+$AM371+$P371+$W371-$AN371-$AO371-$Q371))</x:f>
      </x:c>
    </x:row>
    <x:row r="372">
      <x:c r="A372" s="13"/>
      <x:c r="B372" s="7"/>
      <x:c r="C372" s="13"/>
      <x:c r="D372" s="14"/>
      <x:c r="E372" s="8"/>
      <x:c r="F372" s="13"/>
      <x:c r="G372" s="7"/>
      <x:c r="H372" s="7"/>
      <x:c r="I372" s="7"/>
      <x:c r="J372" s="13"/>
      <x:c r="K372" s="16"/>
      <x:c r="L372" s="10"/>
      <x:c r="M372" s="10"/>
      <x:c r="N372" s="10"/>
      <x:c r="O372" s="10"/>
      <x:c r="P372" s="9"/>
      <x:c r="Q372" s="9"/>
      <x:c r="R372" s="7"/>
      <x:c r="S372" s="7"/>
      <x:c r="T372" s="7"/>
      <x:c r="U372" s="7"/>
      <x:c r="V372" s="7"/>
      <x:c r="W372" s="9"/>
      <x:c r="X372" s="7"/>
      <x:c r="Y372" s="9"/>
      <x:c r="Z372" s="8"/>
      <x:c r="AA372" s="8"/>
      <x:c r="AB372" s="7"/>
      <x:c r="AC372" s="7"/>
      <x:c r="AD372" s="13"/>
      <x:c r="AE372" s="7"/>
      <x:c r="AF372" s="7"/>
      <x:c r="AG372" s="7"/>
      <x:c r="AH372" s="7"/>
      <x:c r="AI372" s="7"/>
      <x:c r="AJ372" s="9" t="str">
        <x:f>IF($A372="","",SUMIF(Sales_Items!$A$2:$A$501,$A372,Sales_Items!$O$2:$O$501))</x:f>
      </x:c>
      <x:c r="AK372" s="9" t="str">
        <x:f>IF($A372="","",$AJ372*$L372/100)</x:f>
      </x:c>
      <x:c r="AL372" s="9" t="str">
        <x:f>IF($A372="","",MAX(0,$AJ372-$AK372))</x:f>
      </x:c>
      <x:c r="AM372" s="9" t="str">
        <x:f>IF($A372="","",MAX(0,$AL372*$M372/100))</x:f>
      </x:c>
      <x:c r="AN372" s="9" t="str">
        <x:f>IF($A372="","",MAX(0,$AL372*$N372/100))</x:f>
      </x:c>
      <x:c r="AO372" s="9" t="str">
        <x:f>IF($A372="","",MAX(0,$AL372*$O372/100))</x:f>
      </x:c>
      <x:c r="AP372" s="9" t="str">
        <x:f>IF($A372="","",MAX(0,$AL372+$AM372+$P372+$W372-$AN372-$AO372-$Q372))</x:f>
      </x:c>
    </x:row>
    <x:row r="373">
      <x:c r="A373" s="13"/>
      <x:c r="B373" s="7"/>
      <x:c r="C373" s="13"/>
      <x:c r="D373" s="14"/>
      <x:c r="E373" s="8"/>
      <x:c r="F373" s="13"/>
      <x:c r="G373" s="7"/>
      <x:c r="H373" s="7"/>
      <x:c r="I373" s="7"/>
      <x:c r="J373" s="13"/>
      <x:c r="K373" s="16"/>
      <x:c r="L373" s="10"/>
      <x:c r="M373" s="10"/>
      <x:c r="N373" s="10"/>
      <x:c r="O373" s="10"/>
      <x:c r="P373" s="9"/>
      <x:c r="Q373" s="9"/>
      <x:c r="R373" s="7"/>
      <x:c r="S373" s="7"/>
      <x:c r="T373" s="7"/>
      <x:c r="U373" s="7"/>
      <x:c r="V373" s="7"/>
      <x:c r="W373" s="9"/>
      <x:c r="X373" s="7"/>
      <x:c r="Y373" s="9"/>
      <x:c r="Z373" s="8"/>
      <x:c r="AA373" s="8"/>
      <x:c r="AB373" s="7"/>
      <x:c r="AC373" s="7"/>
      <x:c r="AD373" s="13"/>
      <x:c r="AE373" s="7"/>
      <x:c r="AF373" s="7"/>
      <x:c r="AG373" s="7"/>
      <x:c r="AH373" s="7"/>
      <x:c r="AI373" s="7"/>
      <x:c r="AJ373" s="9" t="str">
        <x:f>IF($A373="","",SUMIF(Sales_Items!$A$2:$A$501,$A373,Sales_Items!$O$2:$O$501))</x:f>
      </x:c>
      <x:c r="AK373" s="9" t="str">
        <x:f>IF($A373="","",$AJ373*$L373/100)</x:f>
      </x:c>
      <x:c r="AL373" s="9" t="str">
        <x:f>IF($A373="","",MAX(0,$AJ373-$AK373))</x:f>
      </x:c>
      <x:c r="AM373" s="9" t="str">
        <x:f>IF($A373="","",MAX(0,$AL373*$M373/100))</x:f>
      </x:c>
      <x:c r="AN373" s="9" t="str">
        <x:f>IF($A373="","",MAX(0,$AL373*$N373/100))</x:f>
      </x:c>
      <x:c r="AO373" s="9" t="str">
        <x:f>IF($A373="","",MAX(0,$AL373*$O373/100))</x:f>
      </x:c>
      <x:c r="AP373" s="9" t="str">
        <x:f>IF($A373="","",MAX(0,$AL373+$AM373+$P373+$W373-$AN373-$AO373-$Q373))</x:f>
      </x:c>
    </x:row>
    <x:row r="374">
      <x:c r="A374" s="13"/>
      <x:c r="B374" s="7"/>
      <x:c r="C374" s="13"/>
      <x:c r="D374" s="14"/>
      <x:c r="E374" s="8"/>
      <x:c r="F374" s="13"/>
      <x:c r="G374" s="7"/>
      <x:c r="H374" s="7"/>
      <x:c r="I374" s="7"/>
      <x:c r="J374" s="13"/>
      <x:c r="K374" s="16"/>
      <x:c r="L374" s="10"/>
      <x:c r="M374" s="10"/>
      <x:c r="N374" s="10"/>
      <x:c r="O374" s="10"/>
      <x:c r="P374" s="9"/>
      <x:c r="Q374" s="9"/>
      <x:c r="R374" s="7"/>
      <x:c r="S374" s="7"/>
      <x:c r="T374" s="7"/>
      <x:c r="U374" s="7"/>
      <x:c r="V374" s="7"/>
      <x:c r="W374" s="9"/>
      <x:c r="X374" s="7"/>
      <x:c r="Y374" s="9"/>
      <x:c r="Z374" s="8"/>
      <x:c r="AA374" s="8"/>
      <x:c r="AB374" s="7"/>
      <x:c r="AC374" s="7"/>
      <x:c r="AD374" s="13"/>
      <x:c r="AE374" s="7"/>
      <x:c r="AF374" s="7"/>
      <x:c r="AG374" s="7"/>
      <x:c r="AH374" s="7"/>
      <x:c r="AI374" s="7"/>
      <x:c r="AJ374" s="9" t="str">
        <x:f>IF($A374="","",SUMIF(Sales_Items!$A$2:$A$501,$A374,Sales_Items!$O$2:$O$501))</x:f>
      </x:c>
      <x:c r="AK374" s="9" t="str">
        <x:f>IF($A374="","",$AJ374*$L374/100)</x:f>
      </x:c>
      <x:c r="AL374" s="9" t="str">
        <x:f>IF($A374="","",MAX(0,$AJ374-$AK374))</x:f>
      </x:c>
      <x:c r="AM374" s="9" t="str">
        <x:f>IF($A374="","",MAX(0,$AL374*$M374/100))</x:f>
      </x:c>
      <x:c r="AN374" s="9" t="str">
        <x:f>IF($A374="","",MAX(0,$AL374*$N374/100))</x:f>
      </x:c>
      <x:c r="AO374" s="9" t="str">
        <x:f>IF($A374="","",MAX(0,$AL374*$O374/100))</x:f>
      </x:c>
      <x:c r="AP374" s="9" t="str">
        <x:f>IF($A374="","",MAX(0,$AL374+$AM374+$P374+$W374-$AN374-$AO374-$Q374))</x:f>
      </x:c>
    </x:row>
    <x:row r="375">
      <x:c r="A375" s="13"/>
      <x:c r="B375" s="7"/>
      <x:c r="C375" s="13"/>
      <x:c r="D375" s="14"/>
      <x:c r="E375" s="8"/>
      <x:c r="F375" s="13"/>
      <x:c r="G375" s="7"/>
      <x:c r="H375" s="7"/>
      <x:c r="I375" s="7"/>
      <x:c r="J375" s="13"/>
      <x:c r="K375" s="16"/>
      <x:c r="L375" s="10"/>
      <x:c r="M375" s="10"/>
      <x:c r="N375" s="10"/>
      <x:c r="O375" s="10"/>
      <x:c r="P375" s="9"/>
      <x:c r="Q375" s="9"/>
      <x:c r="R375" s="7"/>
      <x:c r="S375" s="7"/>
      <x:c r="T375" s="7"/>
      <x:c r="U375" s="7"/>
      <x:c r="V375" s="7"/>
      <x:c r="W375" s="9"/>
      <x:c r="X375" s="7"/>
      <x:c r="Y375" s="9"/>
      <x:c r="Z375" s="8"/>
      <x:c r="AA375" s="8"/>
      <x:c r="AB375" s="7"/>
      <x:c r="AC375" s="7"/>
      <x:c r="AD375" s="13"/>
      <x:c r="AE375" s="7"/>
      <x:c r="AF375" s="7"/>
      <x:c r="AG375" s="7"/>
      <x:c r="AH375" s="7"/>
      <x:c r="AI375" s="7"/>
      <x:c r="AJ375" s="9" t="str">
        <x:f>IF($A375="","",SUMIF(Sales_Items!$A$2:$A$501,$A375,Sales_Items!$O$2:$O$501))</x:f>
      </x:c>
      <x:c r="AK375" s="9" t="str">
        <x:f>IF($A375="","",$AJ375*$L375/100)</x:f>
      </x:c>
      <x:c r="AL375" s="9" t="str">
        <x:f>IF($A375="","",MAX(0,$AJ375-$AK375))</x:f>
      </x:c>
      <x:c r="AM375" s="9" t="str">
        <x:f>IF($A375="","",MAX(0,$AL375*$M375/100))</x:f>
      </x:c>
      <x:c r="AN375" s="9" t="str">
        <x:f>IF($A375="","",MAX(0,$AL375*$N375/100))</x:f>
      </x:c>
      <x:c r="AO375" s="9" t="str">
        <x:f>IF($A375="","",MAX(0,$AL375*$O375/100))</x:f>
      </x:c>
      <x:c r="AP375" s="9" t="str">
        <x:f>IF($A375="","",MAX(0,$AL375+$AM375+$P375+$W375-$AN375-$AO375-$Q375))</x:f>
      </x:c>
    </x:row>
    <x:row r="376">
      <x:c r="A376" s="13"/>
      <x:c r="B376" s="7"/>
      <x:c r="C376" s="13"/>
      <x:c r="D376" s="14"/>
      <x:c r="E376" s="8"/>
      <x:c r="F376" s="13"/>
      <x:c r="G376" s="7"/>
      <x:c r="H376" s="7"/>
      <x:c r="I376" s="7"/>
      <x:c r="J376" s="13"/>
      <x:c r="K376" s="16"/>
      <x:c r="L376" s="10"/>
      <x:c r="M376" s="10"/>
      <x:c r="N376" s="10"/>
      <x:c r="O376" s="10"/>
      <x:c r="P376" s="9"/>
      <x:c r="Q376" s="9"/>
      <x:c r="R376" s="7"/>
      <x:c r="S376" s="7"/>
      <x:c r="T376" s="7"/>
      <x:c r="U376" s="7"/>
      <x:c r="V376" s="7"/>
      <x:c r="W376" s="9"/>
      <x:c r="X376" s="7"/>
      <x:c r="Y376" s="9"/>
      <x:c r="Z376" s="8"/>
      <x:c r="AA376" s="8"/>
      <x:c r="AB376" s="7"/>
      <x:c r="AC376" s="7"/>
      <x:c r="AD376" s="13"/>
      <x:c r="AE376" s="7"/>
      <x:c r="AF376" s="7"/>
      <x:c r="AG376" s="7"/>
      <x:c r="AH376" s="7"/>
      <x:c r="AI376" s="7"/>
      <x:c r="AJ376" s="9" t="str">
        <x:f>IF($A376="","",SUMIF(Sales_Items!$A$2:$A$501,$A376,Sales_Items!$O$2:$O$501))</x:f>
      </x:c>
      <x:c r="AK376" s="9" t="str">
        <x:f>IF($A376="","",$AJ376*$L376/100)</x:f>
      </x:c>
      <x:c r="AL376" s="9" t="str">
        <x:f>IF($A376="","",MAX(0,$AJ376-$AK376))</x:f>
      </x:c>
      <x:c r="AM376" s="9" t="str">
        <x:f>IF($A376="","",MAX(0,$AL376*$M376/100))</x:f>
      </x:c>
      <x:c r="AN376" s="9" t="str">
        <x:f>IF($A376="","",MAX(0,$AL376*$N376/100))</x:f>
      </x:c>
      <x:c r="AO376" s="9" t="str">
        <x:f>IF($A376="","",MAX(0,$AL376*$O376/100))</x:f>
      </x:c>
      <x:c r="AP376" s="9" t="str">
        <x:f>IF($A376="","",MAX(0,$AL376+$AM376+$P376+$W376-$AN376-$AO376-$Q376))</x:f>
      </x:c>
    </x:row>
    <x:row r="377">
      <x:c r="A377" s="13"/>
      <x:c r="B377" s="7"/>
      <x:c r="C377" s="13"/>
      <x:c r="D377" s="14"/>
      <x:c r="E377" s="8"/>
      <x:c r="F377" s="13"/>
      <x:c r="G377" s="7"/>
      <x:c r="H377" s="7"/>
      <x:c r="I377" s="7"/>
      <x:c r="J377" s="13"/>
      <x:c r="K377" s="16"/>
      <x:c r="L377" s="10"/>
      <x:c r="M377" s="10"/>
      <x:c r="N377" s="10"/>
      <x:c r="O377" s="10"/>
      <x:c r="P377" s="9"/>
      <x:c r="Q377" s="9"/>
      <x:c r="R377" s="7"/>
      <x:c r="S377" s="7"/>
      <x:c r="T377" s="7"/>
      <x:c r="U377" s="7"/>
      <x:c r="V377" s="7"/>
      <x:c r="W377" s="9"/>
      <x:c r="X377" s="7"/>
      <x:c r="Y377" s="9"/>
      <x:c r="Z377" s="8"/>
      <x:c r="AA377" s="8"/>
      <x:c r="AB377" s="7"/>
      <x:c r="AC377" s="7"/>
      <x:c r="AD377" s="13"/>
      <x:c r="AE377" s="7"/>
      <x:c r="AF377" s="7"/>
      <x:c r="AG377" s="7"/>
      <x:c r="AH377" s="7"/>
      <x:c r="AI377" s="7"/>
      <x:c r="AJ377" s="9" t="str">
        <x:f>IF($A377="","",SUMIF(Sales_Items!$A$2:$A$501,$A377,Sales_Items!$O$2:$O$501))</x:f>
      </x:c>
      <x:c r="AK377" s="9" t="str">
        <x:f>IF($A377="","",$AJ377*$L377/100)</x:f>
      </x:c>
      <x:c r="AL377" s="9" t="str">
        <x:f>IF($A377="","",MAX(0,$AJ377-$AK377))</x:f>
      </x:c>
      <x:c r="AM377" s="9" t="str">
        <x:f>IF($A377="","",MAX(0,$AL377*$M377/100))</x:f>
      </x:c>
      <x:c r="AN377" s="9" t="str">
        <x:f>IF($A377="","",MAX(0,$AL377*$N377/100))</x:f>
      </x:c>
      <x:c r="AO377" s="9" t="str">
        <x:f>IF($A377="","",MAX(0,$AL377*$O377/100))</x:f>
      </x:c>
      <x:c r="AP377" s="9" t="str">
        <x:f>IF($A377="","",MAX(0,$AL377+$AM377+$P377+$W377-$AN377-$AO377-$Q377))</x:f>
      </x:c>
    </x:row>
    <x:row r="378">
      <x:c r="A378" s="13"/>
      <x:c r="B378" s="7"/>
      <x:c r="C378" s="13"/>
      <x:c r="D378" s="14"/>
      <x:c r="E378" s="8"/>
      <x:c r="F378" s="13"/>
      <x:c r="G378" s="7"/>
      <x:c r="H378" s="7"/>
      <x:c r="I378" s="7"/>
      <x:c r="J378" s="13"/>
      <x:c r="K378" s="16"/>
      <x:c r="L378" s="10"/>
      <x:c r="M378" s="10"/>
      <x:c r="N378" s="10"/>
      <x:c r="O378" s="10"/>
      <x:c r="P378" s="9"/>
      <x:c r="Q378" s="9"/>
      <x:c r="R378" s="7"/>
      <x:c r="S378" s="7"/>
      <x:c r="T378" s="7"/>
      <x:c r="U378" s="7"/>
      <x:c r="V378" s="7"/>
      <x:c r="W378" s="9"/>
      <x:c r="X378" s="7"/>
      <x:c r="Y378" s="9"/>
      <x:c r="Z378" s="8"/>
      <x:c r="AA378" s="8"/>
      <x:c r="AB378" s="7"/>
      <x:c r="AC378" s="7"/>
      <x:c r="AD378" s="13"/>
      <x:c r="AE378" s="7"/>
      <x:c r="AF378" s="7"/>
      <x:c r="AG378" s="7"/>
      <x:c r="AH378" s="7"/>
      <x:c r="AI378" s="7"/>
      <x:c r="AJ378" s="9" t="str">
        <x:f>IF($A378="","",SUMIF(Sales_Items!$A$2:$A$501,$A378,Sales_Items!$O$2:$O$501))</x:f>
      </x:c>
      <x:c r="AK378" s="9" t="str">
        <x:f>IF($A378="","",$AJ378*$L378/100)</x:f>
      </x:c>
      <x:c r="AL378" s="9" t="str">
        <x:f>IF($A378="","",MAX(0,$AJ378-$AK378))</x:f>
      </x:c>
      <x:c r="AM378" s="9" t="str">
        <x:f>IF($A378="","",MAX(0,$AL378*$M378/100))</x:f>
      </x:c>
      <x:c r="AN378" s="9" t="str">
        <x:f>IF($A378="","",MAX(0,$AL378*$N378/100))</x:f>
      </x:c>
      <x:c r="AO378" s="9" t="str">
        <x:f>IF($A378="","",MAX(0,$AL378*$O378/100))</x:f>
      </x:c>
      <x:c r="AP378" s="9" t="str">
        <x:f>IF($A378="","",MAX(0,$AL378+$AM378+$P378+$W378-$AN378-$AO378-$Q378))</x:f>
      </x:c>
    </x:row>
    <x:row r="379">
      <x:c r="A379" s="13"/>
      <x:c r="B379" s="7"/>
      <x:c r="C379" s="13"/>
      <x:c r="D379" s="14"/>
      <x:c r="E379" s="8"/>
      <x:c r="F379" s="13"/>
      <x:c r="G379" s="7"/>
      <x:c r="H379" s="7"/>
      <x:c r="I379" s="7"/>
      <x:c r="J379" s="13"/>
      <x:c r="K379" s="16"/>
      <x:c r="L379" s="10"/>
      <x:c r="M379" s="10"/>
      <x:c r="N379" s="10"/>
      <x:c r="O379" s="10"/>
      <x:c r="P379" s="9"/>
      <x:c r="Q379" s="9"/>
      <x:c r="R379" s="7"/>
      <x:c r="S379" s="7"/>
      <x:c r="T379" s="7"/>
      <x:c r="U379" s="7"/>
      <x:c r="V379" s="7"/>
      <x:c r="W379" s="9"/>
      <x:c r="X379" s="7"/>
      <x:c r="Y379" s="9"/>
      <x:c r="Z379" s="8"/>
      <x:c r="AA379" s="8"/>
      <x:c r="AB379" s="7"/>
      <x:c r="AC379" s="7"/>
      <x:c r="AD379" s="13"/>
      <x:c r="AE379" s="7"/>
      <x:c r="AF379" s="7"/>
      <x:c r="AG379" s="7"/>
      <x:c r="AH379" s="7"/>
      <x:c r="AI379" s="7"/>
      <x:c r="AJ379" s="9" t="str">
        <x:f>IF($A379="","",SUMIF(Sales_Items!$A$2:$A$501,$A379,Sales_Items!$O$2:$O$501))</x:f>
      </x:c>
      <x:c r="AK379" s="9" t="str">
        <x:f>IF($A379="","",$AJ379*$L379/100)</x:f>
      </x:c>
      <x:c r="AL379" s="9" t="str">
        <x:f>IF($A379="","",MAX(0,$AJ379-$AK379))</x:f>
      </x:c>
      <x:c r="AM379" s="9" t="str">
        <x:f>IF($A379="","",MAX(0,$AL379*$M379/100))</x:f>
      </x:c>
      <x:c r="AN379" s="9" t="str">
        <x:f>IF($A379="","",MAX(0,$AL379*$N379/100))</x:f>
      </x:c>
      <x:c r="AO379" s="9" t="str">
        <x:f>IF($A379="","",MAX(0,$AL379*$O379/100))</x:f>
      </x:c>
      <x:c r="AP379" s="9" t="str">
        <x:f>IF($A379="","",MAX(0,$AL379+$AM379+$P379+$W379-$AN379-$AO379-$Q379))</x:f>
      </x:c>
    </x:row>
    <x:row r="380">
      <x:c r="A380" s="13"/>
      <x:c r="B380" s="7"/>
      <x:c r="C380" s="13"/>
      <x:c r="D380" s="14"/>
      <x:c r="E380" s="8"/>
      <x:c r="F380" s="13"/>
      <x:c r="G380" s="7"/>
      <x:c r="H380" s="7"/>
      <x:c r="I380" s="7"/>
      <x:c r="J380" s="13"/>
      <x:c r="K380" s="16"/>
      <x:c r="L380" s="10"/>
      <x:c r="M380" s="10"/>
      <x:c r="N380" s="10"/>
      <x:c r="O380" s="10"/>
      <x:c r="P380" s="9"/>
      <x:c r="Q380" s="9"/>
      <x:c r="R380" s="7"/>
      <x:c r="S380" s="7"/>
      <x:c r="T380" s="7"/>
      <x:c r="U380" s="7"/>
      <x:c r="V380" s="7"/>
      <x:c r="W380" s="9"/>
      <x:c r="X380" s="7"/>
      <x:c r="Y380" s="9"/>
      <x:c r="Z380" s="8"/>
      <x:c r="AA380" s="8"/>
      <x:c r="AB380" s="7"/>
      <x:c r="AC380" s="7"/>
      <x:c r="AD380" s="13"/>
      <x:c r="AE380" s="7"/>
      <x:c r="AF380" s="7"/>
      <x:c r="AG380" s="7"/>
      <x:c r="AH380" s="7"/>
      <x:c r="AI380" s="7"/>
      <x:c r="AJ380" s="9" t="str">
        <x:f>IF($A380="","",SUMIF(Sales_Items!$A$2:$A$501,$A380,Sales_Items!$O$2:$O$501))</x:f>
      </x:c>
      <x:c r="AK380" s="9" t="str">
        <x:f>IF($A380="","",$AJ380*$L380/100)</x:f>
      </x:c>
      <x:c r="AL380" s="9" t="str">
        <x:f>IF($A380="","",MAX(0,$AJ380-$AK380))</x:f>
      </x:c>
      <x:c r="AM380" s="9" t="str">
        <x:f>IF($A380="","",MAX(0,$AL380*$M380/100))</x:f>
      </x:c>
      <x:c r="AN380" s="9" t="str">
        <x:f>IF($A380="","",MAX(0,$AL380*$N380/100))</x:f>
      </x:c>
      <x:c r="AO380" s="9" t="str">
        <x:f>IF($A380="","",MAX(0,$AL380*$O380/100))</x:f>
      </x:c>
      <x:c r="AP380" s="9" t="str">
        <x:f>IF($A380="","",MAX(0,$AL380+$AM380+$P380+$W380-$AN380-$AO380-$Q380))</x:f>
      </x:c>
    </x:row>
    <x:row r="381">
      <x:c r="A381" s="13"/>
      <x:c r="B381" s="7"/>
      <x:c r="C381" s="13"/>
      <x:c r="D381" s="14"/>
      <x:c r="E381" s="8"/>
      <x:c r="F381" s="13"/>
      <x:c r="G381" s="7"/>
      <x:c r="H381" s="7"/>
      <x:c r="I381" s="7"/>
      <x:c r="J381" s="13"/>
      <x:c r="K381" s="16"/>
      <x:c r="L381" s="10"/>
      <x:c r="M381" s="10"/>
      <x:c r="N381" s="10"/>
      <x:c r="O381" s="10"/>
      <x:c r="P381" s="9"/>
      <x:c r="Q381" s="9"/>
      <x:c r="R381" s="7"/>
      <x:c r="S381" s="7"/>
      <x:c r="T381" s="7"/>
      <x:c r="U381" s="7"/>
      <x:c r="V381" s="7"/>
      <x:c r="W381" s="9"/>
      <x:c r="X381" s="7"/>
      <x:c r="Y381" s="9"/>
      <x:c r="Z381" s="8"/>
      <x:c r="AA381" s="8"/>
      <x:c r="AB381" s="7"/>
      <x:c r="AC381" s="7"/>
      <x:c r="AD381" s="13"/>
      <x:c r="AE381" s="7"/>
      <x:c r="AF381" s="7"/>
      <x:c r="AG381" s="7"/>
      <x:c r="AH381" s="7"/>
      <x:c r="AI381" s="7"/>
      <x:c r="AJ381" s="9" t="str">
        <x:f>IF($A381="","",SUMIF(Sales_Items!$A$2:$A$501,$A381,Sales_Items!$O$2:$O$501))</x:f>
      </x:c>
      <x:c r="AK381" s="9" t="str">
        <x:f>IF($A381="","",$AJ381*$L381/100)</x:f>
      </x:c>
      <x:c r="AL381" s="9" t="str">
        <x:f>IF($A381="","",MAX(0,$AJ381-$AK381))</x:f>
      </x:c>
      <x:c r="AM381" s="9" t="str">
        <x:f>IF($A381="","",MAX(0,$AL381*$M381/100))</x:f>
      </x:c>
      <x:c r="AN381" s="9" t="str">
        <x:f>IF($A381="","",MAX(0,$AL381*$N381/100))</x:f>
      </x:c>
      <x:c r="AO381" s="9" t="str">
        <x:f>IF($A381="","",MAX(0,$AL381*$O381/100))</x:f>
      </x:c>
      <x:c r="AP381" s="9" t="str">
        <x:f>IF($A381="","",MAX(0,$AL381+$AM381+$P381+$W381-$AN381-$AO381-$Q381))</x:f>
      </x:c>
    </x:row>
    <x:row r="382">
      <x:c r="A382" s="13"/>
      <x:c r="B382" s="7"/>
      <x:c r="C382" s="13"/>
      <x:c r="D382" s="14"/>
      <x:c r="E382" s="8"/>
      <x:c r="F382" s="13"/>
      <x:c r="G382" s="7"/>
      <x:c r="H382" s="7"/>
      <x:c r="I382" s="7"/>
      <x:c r="J382" s="13"/>
      <x:c r="K382" s="16"/>
      <x:c r="L382" s="10"/>
      <x:c r="M382" s="10"/>
      <x:c r="N382" s="10"/>
      <x:c r="O382" s="10"/>
      <x:c r="P382" s="9"/>
      <x:c r="Q382" s="9"/>
      <x:c r="R382" s="7"/>
      <x:c r="S382" s="7"/>
      <x:c r="T382" s="7"/>
      <x:c r="U382" s="7"/>
      <x:c r="V382" s="7"/>
      <x:c r="W382" s="9"/>
      <x:c r="X382" s="7"/>
      <x:c r="Y382" s="9"/>
      <x:c r="Z382" s="8"/>
      <x:c r="AA382" s="8"/>
      <x:c r="AB382" s="7"/>
      <x:c r="AC382" s="7"/>
      <x:c r="AD382" s="13"/>
      <x:c r="AE382" s="7"/>
      <x:c r="AF382" s="7"/>
      <x:c r="AG382" s="7"/>
      <x:c r="AH382" s="7"/>
      <x:c r="AI382" s="7"/>
      <x:c r="AJ382" s="9" t="str">
        <x:f>IF($A382="","",SUMIF(Sales_Items!$A$2:$A$501,$A382,Sales_Items!$O$2:$O$501))</x:f>
      </x:c>
      <x:c r="AK382" s="9" t="str">
        <x:f>IF($A382="","",$AJ382*$L382/100)</x:f>
      </x:c>
      <x:c r="AL382" s="9" t="str">
        <x:f>IF($A382="","",MAX(0,$AJ382-$AK382))</x:f>
      </x:c>
      <x:c r="AM382" s="9" t="str">
        <x:f>IF($A382="","",MAX(0,$AL382*$M382/100))</x:f>
      </x:c>
      <x:c r="AN382" s="9" t="str">
        <x:f>IF($A382="","",MAX(0,$AL382*$N382/100))</x:f>
      </x:c>
      <x:c r="AO382" s="9" t="str">
        <x:f>IF($A382="","",MAX(0,$AL382*$O382/100))</x:f>
      </x:c>
      <x:c r="AP382" s="9" t="str">
        <x:f>IF($A382="","",MAX(0,$AL382+$AM382+$P382+$W382-$AN382-$AO382-$Q382))</x:f>
      </x:c>
    </x:row>
    <x:row r="383">
      <x:c r="A383" s="13"/>
      <x:c r="B383" s="7"/>
      <x:c r="C383" s="13"/>
      <x:c r="D383" s="14"/>
      <x:c r="E383" s="8"/>
      <x:c r="F383" s="13"/>
      <x:c r="G383" s="7"/>
      <x:c r="H383" s="7"/>
      <x:c r="I383" s="7"/>
      <x:c r="J383" s="13"/>
      <x:c r="K383" s="16"/>
      <x:c r="L383" s="10"/>
      <x:c r="M383" s="10"/>
      <x:c r="N383" s="10"/>
      <x:c r="O383" s="10"/>
      <x:c r="P383" s="9"/>
      <x:c r="Q383" s="9"/>
      <x:c r="R383" s="7"/>
      <x:c r="S383" s="7"/>
      <x:c r="T383" s="7"/>
      <x:c r="U383" s="7"/>
      <x:c r="V383" s="7"/>
      <x:c r="W383" s="9"/>
      <x:c r="X383" s="7"/>
      <x:c r="Y383" s="9"/>
      <x:c r="Z383" s="8"/>
      <x:c r="AA383" s="8"/>
      <x:c r="AB383" s="7"/>
      <x:c r="AC383" s="7"/>
      <x:c r="AD383" s="13"/>
      <x:c r="AE383" s="7"/>
      <x:c r="AF383" s="7"/>
      <x:c r="AG383" s="7"/>
      <x:c r="AH383" s="7"/>
      <x:c r="AI383" s="7"/>
      <x:c r="AJ383" s="9" t="str">
        <x:f>IF($A383="","",SUMIF(Sales_Items!$A$2:$A$501,$A383,Sales_Items!$O$2:$O$501))</x:f>
      </x:c>
      <x:c r="AK383" s="9" t="str">
        <x:f>IF($A383="","",$AJ383*$L383/100)</x:f>
      </x:c>
      <x:c r="AL383" s="9" t="str">
        <x:f>IF($A383="","",MAX(0,$AJ383-$AK383))</x:f>
      </x:c>
      <x:c r="AM383" s="9" t="str">
        <x:f>IF($A383="","",MAX(0,$AL383*$M383/100))</x:f>
      </x:c>
      <x:c r="AN383" s="9" t="str">
        <x:f>IF($A383="","",MAX(0,$AL383*$N383/100))</x:f>
      </x:c>
      <x:c r="AO383" s="9" t="str">
        <x:f>IF($A383="","",MAX(0,$AL383*$O383/100))</x:f>
      </x:c>
      <x:c r="AP383" s="9" t="str">
        <x:f>IF($A383="","",MAX(0,$AL383+$AM383+$P383+$W383-$AN383-$AO383-$Q383))</x:f>
      </x:c>
    </x:row>
    <x:row r="384">
      <x:c r="A384" s="13"/>
      <x:c r="B384" s="7"/>
      <x:c r="C384" s="13"/>
      <x:c r="D384" s="14"/>
      <x:c r="E384" s="8"/>
      <x:c r="F384" s="13"/>
      <x:c r="G384" s="7"/>
      <x:c r="H384" s="7"/>
      <x:c r="I384" s="7"/>
      <x:c r="J384" s="13"/>
      <x:c r="K384" s="16"/>
      <x:c r="L384" s="10"/>
      <x:c r="M384" s="10"/>
      <x:c r="N384" s="10"/>
      <x:c r="O384" s="10"/>
      <x:c r="P384" s="9"/>
      <x:c r="Q384" s="9"/>
      <x:c r="R384" s="7"/>
      <x:c r="S384" s="7"/>
      <x:c r="T384" s="7"/>
      <x:c r="U384" s="7"/>
      <x:c r="V384" s="7"/>
      <x:c r="W384" s="9"/>
      <x:c r="X384" s="7"/>
      <x:c r="Y384" s="9"/>
      <x:c r="Z384" s="8"/>
      <x:c r="AA384" s="8"/>
      <x:c r="AB384" s="7"/>
      <x:c r="AC384" s="7"/>
      <x:c r="AD384" s="13"/>
      <x:c r="AE384" s="7"/>
      <x:c r="AF384" s="7"/>
      <x:c r="AG384" s="7"/>
      <x:c r="AH384" s="7"/>
      <x:c r="AI384" s="7"/>
      <x:c r="AJ384" s="9" t="str">
        <x:f>IF($A384="","",SUMIF(Sales_Items!$A$2:$A$501,$A384,Sales_Items!$O$2:$O$501))</x:f>
      </x:c>
      <x:c r="AK384" s="9" t="str">
        <x:f>IF($A384="","",$AJ384*$L384/100)</x:f>
      </x:c>
      <x:c r="AL384" s="9" t="str">
        <x:f>IF($A384="","",MAX(0,$AJ384-$AK384))</x:f>
      </x:c>
      <x:c r="AM384" s="9" t="str">
        <x:f>IF($A384="","",MAX(0,$AL384*$M384/100))</x:f>
      </x:c>
      <x:c r="AN384" s="9" t="str">
        <x:f>IF($A384="","",MAX(0,$AL384*$N384/100))</x:f>
      </x:c>
      <x:c r="AO384" s="9" t="str">
        <x:f>IF($A384="","",MAX(0,$AL384*$O384/100))</x:f>
      </x:c>
      <x:c r="AP384" s="9" t="str">
        <x:f>IF($A384="","",MAX(0,$AL384+$AM384+$P384+$W384-$AN384-$AO384-$Q384))</x:f>
      </x:c>
    </x:row>
    <x:row r="385">
      <x:c r="A385" s="13"/>
      <x:c r="B385" s="7"/>
      <x:c r="C385" s="13"/>
      <x:c r="D385" s="14"/>
      <x:c r="E385" s="8"/>
      <x:c r="F385" s="13"/>
      <x:c r="G385" s="7"/>
      <x:c r="H385" s="7"/>
      <x:c r="I385" s="7"/>
      <x:c r="J385" s="13"/>
      <x:c r="K385" s="16"/>
      <x:c r="L385" s="10"/>
      <x:c r="M385" s="10"/>
      <x:c r="N385" s="10"/>
      <x:c r="O385" s="10"/>
      <x:c r="P385" s="9"/>
      <x:c r="Q385" s="9"/>
      <x:c r="R385" s="7"/>
      <x:c r="S385" s="7"/>
      <x:c r="T385" s="7"/>
      <x:c r="U385" s="7"/>
      <x:c r="V385" s="7"/>
      <x:c r="W385" s="9"/>
      <x:c r="X385" s="7"/>
      <x:c r="Y385" s="9"/>
      <x:c r="Z385" s="8"/>
      <x:c r="AA385" s="8"/>
      <x:c r="AB385" s="7"/>
      <x:c r="AC385" s="7"/>
      <x:c r="AD385" s="13"/>
      <x:c r="AE385" s="7"/>
      <x:c r="AF385" s="7"/>
      <x:c r="AG385" s="7"/>
      <x:c r="AH385" s="7"/>
      <x:c r="AI385" s="7"/>
      <x:c r="AJ385" s="9" t="str">
        <x:f>IF($A385="","",SUMIF(Sales_Items!$A$2:$A$501,$A385,Sales_Items!$O$2:$O$501))</x:f>
      </x:c>
      <x:c r="AK385" s="9" t="str">
        <x:f>IF($A385="","",$AJ385*$L385/100)</x:f>
      </x:c>
      <x:c r="AL385" s="9" t="str">
        <x:f>IF($A385="","",MAX(0,$AJ385-$AK385))</x:f>
      </x:c>
      <x:c r="AM385" s="9" t="str">
        <x:f>IF($A385="","",MAX(0,$AL385*$M385/100))</x:f>
      </x:c>
      <x:c r="AN385" s="9" t="str">
        <x:f>IF($A385="","",MAX(0,$AL385*$N385/100))</x:f>
      </x:c>
      <x:c r="AO385" s="9" t="str">
        <x:f>IF($A385="","",MAX(0,$AL385*$O385/100))</x:f>
      </x:c>
      <x:c r="AP385" s="9" t="str">
        <x:f>IF($A385="","",MAX(0,$AL385+$AM385+$P385+$W385-$AN385-$AO385-$Q385))</x:f>
      </x:c>
    </x:row>
    <x:row r="386">
      <x:c r="A386" s="13"/>
      <x:c r="B386" s="7"/>
      <x:c r="C386" s="13"/>
      <x:c r="D386" s="14"/>
      <x:c r="E386" s="8"/>
      <x:c r="F386" s="13"/>
      <x:c r="G386" s="7"/>
      <x:c r="H386" s="7"/>
      <x:c r="I386" s="7"/>
      <x:c r="J386" s="13"/>
      <x:c r="K386" s="16"/>
      <x:c r="L386" s="10"/>
      <x:c r="M386" s="10"/>
      <x:c r="N386" s="10"/>
      <x:c r="O386" s="10"/>
      <x:c r="P386" s="9"/>
      <x:c r="Q386" s="9"/>
      <x:c r="R386" s="7"/>
      <x:c r="S386" s="7"/>
      <x:c r="T386" s="7"/>
      <x:c r="U386" s="7"/>
      <x:c r="V386" s="7"/>
      <x:c r="W386" s="9"/>
      <x:c r="X386" s="7"/>
      <x:c r="Y386" s="9"/>
      <x:c r="Z386" s="8"/>
      <x:c r="AA386" s="8"/>
      <x:c r="AB386" s="7"/>
      <x:c r="AC386" s="7"/>
      <x:c r="AD386" s="13"/>
      <x:c r="AE386" s="7"/>
      <x:c r="AF386" s="7"/>
      <x:c r="AG386" s="7"/>
      <x:c r="AH386" s="7"/>
      <x:c r="AI386" s="7"/>
      <x:c r="AJ386" s="9" t="str">
        <x:f>IF($A386="","",SUMIF(Sales_Items!$A$2:$A$501,$A386,Sales_Items!$O$2:$O$501))</x:f>
      </x:c>
      <x:c r="AK386" s="9" t="str">
        <x:f>IF($A386="","",$AJ386*$L386/100)</x:f>
      </x:c>
      <x:c r="AL386" s="9" t="str">
        <x:f>IF($A386="","",MAX(0,$AJ386-$AK386))</x:f>
      </x:c>
      <x:c r="AM386" s="9" t="str">
        <x:f>IF($A386="","",MAX(0,$AL386*$M386/100))</x:f>
      </x:c>
      <x:c r="AN386" s="9" t="str">
        <x:f>IF($A386="","",MAX(0,$AL386*$N386/100))</x:f>
      </x:c>
      <x:c r="AO386" s="9" t="str">
        <x:f>IF($A386="","",MAX(0,$AL386*$O386/100))</x:f>
      </x:c>
      <x:c r="AP386" s="9" t="str">
        <x:f>IF($A386="","",MAX(0,$AL386+$AM386+$P386+$W386-$AN386-$AO386-$Q386))</x:f>
      </x:c>
    </x:row>
    <x:row r="387">
      <x:c r="A387" s="13"/>
      <x:c r="B387" s="7"/>
      <x:c r="C387" s="13"/>
      <x:c r="D387" s="14"/>
      <x:c r="E387" s="8"/>
      <x:c r="F387" s="13"/>
      <x:c r="G387" s="7"/>
      <x:c r="H387" s="7"/>
      <x:c r="I387" s="7"/>
      <x:c r="J387" s="13"/>
      <x:c r="K387" s="16"/>
      <x:c r="L387" s="10"/>
      <x:c r="M387" s="10"/>
      <x:c r="N387" s="10"/>
      <x:c r="O387" s="10"/>
      <x:c r="P387" s="9"/>
      <x:c r="Q387" s="9"/>
      <x:c r="R387" s="7"/>
      <x:c r="S387" s="7"/>
      <x:c r="T387" s="7"/>
      <x:c r="U387" s="7"/>
      <x:c r="V387" s="7"/>
      <x:c r="W387" s="9"/>
      <x:c r="X387" s="7"/>
      <x:c r="Y387" s="9"/>
      <x:c r="Z387" s="8"/>
      <x:c r="AA387" s="8"/>
      <x:c r="AB387" s="7"/>
      <x:c r="AC387" s="7"/>
      <x:c r="AD387" s="13"/>
      <x:c r="AE387" s="7"/>
      <x:c r="AF387" s="7"/>
      <x:c r="AG387" s="7"/>
      <x:c r="AH387" s="7"/>
      <x:c r="AI387" s="7"/>
      <x:c r="AJ387" s="9" t="str">
        <x:f>IF($A387="","",SUMIF(Sales_Items!$A$2:$A$501,$A387,Sales_Items!$O$2:$O$501))</x:f>
      </x:c>
      <x:c r="AK387" s="9" t="str">
        <x:f>IF($A387="","",$AJ387*$L387/100)</x:f>
      </x:c>
      <x:c r="AL387" s="9" t="str">
        <x:f>IF($A387="","",MAX(0,$AJ387-$AK387))</x:f>
      </x:c>
      <x:c r="AM387" s="9" t="str">
        <x:f>IF($A387="","",MAX(0,$AL387*$M387/100))</x:f>
      </x:c>
      <x:c r="AN387" s="9" t="str">
        <x:f>IF($A387="","",MAX(0,$AL387*$N387/100))</x:f>
      </x:c>
      <x:c r="AO387" s="9" t="str">
        <x:f>IF($A387="","",MAX(0,$AL387*$O387/100))</x:f>
      </x:c>
      <x:c r="AP387" s="9" t="str">
        <x:f>IF($A387="","",MAX(0,$AL387+$AM387+$P387+$W387-$AN387-$AO387-$Q387))</x:f>
      </x:c>
    </x:row>
    <x:row r="388">
      <x:c r="A388" s="13"/>
      <x:c r="B388" s="7"/>
      <x:c r="C388" s="13"/>
      <x:c r="D388" s="14"/>
      <x:c r="E388" s="8"/>
      <x:c r="F388" s="13"/>
      <x:c r="G388" s="7"/>
      <x:c r="H388" s="7"/>
      <x:c r="I388" s="7"/>
      <x:c r="J388" s="13"/>
      <x:c r="K388" s="16"/>
      <x:c r="L388" s="10"/>
      <x:c r="M388" s="10"/>
      <x:c r="N388" s="10"/>
      <x:c r="O388" s="10"/>
      <x:c r="P388" s="9"/>
      <x:c r="Q388" s="9"/>
      <x:c r="R388" s="7"/>
      <x:c r="S388" s="7"/>
      <x:c r="T388" s="7"/>
      <x:c r="U388" s="7"/>
      <x:c r="V388" s="7"/>
      <x:c r="W388" s="9"/>
      <x:c r="X388" s="7"/>
      <x:c r="Y388" s="9"/>
      <x:c r="Z388" s="8"/>
      <x:c r="AA388" s="8"/>
      <x:c r="AB388" s="7"/>
      <x:c r="AC388" s="7"/>
      <x:c r="AD388" s="13"/>
      <x:c r="AE388" s="7"/>
      <x:c r="AF388" s="7"/>
      <x:c r="AG388" s="7"/>
      <x:c r="AH388" s="7"/>
      <x:c r="AI388" s="7"/>
      <x:c r="AJ388" s="9" t="str">
        <x:f>IF($A388="","",SUMIF(Sales_Items!$A$2:$A$501,$A388,Sales_Items!$O$2:$O$501))</x:f>
      </x:c>
      <x:c r="AK388" s="9" t="str">
        <x:f>IF($A388="","",$AJ388*$L388/100)</x:f>
      </x:c>
      <x:c r="AL388" s="9" t="str">
        <x:f>IF($A388="","",MAX(0,$AJ388-$AK388))</x:f>
      </x:c>
      <x:c r="AM388" s="9" t="str">
        <x:f>IF($A388="","",MAX(0,$AL388*$M388/100))</x:f>
      </x:c>
      <x:c r="AN388" s="9" t="str">
        <x:f>IF($A388="","",MAX(0,$AL388*$N388/100))</x:f>
      </x:c>
      <x:c r="AO388" s="9" t="str">
        <x:f>IF($A388="","",MAX(0,$AL388*$O388/100))</x:f>
      </x:c>
      <x:c r="AP388" s="9" t="str">
        <x:f>IF($A388="","",MAX(0,$AL388+$AM388+$P388+$W388-$AN388-$AO388-$Q388))</x:f>
      </x:c>
    </x:row>
    <x:row r="389">
      <x:c r="A389" s="13"/>
      <x:c r="B389" s="7"/>
      <x:c r="C389" s="13"/>
      <x:c r="D389" s="14"/>
      <x:c r="E389" s="8"/>
      <x:c r="F389" s="13"/>
      <x:c r="G389" s="7"/>
      <x:c r="H389" s="7"/>
      <x:c r="I389" s="7"/>
      <x:c r="J389" s="13"/>
      <x:c r="K389" s="16"/>
      <x:c r="L389" s="10"/>
      <x:c r="M389" s="10"/>
      <x:c r="N389" s="10"/>
      <x:c r="O389" s="10"/>
      <x:c r="P389" s="9"/>
      <x:c r="Q389" s="9"/>
      <x:c r="R389" s="7"/>
      <x:c r="S389" s="7"/>
      <x:c r="T389" s="7"/>
      <x:c r="U389" s="7"/>
      <x:c r="V389" s="7"/>
      <x:c r="W389" s="9"/>
      <x:c r="X389" s="7"/>
      <x:c r="Y389" s="9"/>
      <x:c r="Z389" s="8"/>
      <x:c r="AA389" s="8"/>
      <x:c r="AB389" s="7"/>
      <x:c r="AC389" s="7"/>
      <x:c r="AD389" s="13"/>
      <x:c r="AE389" s="7"/>
      <x:c r="AF389" s="7"/>
      <x:c r="AG389" s="7"/>
      <x:c r="AH389" s="7"/>
      <x:c r="AI389" s="7"/>
      <x:c r="AJ389" s="9" t="str">
        <x:f>IF($A389="","",SUMIF(Sales_Items!$A$2:$A$501,$A389,Sales_Items!$O$2:$O$501))</x:f>
      </x:c>
      <x:c r="AK389" s="9" t="str">
        <x:f>IF($A389="","",$AJ389*$L389/100)</x:f>
      </x:c>
      <x:c r="AL389" s="9" t="str">
        <x:f>IF($A389="","",MAX(0,$AJ389-$AK389))</x:f>
      </x:c>
      <x:c r="AM389" s="9" t="str">
        <x:f>IF($A389="","",MAX(0,$AL389*$M389/100))</x:f>
      </x:c>
      <x:c r="AN389" s="9" t="str">
        <x:f>IF($A389="","",MAX(0,$AL389*$N389/100))</x:f>
      </x:c>
      <x:c r="AO389" s="9" t="str">
        <x:f>IF($A389="","",MAX(0,$AL389*$O389/100))</x:f>
      </x:c>
      <x:c r="AP389" s="9" t="str">
        <x:f>IF($A389="","",MAX(0,$AL389+$AM389+$P389+$W389-$AN389-$AO389-$Q389))</x:f>
      </x:c>
    </x:row>
    <x:row r="390">
      <x:c r="A390" s="13"/>
      <x:c r="B390" s="7"/>
      <x:c r="C390" s="13"/>
      <x:c r="D390" s="14"/>
      <x:c r="E390" s="8"/>
      <x:c r="F390" s="13"/>
      <x:c r="G390" s="7"/>
      <x:c r="H390" s="7"/>
      <x:c r="I390" s="7"/>
      <x:c r="J390" s="13"/>
      <x:c r="K390" s="16"/>
      <x:c r="L390" s="10"/>
      <x:c r="M390" s="10"/>
      <x:c r="N390" s="10"/>
      <x:c r="O390" s="10"/>
      <x:c r="P390" s="9"/>
      <x:c r="Q390" s="9"/>
      <x:c r="R390" s="7"/>
      <x:c r="S390" s="7"/>
      <x:c r="T390" s="7"/>
      <x:c r="U390" s="7"/>
      <x:c r="V390" s="7"/>
      <x:c r="W390" s="9"/>
      <x:c r="X390" s="7"/>
      <x:c r="Y390" s="9"/>
      <x:c r="Z390" s="8"/>
      <x:c r="AA390" s="8"/>
      <x:c r="AB390" s="7"/>
      <x:c r="AC390" s="7"/>
      <x:c r="AD390" s="13"/>
      <x:c r="AE390" s="7"/>
      <x:c r="AF390" s="7"/>
      <x:c r="AG390" s="7"/>
      <x:c r="AH390" s="7"/>
      <x:c r="AI390" s="7"/>
      <x:c r="AJ390" s="9" t="str">
        <x:f>IF($A390="","",SUMIF(Sales_Items!$A$2:$A$501,$A390,Sales_Items!$O$2:$O$501))</x:f>
      </x:c>
      <x:c r="AK390" s="9" t="str">
        <x:f>IF($A390="","",$AJ390*$L390/100)</x:f>
      </x:c>
      <x:c r="AL390" s="9" t="str">
        <x:f>IF($A390="","",MAX(0,$AJ390-$AK390))</x:f>
      </x:c>
      <x:c r="AM390" s="9" t="str">
        <x:f>IF($A390="","",MAX(0,$AL390*$M390/100))</x:f>
      </x:c>
      <x:c r="AN390" s="9" t="str">
        <x:f>IF($A390="","",MAX(0,$AL390*$N390/100))</x:f>
      </x:c>
      <x:c r="AO390" s="9" t="str">
        <x:f>IF($A390="","",MAX(0,$AL390*$O390/100))</x:f>
      </x:c>
      <x:c r="AP390" s="9" t="str">
        <x:f>IF($A390="","",MAX(0,$AL390+$AM390+$P390+$W390-$AN390-$AO390-$Q390))</x:f>
      </x:c>
    </x:row>
    <x:row r="391">
      <x:c r="A391" s="13"/>
      <x:c r="B391" s="7"/>
      <x:c r="C391" s="13"/>
      <x:c r="D391" s="14"/>
      <x:c r="E391" s="8"/>
      <x:c r="F391" s="13"/>
      <x:c r="G391" s="7"/>
      <x:c r="H391" s="7"/>
      <x:c r="I391" s="7"/>
      <x:c r="J391" s="13"/>
      <x:c r="K391" s="16"/>
      <x:c r="L391" s="10"/>
      <x:c r="M391" s="10"/>
      <x:c r="N391" s="10"/>
      <x:c r="O391" s="10"/>
      <x:c r="P391" s="9"/>
      <x:c r="Q391" s="9"/>
      <x:c r="R391" s="7"/>
      <x:c r="S391" s="7"/>
      <x:c r="T391" s="7"/>
      <x:c r="U391" s="7"/>
      <x:c r="V391" s="7"/>
      <x:c r="W391" s="9"/>
      <x:c r="X391" s="7"/>
      <x:c r="Y391" s="9"/>
      <x:c r="Z391" s="8"/>
      <x:c r="AA391" s="8"/>
      <x:c r="AB391" s="7"/>
      <x:c r="AC391" s="7"/>
      <x:c r="AD391" s="13"/>
      <x:c r="AE391" s="7"/>
      <x:c r="AF391" s="7"/>
      <x:c r="AG391" s="7"/>
      <x:c r="AH391" s="7"/>
      <x:c r="AI391" s="7"/>
      <x:c r="AJ391" s="9" t="str">
        <x:f>IF($A391="","",SUMIF(Sales_Items!$A$2:$A$501,$A391,Sales_Items!$O$2:$O$501))</x:f>
      </x:c>
      <x:c r="AK391" s="9" t="str">
        <x:f>IF($A391="","",$AJ391*$L391/100)</x:f>
      </x:c>
      <x:c r="AL391" s="9" t="str">
        <x:f>IF($A391="","",MAX(0,$AJ391-$AK391))</x:f>
      </x:c>
      <x:c r="AM391" s="9" t="str">
        <x:f>IF($A391="","",MAX(0,$AL391*$M391/100))</x:f>
      </x:c>
      <x:c r="AN391" s="9" t="str">
        <x:f>IF($A391="","",MAX(0,$AL391*$N391/100))</x:f>
      </x:c>
      <x:c r="AO391" s="9" t="str">
        <x:f>IF($A391="","",MAX(0,$AL391*$O391/100))</x:f>
      </x:c>
      <x:c r="AP391" s="9" t="str">
        <x:f>IF($A391="","",MAX(0,$AL391+$AM391+$P391+$W391-$AN391-$AO391-$Q391))</x:f>
      </x:c>
    </x:row>
    <x:row r="392">
      <x:c r="A392" s="13"/>
      <x:c r="B392" s="7"/>
      <x:c r="C392" s="13"/>
      <x:c r="D392" s="14"/>
      <x:c r="E392" s="8"/>
      <x:c r="F392" s="13"/>
      <x:c r="G392" s="7"/>
      <x:c r="H392" s="7"/>
      <x:c r="I392" s="7"/>
      <x:c r="J392" s="13"/>
      <x:c r="K392" s="16"/>
      <x:c r="L392" s="10"/>
      <x:c r="M392" s="10"/>
      <x:c r="N392" s="10"/>
      <x:c r="O392" s="10"/>
      <x:c r="P392" s="9"/>
      <x:c r="Q392" s="9"/>
      <x:c r="R392" s="7"/>
      <x:c r="S392" s="7"/>
      <x:c r="T392" s="7"/>
      <x:c r="U392" s="7"/>
      <x:c r="V392" s="7"/>
      <x:c r="W392" s="9"/>
      <x:c r="X392" s="7"/>
      <x:c r="Y392" s="9"/>
      <x:c r="Z392" s="8"/>
      <x:c r="AA392" s="8"/>
      <x:c r="AB392" s="7"/>
      <x:c r="AC392" s="7"/>
      <x:c r="AD392" s="13"/>
      <x:c r="AE392" s="7"/>
      <x:c r="AF392" s="7"/>
      <x:c r="AG392" s="7"/>
      <x:c r="AH392" s="7"/>
      <x:c r="AI392" s="7"/>
      <x:c r="AJ392" s="9" t="str">
        <x:f>IF($A392="","",SUMIF(Sales_Items!$A$2:$A$501,$A392,Sales_Items!$O$2:$O$501))</x:f>
      </x:c>
      <x:c r="AK392" s="9" t="str">
        <x:f>IF($A392="","",$AJ392*$L392/100)</x:f>
      </x:c>
      <x:c r="AL392" s="9" t="str">
        <x:f>IF($A392="","",MAX(0,$AJ392-$AK392))</x:f>
      </x:c>
      <x:c r="AM392" s="9" t="str">
        <x:f>IF($A392="","",MAX(0,$AL392*$M392/100))</x:f>
      </x:c>
      <x:c r="AN392" s="9" t="str">
        <x:f>IF($A392="","",MAX(0,$AL392*$N392/100))</x:f>
      </x:c>
      <x:c r="AO392" s="9" t="str">
        <x:f>IF($A392="","",MAX(0,$AL392*$O392/100))</x:f>
      </x:c>
      <x:c r="AP392" s="9" t="str">
        <x:f>IF($A392="","",MAX(0,$AL392+$AM392+$P392+$W392-$AN392-$AO392-$Q392))</x:f>
      </x:c>
    </x:row>
    <x:row r="393">
      <x:c r="A393" s="13"/>
      <x:c r="B393" s="7"/>
      <x:c r="C393" s="13"/>
      <x:c r="D393" s="14"/>
      <x:c r="E393" s="8"/>
      <x:c r="F393" s="13"/>
      <x:c r="G393" s="7"/>
      <x:c r="H393" s="7"/>
      <x:c r="I393" s="7"/>
      <x:c r="J393" s="13"/>
      <x:c r="K393" s="16"/>
      <x:c r="L393" s="10"/>
      <x:c r="M393" s="10"/>
      <x:c r="N393" s="10"/>
      <x:c r="O393" s="10"/>
      <x:c r="P393" s="9"/>
      <x:c r="Q393" s="9"/>
      <x:c r="R393" s="7"/>
      <x:c r="S393" s="7"/>
      <x:c r="T393" s="7"/>
      <x:c r="U393" s="7"/>
      <x:c r="V393" s="7"/>
      <x:c r="W393" s="9"/>
      <x:c r="X393" s="7"/>
      <x:c r="Y393" s="9"/>
      <x:c r="Z393" s="8"/>
      <x:c r="AA393" s="8"/>
      <x:c r="AB393" s="7"/>
      <x:c r="AC393" s="7"/>
      <x:c r="AD393" s="13"/>
      <x:c r="AE393" s="7"/>
      <x:c r="AF393" s="7"/>
      <x:c r="AG393" s="7"/>
      <x:c r="AH393" s="7"/>
      <x:c r="AI393" s="7"/>
      <x:c r="AJ393" s="9" t="str">
        <x:f>IF($A393="","",SUMIF(Sales_Items!$A$2:$A$501,$A393,Sales_Items!$O$2:$O$501))</x:f>
      </x:c>
      <x:c r="AK393" s="9" t="str">
        <x:f>IF($A393="","",$AJ393*$L393/100)</x:f>
      </x:c>
      <x:c r="AL393" s="9" t="str">
        <x:f>IF($A393="","",MAX(0,$AJ393-$AK393))</x:f>
      </x:c>
      <x:c r="AM393" s="9" t="str">
        <x:f>IF($A393="","",MAX(0,$AL393*$M393/100))</x:f>
      </x:c>
      <x:c r="AN393" s="9" t="str">
        <x:f>IF($A393="","",MAX(0,$AL393*$N393/100))</x:f>
      </x:c>
      <x:c r="AO393" s="9" t="str">
        <x:f>IF($A393="","",MAX(0,$AL393*$O393/100))</x:f>
      </x:c>
      <x:c r="AP393" s="9" t="str">
        <x:f>IF($A393="","",MAX(0,$AL393+$AM393+$P393+$W393-$AN393-$AO393-$Q393))</x:f>
      </x:c>
    </x:row>
    <x:row r="394">
      <x:c r="A394" s="13"/>
      <x:c r="B394" s="7"/>
      <x:c r="C394" s="13"/>
      <x:c r="D394" s="14"/>
      <x:c r="E394" s="8"/>
      <x:c r="F394" s="13"/>
      <x:c r="G394" s="7"/>
      <x:c r="H394" s="7"/>
      <x:c r="I394" s="7"/>
      <x:c r="J394" s="13"/>
      <x:c r="K394" s="16"/>
      <x:c r="L394" s="10"/>
      <x:c r="M394" s="10"/>
      <x:c r="N394" s="10"/>
      <x:c r="O394" s="10"/>
      <x:c r="P394" s="9"/>
      <x:c r="Q394" s="9"/>
      <x:c r="R394" s="7"/>
      <x:c r="S394" s="7"/>
      <x:c r="T394" s="7"/>
      <x:c r="U394" s="7"/>
      <x:c r="V394" s="7"/>
      <x:c r="W394" s="9"/>
      <x:c r="X394" s="7"/>
      <x:c r="Y394" s="9"/>
      <x:c r="Z394" s="8"/>
      <x:c r="AA394" s="8"/>
      <x:c r="AB394" s="7"/>
      <x:c r="AC394" s="7"/>
      <x:c r="AD394" s="13"/>
      <x:c r="AE394" s="7"/>
      <x:c r="AF394" s="7"/>
      <x:c r="AG394" s="7"/>
      <x:c r="AH394" s="7"/>
      <x:c r="AI394" s="7"/>
      <x:c r="AJ394" s="9" t="str">
        <x:f>IF($A394="","",SUMIF(Sales_Items!$A$2:$A$501,$A394,Sales_Items!$O$2:$O$501))</x:f>
      </x:c>
      <x:c r="AK394" s="9" t="str">
        <x:f>IF($A394="","",$AJ394*$L394/100)</x:f>
      </x:c>
      <x:c r="AL394" s="9" t="str">
        <x:f>IF($A394="","",MAX(0,$AJ394-$AK394))</x:f>
      </x:c>
      <x:c r="AM394" s="9" t="str">
        <x:f>IF($A394="","",MAX(0,$AL394*$M394/100))</x:f>
      </x:c>
      <x:c r="AN394" s="9" t="str">
        <x:f>IF($A394="","",MAX(0,$AL394*$N394/100))</x:f>
      </x:c>
      <x:c r="AO394" s="9" t="str">
        <x:f>IF($A394="","",MAX(0,$AL394*$O394/100))</x:f>
      </x:c>
      <x:c r="AP394" s="9" t="str">
        <x:f>IF($A394="","",MAX(0,$AL394+$AM394+$P394+$W394-$AN394-$AO394-$Q394))</x:f>
      </x:c>
    </x:row>
    <x:row r="395">
      <x:c r="A395" s="13"/>
      <x:c r="B395" s="7"/>
      <x:c r="C395" s="13"/>
      <x:c r="D395" s="14"/>
      <x:c r="E395" s="8"/>
      <x:c r="F395" s="13"/>
      <x:c r="G395" s="7"/>
      <x:c r="H395" s="7"/>
      <x:c r="I395" s="7"/>
      <x:c r="J395" s="13"/>
      <x:c r="K395" s="16"/>
      <x:c r="L395" s="10"/>
      <x:c r="M395" s="10"/>
      <x:c r="N395" s="10"/>
      <x:c r="O395" s="10"/>
      <x:c r="P395" s="9"/>
      <x:c r="Q395" s="9"/>
      <x:c r="R395" s="7"/>
      <x:c r="S395" s="7"/>
      <x:c r="T395" s="7"/>
      <x:c r="U395" s="7"/>
      <x:c r="V395" s="7"/>
      <x:c r="W395" s="9"/>
      <x:c r="X395" s="7"/>
      <x:c r="Y395" s="9"/>
      <x:c r="Z395" s="8"/>
      <x:c r="AA395" s="8"/>
      <x:c r="AB395" s="7"/>
      <x:c r="AC395" s="7"/>
      <x:c r="AD395" s="13"/>
      <x:c r="AE395" s="7"/>
      <x:c r="AF395" s="7"/>
      <x:c r="AG395" s="7"/>
      <x:c r="AH395" s="7"/>
      <x:c r="AI395" s="7"/>
      <x:c r="AJ395" s="9" t="str">
        <x:f>IF($A395="","",SUMIF(Sales_Items!$A$2:$A$501,$A395,Sales_Items!$O$2:$O$501))</x:f>
      </x:c>
      <x:c r="AK395" s="9" t="str">
        <x:f>IF($A395="","",$AJ395*$L395/100)</x:f>
      </x:c>
      <x:c r="AL395" s="9" t="str">
        <x:f>IF($A395="","",MAX(0,$AJ395-$AK395))</x:f>
      </x:c>
      <x:c r="AM395" s="9" t="str">
        <x:f>IF($A395="","",MAX(0,$AL395*$M395/100))</x:f>
      </x:c>
      <x:c r="AN395" s="9" t="str">
        <x:f>IF($A395="","",MAX(0,$AL395*$N395/100))</x:f>
      </x:c>
      <x:c r="AO395" s="9" t="str">
        <x:f>IF($A395="","",MAX(0,$AL395*$O395/100))</x:f>
      </x:c>
      <x:c r="AP395" s="9" t="str">
        <x:f>IF($A395="","",MAX(0,$AL395+$AM395+$P395+$W395-$AN395-$AO395-$Q395))</x:f>
      </x:c>
    </x:row>
    <x:row r="396">
      <x:c r="A396" s="13"/>
      <x:c r="B396" s="7"/>
      <x:c r="C396" s="13"/>
      <x:c r="D396" s="14"/>
      <x:c r="E396" s="8"/>
      <x:c r="F396" s="13"/>
      <x:c r="G396" s="7"/>
      <x:c r="H396" s="7"/>
      <x:c r="I396" s="7"/>
      <x:c r="J396" s="13"/>
      <x:c r="K396" s="16"/>
      <x:c r="L396" s="10"/>
      <x:c r="M396" s="10"/>
      <x:c r="N396" s="10"/>
      <x:c r="O396" s="10"/>
      <x:c r="P396" s="9"/>
      <x:c r="Q396" s="9"/>
      <x:c r="R396" s="7"/>
      <x:c r="S396" s="7"/>
      <x:c r="T396" s="7"/>
      <x:c r="U396" s="7"/>
      <x:c r="V396" s="7"/>
      <x:c r="W396" s="9"/>
      <x:c r="X396" s="7"/>
      <x:c r="Y396" s="9"/>
      <x:c r="Z396" s="8"/>
      <x:c r="AA396" s="8"/>
      <x:c r="AB396" s="7"/>
      <x:c r="AC396" s="7"/>
      <x:c r="AD396" s="13"/>
      <x:c r="AE396" s="7"/>
      <x:c r="AF396" s="7"/>
      <x:c r="AG396" s="7"/>
      <x:c r="AH396" s="7"/>
      <x:c r="AI396" s="7"/>
      <x:c r="AJ396" s="9" t="str">
        <x:f>IF($A396="","",SUMIF(Sales_Items!$A$2:$A$501,$A396,Sales_Items!$O$2:$O$501))</x:f>
      </x:c>
      <x:c r="AK396" s="9" t="str">
        <x:f>IF($A396="","",$AJ396*$L396/100)</x:f>
      </x:c>
      <x:c r="AL396" s="9" t="str">
        <x:f>IF($A396="","",MAX(0,$AJ396-$AK396))</x:f>
      </x:c>
      <x:c r="AM396" s="9" t="str">
        <x:f>IF($A396="","",MAX(0,$AL396*$M396/100))</x:f>
      </x:c>
      <x:c r="AN396" s="9" t="str">
        <x:f>IF($A396="","",MAX(0,$AL396*$N396/100))</x:f>
      </x:c>
      <x:c r="AO396" s="9" t="str">
        <x:f>IF($A396="","",MAX(0,$AL396*$O396/100))</x:f>
      </x:c>
      <x:c r="AP396" s="9" t="str">
        <x:f>IF($A396="","",MAX(0,$AL396+$AM396+$P396+$W396-$AN396-$AO396-$Q396))</x:f>
      </x:c>
    </x:row>
    <x:row r="397">
      <x:c r="A397" s="13"/>
      <x:c r="B397" s="7"/>
      <x:c r="C397" s="13"/>
      <x:c r="D397" s="14"/>
      <x:c r="E397" s="8"/>
      <x:c r="F397" s="13"/>
      <x:c r="G397" s="7"/>
      <x:c r="H397" s="7"/>
      <x:c r="I397" s="7"/>
      <x:c r="J397" s="13"/>
      <x:c r="K397" s="16"/>
      <x:c r="L397" s="10"/>
      <x:c r="M397" s="10"/>
      <x:c r="N397" s="10"/>
      <x:c r="O397" s="10"/>
      <x:c r="P397" s="9"/>
      <x:c r="Q397" s="9"/>
      <x:c r="R397" s="7"/>
      <x:c r="S397" s="7"/>
      <x:c r="T397" s="7"/>
      <x:c r="U397" s="7"/>
      <x:c r="V397" s="7"/>
      <x:c r="W397" s="9"/>
      <x:c r="X397" s="7"/>
      <x:c r="Y397" s="9"/>
      <x:c r="Z397" s="8"/>
      <x:c r="AA397" s="8"/>
      <x:c r="AB397" s="7"/>
      <x:c r="AC397" s="7"/>
      <x:c r="AD397" s="13"/>
      <x:c r="AE397" s="7"/>
      <x:c r="AF397" s="7"/>
      <x:c r="AG397" s="7"/>
      <x:c r="AH397" s="7"/>
      <x:c r="AI397" s="7"/>
      <x:c r="AJ397" s="9" t="str">
        <x:f>IF($A397="","",SUMIF(Sales_Items!$A$2:$A$501,$A397,Sales_Items!$O$2:$O$501))</x:f>
      </x:c>
      <x:c r="AK397" s="9" t="str">
        <x:f>IF($A397="","",$AJ397*$L397/100)</x:f>
      </x:c>
      <x:c r="AL397" s="9" t="str">
        <x:f>IF($A397="","",MAX(0,$AJ397-$AK397))</x:f>
      </x:c>
      <x:c r="AM397" s="9" t="str">
        <x:f>IF($A397="","",MAX(0,$AL397*$M397/100))</x:f>
      </x:c>
      <x:c r="AN397" s="9" t="str">
        <x:f>IF($A397="","",MAX(0,$AL397*$N397/100))</x:f>
      </x:c>
      <x:c r="AO397" s="9" t="str">
        <x:f>IF($A397="","",MAX(0,$AL397*$O397/100))</x:f>
      </x:c>
      <x:c r="AP397" s="9" t="str">
        <x:f>IF($A397="","",MAX(0,$AL397+$AM397+$P397+$W397-$AN397-$AO397-$Q397))</x:f>
      </x:c>
    </x:row>
    <x:row r="398">
      <x:c r="A398" s="13"/>
      <x:c r="B398" s="7"/>
      <x:c r="C398" s="13"/>
      <x:c r="D398" s="14"/>
      <x:c r="E398" s="8"/>
      <x:c r="F398" s="13"/>
      <x:c r="G398" s="7"/>
      <x:c r="H398" s="7"/>
      <x:c r="I398" s="7"/>
      <x:c r="J398" s="13"/>
      <x:c r="K398" s="16"/>
      <x:c r="L398" s="10"/>
      <x:c r="M398" s="10"/>
      <x:c r="N398" s="10"/>
      <x:c r="O398" s="10"/>
      <x:c r="P398" s="9"/>
      <x:c r="Q398" s="9"/>
      <x:c r="R398" s="7"/>
      <x:c r="S398" s="7"/>
      <x:c r="T398" s="7"/>
      <x:c r="U398" s="7"/>
      <x:c r="V398" s="7"/>
      <x:c r="W398" s="9"/>
      <x:c r="X398" s="7"/>
      <x:c r="Y398" s="9"/>
      <x:c r="Z398" s="8"/>
      <x:c r="AA398" s="8"/>
      <x:c r="AB398" s="7"/>
      <x:c r="AC398" s="7"/>
      <x:c r="AD398" s="13"/>
      <x:c r="AE398" s="7"/>
      <x:c r="AF398" s="7"/>
      <x:c r="AG398" s="7"/>
      <x:c r="AH398" s="7"/>
      <x:c r="AI398" s="7"/>
      <x:c r="AJ398" s="9" t="str">
        <x:f>IF($A398="","",SUMIF(Sales_Items!$A$2:$A$501,$A398,Sales_Items!$O$2:$O$501))</x:f>
      </x:c>
      <x:c r="AK398" s="9" t="str">
        <x:f>IF($A398="","",$AJ398*$L398/100)</x:f>
      </x:c>
      <x:c r="AL398" s="9" t="str">
        <x:f>IF($A398="","",MAX(0,$AJ398-$AK398))</x:f>
      </x:c>
      <x:c r="AM398" s="9" t="str">
        <x:f>IF($A398="","",MAX(0,$AL398*$M398/100))</x:f>
      </x:c>
      <x:c r="AN398" s="9" t="str">
        <x:f>IF($A398="","",MAX(0,$AL398*$N398/100))</x:f>
      </x:c>
      <x:c r="AO398" s="9" t="str">
        <x:f>IF($A398="","",MAX(0,$AL398*$O398/100))</x:f>
      </x:c>
      <x:c r="AP398" s="9" t="str">
        <x:f>IF($A398="","",MAX(0,$AL398+$AM398+$P398+$W398-$AN398-$AO398-$Q398))</x:f>
      </x:c>
    </x:row>
    <x:row r="399">
      <x:c r="A399" s="13"/>
      <x:c r="B399" s="7"/>
      <x:c r="C399" s="13"/>
      <x:c r="D399" s="14"/>
      <x:c r="E399" s="8"/>
      <x:c r="F399" s="13"/>
      <x:c r="G399" s="7"/>
      <x:c r="H399" s="7"/>
      <x:c r="I399" s="7"/>
      <x:c r="J399" s="13"/>
      <x:c r="K399" s="16"/>
      <x:c r="L399" s="10"/>
      <x:c r="M399" s="10"/>
      <x:c r="N399" s="10"/>
      <x:c r="O399" s="10"/>
      <x:c r="P399" s="9"/>
      <x:c r="Q399" s="9"/>
      <x:c r="R399" s="7"/>
      <x:c r="S399" s="7"/>
      <x:c r="T399" s="7"/>
      <x:c r="U399" s="7"/>
      <x:c r="V399" s="7"/>
      <x:c r="W399" s="9"/>
      <x:c r="X399" s="7"/>
      <x:c r="Y399" s="9"/>
      <x:c r="Z399" s="8"/>
      <x:c r="AA399" s="8"/>
      <x:c r="AB399" s="7"/>
      <x:c r="AC399" s="7"/>
      <x:c r="AD399" s="13"/>
      <x:c r="AE399" s="7"/>
      <x:c r="AF399" s="7"/>
      <x:c r="AG399" s="7"/>
      <x:c r="AH399" s="7"/>
      <x:c r="AI399" s="7"/>
      <x:c r="AJ399" s="9" t="str">
        <x:f>IF($A399="","",SUMIF(Sales_Items!$A$2:$A$501,$A399,Sales_Items!$O$2:$O$501))</x:f>
      </x:c>
      <x:c r="AK399" s="9" t="str">
        <x:f>IF($A399="","",$AJ399*$L399/100)</x:f>
      </x:c>
      <x:c r="AL399" s="9" t="str">
        <x:f>IF($A399="","",MAX(0,$AJ399-$AK399))</x:f>
      </x:c>
      <x:c r="AM399" s="9" t="str">
        <x:f>IF($A399="","",MAX(0,$AL399*$M399/100))</x:f>
      </x:c>
      <x:c r="AN399" s="9" t="str">
        <x:f>IF($A399="","",MAX(0,$AL399*$N399/100))</x:f>
      </x:c>
      <x:c r="AO399" s="9" t="str">
        <x:f>IF($A399="","",MAX(0,$AL399*$O399/100))</x:f>
      </x:c>
      <x:c r="AP399" s="9" t="str">
        <x:f>IF($A399="","",MAX(0,$AL399+$AM399+$P399+$W399-$AN399-$AO399-$Q399))</x:f>
      </x:c>
    </x:row>
    <x:row r="400">
      <x:c r="A400" s="13"/>
      <x:c r="B400" s="7"/>
      <x:c r="C400" s="13"/>
      <x:c r="D400" s="14"/>
      <x:c r="E400" s="8"/>
      <x:c r="F400" s="13"/>
      <x:c r="G400" s="7"/>
      <x:c r="H400" s="7"/>
      <x:c r="I400" s="7"/>
      <x:c r="J400" s="13"/>
      <x:c r="K400" s="16"/>
      <x:c r="L400" s="10"/>
      <x:c r="M400" s="10"/>
      <x:c r="N400" s="10"/>
      <x:c r="O400" s="10"/>
      <x:c r="P400" s="9"/>
      <x:c r="Q400" s="9"/>
      <x:c r="R400" s="7"/>
      <x:c r="S400" s="7"/>
      <x:c r="T400" s="7"/>
      <x:c r="U400" s="7"/>
      <x:c r="V400" s="7"/>
      <x:c r="W400" s="9"/>
      <x:c r="X400" s="7"/>
      <x:c r="Y400" s="9"/>
      <x:c r="Z400" s="8"/>
      <x:c r="AA400" s="8"/>
      <x:c r="AB400" s="7"/>
      <x:c r="AC400" s="7"/>
      <x:c r="AD400" s="13"/>
      <x:c r="AE400" s="7"/>
      <x:c r="AF400" s="7"/>
      <x:c r="AG400" s="7"/>
      <x:c r="AH400" s="7"/>
      <x:c r="AI400" s="7"/>
      <x:c r="AJ400" s="9" t="str">
        <x:f>IF($A400="","",SUMIF(Sales_Items!$A$2:$A$501,$A400,Sales_Items!$O$2:$O$501))</x:f>
      </x:c>
      <x:c r="AK400" s="9" t="str">
        <x:f>IF($A400="","",$AJ400*$L400/100)</x:f>
      </x:c>
      <x:c r="AL400" s="9" t="str">
        <x:f>IF($A400="","",MAX(0,$AJ400-$AK400))</x:f>
      </x:c>
      <x:c r="AM400" s="9" t="str">
        <x:f>IF($A400="","",MAX(0,$AL400*$M400/100))</x:f>
      </x:c>
      <x:c r="AN400" s="9" t="str">
        <x:f>IF($A400="","",MAX(0,$AL400*$N400/100))</x:f>
      </x:c>
      <x:c r="AO400" s="9" t="str">
        <x:f>IF($A400="","",MAX(0,$AL400*$O400/100))</x:f>
      </x:c>
      <x:c r="AP400" s="9" t="str">
        <x:f>IF($A400="","",MAX(0,$AL400+$AM400+$P400+$W400-$AN400-$AO400-$Q400))</x:f>
      </x:c>
    </x:row>
    <x:row r="401">
      <x:c r="A401" s="13"/>
      <x:c r="B401" s="7"/>
      <x:c r="C401" s="13"/>
      <x:c r="D401" s="14"/>
      <x:c r="E401" s="8"/>
      <x:c r="F401" s="13"/>
      <x:c r="G401" s="7"/>
      <x:c r="H401" s="7"/>
      <x:c r="I401" s="7"/>
      <x:c r="J401" s="13"/>
      <x:c r="K401" s="16"/>
      <x:c r="L401" s="10"/>
      <x:c r="M401" s="10"/>
      <x:c r="N401" s="10"/>
      <x:c r="O401" s="10"/>
      <x:c r="P401" s="9"/>
      <x:c r="Q401" s="9"/>
      <x:c r="R401" s="7"/>
      <x:c r="S401" s="7"/>
      <x:c r="T401" s="7"/>
      <x:c r="U401" s="7"/>
      <x:c r="V401" s="7"/>
      <x:c r="W401" s="9"/>
      <x:c r="X401" s="7"/>
      <x:c r="Y401" s="9"/>
      <x:c r="Z401" s="8"/>
      <x:c r="AA401" s="8"/>
      <x:c r="AB401" s="7"/>
      <x:c r="AC401" s="7"/>
      <x:c r="AD401" s="13"/>
      <x:c r="AE401" s="7"/>
      <x:c r="AF401" s="7"/>
      <x:c r="AG401" s="7"/>
      <x:c r="AH401" s="7"/>
      <x:c r="AI401" s="7"/>
      <x:c r="AJ401" s="9" t="str">
        <x:f>IF($A401="","",SUMIF(Sales_Items!$A$2:$A$501,$A401,Sales_Items!$O$2:$O$501))</x:f>
      </x:c>
      <x:c r="AK401" s="9" t="str">
        <x:f>IF($A401="","",$AJ401*$L401/100)</x:f>
      </x:c>
      <x:c r="AL401" s="9" t="str">
        <x:f>IF($A401="","",MAX(0,$AJ401-$AK401))</x:f>
      </x:c>
      <x:c r="AM401" s="9" t="str">
        <x:f>IF($A401="","",MAX(0,$AL401*$M401/100))</x:f>
      </x:c>
      <x:c r="AN401" s="9" t="str">
        <x:f>IF($A401="","",MAX(0,$AL401*$N401/100))</x:f>
      </x:c>
      <x:c r="AO401" s="9" t="str">
        <x:f>IF($A401="","",MAX(0,$AL401*$O401/100))</x:f>
      </x:c>
      <x:c r="AP401" s="9" t="str">
        <x:f>IF($A401="","",MAX(0,$AL401+$AM401+$P401+$W401-$AN401-$AO401-$Q401))</x:f>
      </x:c>
    </x:row>
    <x:row r="402">
      <x:c r="A402" s="13"/>
      <x:c r="B402" s="7"/>
      <x:c r="C402" s="13"/>
      <x:c r="D402" s="14"/>
      <x:c r="E402" s="8"/>
      <x:c r="F402" s="13"/>
      <x:c r="G402" s="7"/>
      <x:c r="H402" s="7"/>
      <x:c r="I402" s="7"/>
      <x:c r="J402" s="13"/>
      <x:c r="K402" s="16"/>
      <x:c r="L402" s="10"/>
      <x:c r="M402" s="10"/>
      <x:c r="N402" s="10"/>
      <x:c r="O402" s="10"/>
      <x:c r="P402" s="9"/>
      <x:c r="Q402" s="9"/>
      <x:c r="R402" s="7"/>
      <x:c r="S402" s="7"/>
      <x:c r="T402" s="7"/>
      <x:c r="U402" s="7"/>
      <x:c r="V402" s="7"/>
      <x:c r="W402" s="9"/>
      <x:c r="X402" s="7"/>
      <x:c r="Y402" s="9"/>
      <x:c r="Z402" s="8"/>
      <x:c r="AA402" s="8"/>
      <x:c r="AB402" s="7"/>
      <x:c r="AC402" s="7"/>
      <x:c r="AD402" s="13"/>
      <x:c r="AE402" s="7"/>
      <x:c r="AF402" s="7"/>
      <x:c r="AG402" s="7"/>
      <x:c r="AH402" s="7"/>
      <x:c r="AI402" s="7"/>
      <x:c r="AJ402" s="9" t="str">
        <x:f>IF($A402="","",SUMIF(Sales_Items!$A$2:$A$501,$A402,Sales_Items!$O$2:$O$501))</x:f>
      </x:c>
      <x:c r="AK402" s="9" t="str">
        <x:f>IF($A402="","",$AJ402*$L402/100)</x:f>
      </x:c>
      <x:c r="AL402" s="9" t="str">
        <x:f>IF($A402="","",MAX(0,$AJ402-$AK402))</x:f>
      </x:c>
      <x:c r="AM402" s="9" t="str">
        <x:f>IF($A402="","",MAX(0,$AL402*$M402/100))</x:f>
      </x:c>
      <x:c r="AN402" s="9" t="str">
        <x:f>IF($A402="","",MAX(0,$AL402*$N402/100))</x:f>
      </x:c>
      <x:c r="AO402" s="9" t="str">
        <x:f>IF($A402="","",MAX(0,$AL402*$O402/100))</x:f>
      </x:c>
      <x:c r="AP402" s="9" t="str">
        <x:f>IF($A402="","",MAX(0,$AL402+$AM402+$P402+$W402-$AN402-$AO402-$Q402))</x:f>
      </x:c>
    </x:row>
    <x:row r="403">
      <x:c r="A403" s="13"/>
      <x:c r="B403" s="7"/>
      <x:c r="C403" s="13"/>
      <x:c r="D403" s="14"/>
      <x:c r="E403" s="8"/>
      <x:c r="F403" s="13"/>
      <x:c r="G403" s="7"/>
      <x:c r="H403" s="7"/>
      <x:c r="I403" s="7"/>
      <x:c r="J403" s="13"/>
      <x:c r="K403" s="16"/>
      <x:c r="L403" s="10"/>
      <x:c r="M403" s="10"/>
      <x:c r="N403" s="10"/>
      <x:c r="O403" s="10"/>
      <x:c r="P403" s="9"/>
      <x:c r="Q403" s="9"/>
      <x:c r="R403" s="7"/>
      <x:c r="S403" s="7"/>
      <x:c r="T403" s="7"/>
      <x:c r="U403" s="7"/>
      <x:c r="V403" s="7"/>
      <x:c r="W403" s="9"/>
      <x:c r="X403" s="7"/>
      <x:c r="Y403" s="9"/>
      <x:c r="Z403" s="8"/>
      <x:c r="AA403" s="8"/>
      <x:c r="AB403" s="7"/>
      <x:c r="AC403" s="7"/>
      <x:c r="AD403" s="13"/>
      <x:c r="AE403" s="7"/>
      <x:c r="AF403" s="7"/>
      <x:c r="AG403" s="7"/>
      <x:c r="AH403" s="7"/>
      <x:c r="AI403" s="7"/>
      <x:c r="AJ403" s="9" t="str">
        <x:f>IF($A403="","",SUMIF(Sales_Items!$A$2:$A$501,$A403,Sales_Items!$O$2:$O$501))</x:f>
      </x:c>
      <x:c r="AK403" s="9" t="str">
        <x:f>IF($A403="","",$AJ403*$L403/100)</x:f>
      </x:c>
      <x:c r="AL403" s="9" t="str">
        <x:f>IF($A403="","",MAX(0,$AJ403-$AK403))</x:f>
      </x:c>
      <x:c r="AM403" s="9" t="str">
        <x:f>IF($A403="","",MAX(0,$AL403*$M403/100))</x:f>
      </x:c>
      <x:c r="AN403" s="9" t="str">
        <x:f>IF($A403="","",MAX(0,$AL403*$N403/100))</x:f>
      </x:c>
      <x:c r="AO403" s="9" t="str">
        <x:f>IF($A403="","",MAX(0,$AL403*$O403/100))</x:f>
      </x:c>
      <x:c r="AP403" s="9" t="str">
        <x:f>IF($A403="","",MAX(0,$AL403+$AM403+$P403+$W403-$AN403-$AO403-$Q403))</x:f>
      </x:c>
    </x:row>
    <x:row r="404">
      <x:c r="A404" s="13"/>
      <x:c r="B404" s="7"/>
      <x:c r="C404" s="13"/>
      <x:c r="D404" s="14"/>
      <x:c r="E404" s="8"/>
      <x:c r="F404" s="13"/>
      <x:c r="G404" s="7"/>
      <x:c r="H404" s="7"/>
      <x:c r="I404" s="7"/>
      <x:c r="J404" s="13"/>
      <x:c r="K404" s="16"/>
      <x:c r="L404" s="10"/>
      <x:c r="M404" s="10"/>
      <x:c r="N404" s="10"/>
      <x:c r="O404" s="10"/>
      <x:c r="P404" s="9"/>
      <x:c r="Q404" s="9"/>
      <x:c r="R404" s="7"/>
      <x:c r="S404" s="7"/>
      <x:c r="T404" s="7"/>
      <x:c r="U404" s="7"/>
      <x:c r="V404" s="7"/>
      <x:c r="W404" s="9"/>
      <x:c r="X404" s="7"/>
      <x:c r="Y404" s="9"/>
      <x:c r="Z404" s="8"/>
      <x:c r="AA404" s="8"/>
      <x:c r="AB404" s="7"/>
      <x:c r="AC404" s="7"/>
      <x:c r="AD404" s="13"/>
      <x:c r="AE404" s="7"/>
      <x:c r="AF404" s="7"/>
      <x:c r="AG404" s="7"/>
      <x:c r="AH404" s="7"/>
      <x:c r="AI404" s="7"/>
      <x:c r="AJ404" s="9" t="str">
        <x:f>IF($A404="","",SUMIF(Sales_Items!$A$2:$A$501,$A404,Sales_Items!$O$2:$O$501))</x:f>
      </x:c>
      <x:c r="AK404" s="9" t="str">
        <x:f>IF($A404="","",$AJ404*$L404/100)</x:f>
      </x:c>
      <x:c r="AL404" s="9" t="str">
        <x:f>IF($A404="","",MAX(0,$AJ404-$AK404))</x:f>
      </x:c>
      <x:c r="AM404" s="9" t="str">
        <x:f>IF($A404="","",MAX(0,$AL404*$M404/100))</x:f>
      </x:c>
      <x:c r="AN404" s="9" t="str">
        <x:f>IF($A404="","",MAX(0,$AL404*$N404/100))</x:f>
      </x:c>
      <x:c r="AO404" s="9" t="str">
        <x:f>IF($A404="","",MAX(0,$AL404*$O404/100))</x:f>
      </x:c>
      <x:c r="AP404" s="9" t="str">
        <x:f>IF($A404="","",MAX(0,$AL404+$AM404+$P404+$W404-$AN404-$AO404-$Q404))</x:f>
      </x:c>
    </x:row>
    <x:row r="405">
      <x:c r="A405" s="13"/>
      <x:c r="B405" s="7"/>
      <x:c r="C405" s="13"/>
      <x:c r="D405" s="14"/>
      <x:c r="E405" s="8"/>
      <x:c r="F405" s="13"/>
      <x:c r="G405" s="7"/>
      <x:c r="H405" s="7"/>
      <x:c r="I405" s="7"/>
      <x:c r="J405" s="13"/>
      <x:c r="K405" s="16"/>
      <x:c r="L405" s="10"/>
      <x:c r="M405" s="10"/>
      <x:c r="N405" s="10"/>
      <x:c r="O405" s="10"/>
      <x:c r="P405" s="9"/>
      <x:c r="Q405" s="9"/>
      <x:c r="R405" s="7"/>
      <x:c r="S405" s="7"/>
      <x:c r="T405" s="7"/>
      <x:c r="U405" s="7"/>
      <x:c r="V405" s="7"/>
      <x:c r="W405" s="9"/>
      <x:c r="X405" s="7"/>
      <x:c r="Y405" s="9"/>
      <x:c r="Z405" s="8"/>
      <x:c r="AA405" s="8"/>
      <x:c r="AB405" s="7"/>
      <x:c r="AC405" s="7"/>
      <x:c r="AD405" s="13"/>
      <x:c r="AE405" s="7"/>
      <x:c r="AF405" s="7"/>
      <x:c r="AG405" s="7"/>
      <x:c r="AH405" s="7"/>
      <x:c r="AI405" s="7"/>
      <x:c r="AJ405" s="9" t="str">
        <x:f>IF($A405="","",SUMIF(Sales_Items!$A$2:$A$501,$A405,Sales_Items!$O$2:$O$501))</x:f>
      </x:c>
      <x:c r="AK405" s="9" t="str">
        <x:f>IF($A405="","",$AJ405*$L405/100)</x:f>
      </x:c>
      <x:c r="AL405" s="9" t="str">
        <x:f>IF($A405="","",MAX(0,$AJ405-$AK405))</x:f>
      </x:c>
      <x:c r="AM405" s="9" t="str">
        <x:f>IF($A405="","",MAX(0,$AL405*$M405/100))</x:f>
      </x:c>
      <x:c r="AN405" s="9" t="str">
        <x:f>IF($A405="","",MAX(0,$AL405*$N405/100))</x:f>
      </x:c>
      <x:c r="AO405" s="9" t="str">
        <x:f>IF($A405="","",MAX(0,$AL405*$O405/100))</x:f>
      </x:c>
      <x:c r="AP405" s="9" t="str">
        <x:f>IF($A405="","",MAX(0,$AL405+$AM405+$P405+$W405-$AN405-$AO405-$Q405))</x:f>
      </x:c>
    </x:row>
    <x:row r="406">
      <x:c r="A406" s="13"/>
      <x:c r="B406" s="7"/>
      <x:c r="C406" s="13"/>
      <x:c r="D406" s="14"/>
      <x:c r="E406" s="8"/>
      <x:c r="F406" s="13"/>
      <x:c r="G406" s="7"/>
      <x:c r="H406" s="7"/>
      <x:c r="I406" s="7"/>
      <x:c r="J406" s="13"/>
      <x:c r="K406" s="16"/>
      <x:c r="L406" s="10"/>
      <x:c r="M406" s="10"/>
      <x:c r="N406" s="10"/>
      <x:c r="O406" s="10"/>
      <x:c r="P406" s="9"/>
      <x:c r="Q406" s="9"/>
      <x:c r="R406" s="7"/>
      <x:c r="S406" s="7"/>
      <x:c r="T406" s="7"/>
      <x:c r="U406" s="7"/>
      <x:c r="V406" s="7"/>
      <x:c r="W406" s="9"/>
      <x:c r="X406" s="7"/>
      <x:c r="Y406" s="9"/>
      <x:c r="Z406" s="8"/>
      <x:c r="AA406" s="8"/>
      <x:c r="AB406" s="7"/>
      <x:c r="AC406" s="7"/>
      <x:c r="AD406" s="13"/>
      <x:c r="AE406" s="7"/>
      <x:c r="AF406" s="7"/>
      <x:c r="AG406" s="7"/>
      <x:c r="AH406" s="7"/>
      <x:c r="AI406" s="7"/>
      <x:c r="AJ406" s="9" t="str">
        <x:f>IF($A406="","",SUMIF(Sales_Items!$A$2:$A$501,$A406,Sales_Items!$O$2:$O$501))</x:f>
      </x:c>
      <x:c r="AK406" s="9" t="str">
        <x:f>IF($A406="","",$AJ406*$L406/100)</x:f>
      </x:c>
      <x:c r="AL406" s="9" t="str">
        <x:f>IF($A406="","",MAX(0,$AJ406-$AK406))</x:f>
      </x:c>
      <x:c r="AM406" s="9" t="str">
        <x:f>IF($A406="","",MAX(0,$AL406*$M406/100))</x:f>
      </x:c>
      <x:c r="AN406" s="9" t="str">
        <x:f>IF($A406="","",MAX(0,$AL406*$N406/100))</x:f>
      </x:c>
      <x:c r="AO406" s="9" t="str">
        <x:f>IF($A406="","",MAX(0,$AL406*$O406/100))</x:f>
      </x:c>
      <x:c r="AP406" s="9" t="str">
        <x:f>IF($A406="","",MAX(0,$AL406+$AM406+$P406+$W406-$AN406-$AO406-$Q406))</x:f>
      </x:c>
    </x:row>
    <x:row r="407">
      <x:c r="A407" s="13"/>
      <x:c r="B407" s="7"/>
      <x:c r="C407" s="13"/>
      <x:c r="D407" s="14"/>
      <x:c r="E407" s="8"/>
      <x:c r="F407" s="13"/>
      <x:c r="G407" s="7"/>
      <x:c r="H407" s="7"/>
      <x:c r="I407" s="7"/>
      <x:c r="J407" s="13"/>
      <x:c r="K407" s="16"/>
      <x:c r="L407" s="10"/>
      <x:c r="M407" s="10"/>
      <x:c r="N407" s="10"/>
      <x:c r="O407" s="10"/>
      <x:c r="P407" s="9"/>
      <x:c r="Q407" s="9"/>
      <x:c r="R407" s="7"/>
      <x:c r="S407" s="7"/>
      <x:c r="T407" s="7"/>
      <x:c r="U407" s="7"/>
      <x:c r="V407" s="7"/>
      <x:c r="W407" s="9"/>
      <x:c r="X407" s="7"/>
      <x:c r="Y407" s="9"/>
      <x:c r="Z407" s="8"/>
      <x:c r="AA407" s="8"/>
      <x:c r="AB407" s="7"/>
      <x:c r="AC407" s="7"/>
      <x:c r="AD407" s="13"/>
      <x:c r="AE407" s="7"/>
      <x:c r="AF407" s="7"/>
      <x:c r="AG407" s="7"/>
      <x:c r="AH407" s="7"/>
      <x:c r="AI407" s="7"/>
      <x:c r="AJ407" s="9" t="str">
        <x:f>IF($A407="","",SUMIF(Sales_Items!$A$2:$A$501,$A407,Sales_Items!$O$2:$O$501))</x:f>
      </x:c>
      <x:c r="AK407" s="9" t="str">
        <x:f>IF($A407="","",$AJ407*$L407/100)</x:f>
      </x:c>
      <x:c r="AL407" s="9" t="str">
        <x:f>IF($A407="","",MAX(0,$AJ407-$AK407))</x:f>
      </x:c>
      <x:c r="AM407" s="9" t="str">
        <x:f>IF($A407="","",MAX(0,$AL407*$M407/100))</x:f>
      </x:c>
      <x:c r="AN407" s="9" t="str">
        <x:f>IF($A407="","",MAX(0,$AL407*$N407/100))</x:f>
      </x:c>
      <x:c r="AO407" s="9" t="str">
        <x:f>IF($A407="","",MAX(0,$AL407*$O407/100))</x:f>
      </x:c>
      <x:c r="AP407" s="9" t="str">
        <x:f>IF($A407="","",MAX(0,$AL407+$AM407+$P407+$W407-$AN407-$AO407-$Q407))</x:f>
      </x:c>
    </x:row>
    <x:row r="408">
      <x:c r="A408" s="13"/>
      <x:c r="B408" s="7"/>
      <x:c r="C408" s="13"/>
      <x:c r="D408" s="14"/>
      <x:c r="E408" s="8"/>
      <x:c r="F408" s="13"/>
      <x:c r="G408" s="7"/>
      <x:c r="H408" s="7"/>
      <x:c r="I408" s="7"/>
      <x:c r="J408" s="13"/>
      <x:c r="K408" s="16"/>
      <x:c r="L408" s="10"/>
      <x:c r="M408" s="10"/>
      <x:c r="N408" s="10"/>
      <x:c r="O408" s="10"/>
      <x:c r="P408" s="9"/>
      <x:c r="Q408" s="9"/>
      <x:c r="R408" s="7"/>
      <x:c r="S408" s="7"/>
      <x:c r="T408" s="7"/>
      <x:c r="U408" s="7"/>
      <x:c r="V408" s="7"/>
      <x:c r="W408" s="9"/>
      <x:c r="X408" s="7"/>
      <x:c r="Y408" s="9"/>
      <x:c r="Z408" s="8"/>
      <x:c r="AA408" s="8"/>
      <x:c r="AB408" s="7"/>
      <x:c r="AC408" s="7"/>
      <x:c r="AD408" s="13"/>
      <x:c r="AE408" s="7"/>
      <x:c r="AF408" s="7"/>
      <x:c r="AG408" s="7"/>
      <x:c r="AH408" s="7"/>
      <x:c r="AI408" s="7"/>
      <x:c r="AJ408" s="9" t="str">
        <x:f>IF($A408="","",SUMIF(Sales_Items!$A$2:$A$501,$A408,Sales_Items!$O$2:$O$501))</x:f>
      </x:c>
      <x:c r="AK408" s="9" t="str">
        <x:f>IF($A408="","",$AJ408*$L408/100)</x:f>
      </x:c>
      <x:c r="AL408" s="9" t="str">
        <x:f>IF($A408="","",MAX(0,$AJ408-$AK408))</x:f>
      </x:c>
      <x:c r="AM408" s="9" t="str">
        <x:f>IF($A408="","",MAX(0,$AL408*$M408/100))</x:f>
      </x:c>
      <x:c r="AN408" s="9" t="str">
        <x:f>IF($A408="","",MAX(0,$AL408*$N408/100))</x:f>
      </x:c>
      <x:c r="AO408" s="9" t="str">
        <x:f>IF($A408="","",MAX(0,$AL408*$O408/100))</x:f>
      </x:c>
      <x:c r="AP408" s="9" t="str">
        <x:f>IF($A408="","",MAX(0,$AL408+$AM408+$P408+$W408-$AN408-$AO408-$Q408))</x:f>
      </x:c>
    </x:row>
    <x:row r="409">
      <x:c r="A409" s="13"/>
      <x:c r="B409" s="7"/>
      <x:c r="C409" s="13"/>
      <x:c r="D409" s="14"/>
      <x:c r="E409" s="8"/>
      <x:c r="F409" s="13"/>
      <x:c r="G409" s="7"/>
      <x:c r="H409" s="7"/>
      <x:c r="I409" s="7"/>
      <x:c r="J409" s="13"/>
      <x:c r="K409" s="16"/>
      <x:c r="L409" s="10"/>
      <x:c r="M409" s="10"/>
      <x:c r="N409" s="10"/>
      <x:c r="O409" s="10"/>
      <x:c r="P409" s="9"/>
      <x:c r="Q409" s="9"/>
      <x:c r="R409" s="7"/>
      <x:c r="S409" s="7"/>
      <x:c r="T409" s="7"/>
      <x:c r="U409" s="7"/>
      <x:c r="V409" s="7"/>
      <x:c r="W409" s="9"/>
      <x:c r="X409" s="7"/>
      <x:c r="Y409" s="9"/>
      <x:c r="Z409" s="8"/>
      <x:c r="AA409" s="8"/>
      <x:c r="AB409" s="7"/>
      <x:c r="AC409" s="7"/>
      <x:c r="AD409" s="13"/>
      <x:c r="AE409" s="7"/>
      <x:c r="AF409" s="7"/>
      <x:c r="AG409" s="7"/>
      <x:c r="AH409" s="7"/>
      <x:c r="AI409" s="7"/>
      <x:c r="AJ409" s="9" t="str">
        <x:f>IF($A409="","",SUMIF(Sales_Items!$A$2:$A$501,$A409,Sales_Items!$O$2:$O$501))</x:f>
      </x:c>
      <x:c r="AK409" s="9" t="str">
        <x:f>IF($A409="","",$AJ409*$L409/100)</x:f>
      </x:c>
      <x:c r="AL409" s="9" t="str">
        <x:f>IF($A409="","",MAX(0,$AJ409-$AK409))</x:f>
      </x:c>
      <x:c r="AM409" s="9" t="str">
        <x:f>IF($A409="","",MAX(0,$AL409*$M409/100))</x:f>
      </x:c>
      <x:c r="AN409" s="9" t="str">
        <x:f>IF($A409="","",MAX(0,$AL409*$N409/100))</x:f>
      </x:c>
      <x:c r="AO409" s="9" t="str">
        <x:f>IF($A409="","",MAX(0,$AL409*$O409/100))</x:f>
      </x:c>
      <x:c r="AP409" s="9" t="str">
        <x:f>IF($A409="","",MAX(0,$AL409+$AM409+$P409+$W409-$AN409-$AO409-$Q409))</x:f>
      </x:c>
    </x:row>
    <x:row r="410">
      <x:c r="A410" s="13"/>
      <x:c r="B410" s="7"/>
      <x:c r="C410" s="13"/>
      <x:c r="D410" s="14"/>
      <x:c r="E410" s="8"/>
      <x:c r="F410" s="13"/>
      <x:c r="G410" s="7"/>
      <x:c r="H410" s="7"/>
      <x:c r="I410" s="7"/>
      <x:c r="J410" s="13"/>
      <x:c r="K410" s="16"/>
      <x:c r="L410" s="10"/>
      <x:c r="M410" s="10"/>
      <x:c r="N410" s="10"/>
      <x:c r="O410" s="10"/>
      <x:c r="P410" s="9"/>
      <x:c r="Q410" s="9"/>
      <x:c r="R410" s="7"/>
      <x:c r="S410" s="7"/>
      <x:c r="T410" s="7"/>
      <x:c r="U410" s="7"/>
      <x:c r="V410" s="7"/>
      <x:c r="W410" s="9"/>
      <x:c r="X410" s="7"/>
      <x:c r="Y410" s="9"/>
      <x:c r="Z410" s="8"/>
      <x:c r="AA410" s="8"/>
      <x:c r="AB410" s="7"/>
      <x:c r="AC410" s="7"/>
      <x:c r="AD410" s="13"/>
      <x:c r="AE410" s="7"/>
      <x:c r="AF410" s="7"/>
      <x:c r="AG410" s="7"/>
      <x:c r="AH410" s="7"/>
      <x:c r="AI410" s="7"/>
      <x:c r="AJ410" s="9" t="str">
        <x:f>IF($A410="","",SUMIF(Sales_Items!$A$2:$A$501,$A410,Sales_Items!$O$2:$O$501))</x:f>
      </x:c>
      <x:c r="AK410" s="9" t="str">
        <x:f>IF($A410="","",$AJ410*$L410/100)</x:f>
      </x:c>
      <x:c r="AL410" s="9" t="str">
        <x:f>IF($A410="","",MAX(0,$AJ410-$AK410))</x:f>
      </x:c>
      <x:c r="AM410" s="9" t="str">
        <x:f>IF($A410="","",MAX(0,$AL410*$M410/100))</x:f>
      </x:c>
      <x:c r="AN410" s="9" t="str">
        <x:f>IF($A410="","",MAX(0,$AL410*$N410/100))</x:f>
      </x:c>
      <x:c r="AO410" s="9" t="str">
        <x:f>IF($A410="","",MAX(0,$AL410*$O410/100))</x:f>
      </x:c>
      <x:c r="AP410" s="9" t="str">
        <x:f>IF($A410="","",MAX(0,$AL410+$AM410+$P410+$W410-$AN410-$AO410-$Q410))</x:f>
      </x:c>
    </x:row>
    <x:row r="411">
      <x:c r="A411" s="13"/>
      <x:c r="B411" s="7"/>
      <x:c r="C411" s="13"/>
      <x:c r="D411" s="14"/>
      <x:c r="E411" s="8"/>
      <x:c r="F411" s="13"/>
      <x:c r="G411" s="7"/>
      <x:c r="H411" s="7"/>
      <x:c r="I411" s="7"/>
      <x:c r="J411" s="13"/>
      <x:c r="K411" s="16"/>
      <x:c r="L411" s="10"/>
      <x:c r="M411" s="10"/>
      <x:c r="N411" s="10"/>
      <x:c r="O411" s="10"/>
      <x:c r="P411" s="9"/>
      <x:c r="Q411" s="9"/>
      <x:c r="R411" s="7"/>
      <x:c r="S411" s="7"/>
      <x:c r="T411" s="7"/>
      <x:c r="U411" s="7"/>
      <x:c r="V411" s="7"/>
      <x:c r="W411" s="9"/>
      <x:c r="X411" s="7"/>
      <x:c r="Y411" s="9"/>
      <x:c r="Z411" s="8"/>
      <x:c r="AA411" s="8"/>
      <x:c r="AB411" s="7"/>
      <x:c r="AC411" s="7"/>
      <x:c r="AD411" s="13"/>
      <x:c r="AE411" s="7"/>
      <x:c r="AF411" s="7"/>
      <x:c r="AG411" s="7"/>
      <x:c r="AH411" s="7"/>
      <x:c r="AI411" s="7"/>
      <x:c r="AJ411" s="9" t="str">
        <x:f>IF($A411="","",SUMIF(Sales_Items!$A$2:$A$501,$A411,Sales_Items!$O$2:$O$501))</x:f>
      </x:c>
      <x:c r="AK411" s="9" t="str">
        <x:f>IF($A411="","",$AJ411*$L411/100)</x:f>
      </x:c>
      <x:c r="AL411" s="9" t="str">
        <x:f>IF($A411="","",MAX(0,$AJ411-$AK411))</x:f>
      </x:c>
      <x:c r="AM411" s="9" t="str">
        <x:f>IF($A411="","",MAX(0,$AL411*$M411/100))</x:f>
      </x:c>
      <x:c r="AN411" s="9" t="str">
        <x:f>IF($A411="","",MAX(0,$AL411*$N411/100))</x:f>
      </x:c>
      <x:c r="AO411" s="9" t="str">
        <x:f>IF($A411="","",MAX(0,$AL411*$O411/100))</x:f>
      </x:c>
      <x:c r="AP411" s="9" t="str">
        <x:f>IF($A411="","",MAX(0,$AL411+$AM411+$P411+$W411-$AN411-$AO411-$Q411))</x:f>
      </x:c>
    </x:row>
    <x:row r="412">
      <x:c r="A412" s="13"/>
      <x:c r="B412" s="7"/>
      <x:c r="C412" s="13"/>
      <x:c r="D412" s="14"/>
      <x:c r="E412" s="8"/>
      <x:c r="F412" s="13"/>
      <x:c r="G412" s="7"/>
      <x:c r="H412" s="7"/>
      <x:c r="I412" s="7"/>
      <x:c r="J412" s="13"/>
      <x:c r="K412" s="16"/>
      <x:c r="L412" s="10"/>
      <x:c r="M412" s="10"/>
      <x:c r="N412" s="10"/>
      <x:c r="O412" s="10"/>
      <x:c r="P412" s="9"/>
      <x:c r="Q412" s="9"/>
      <x:c r="R412" s="7"/>
      <x:c r="S412" s="7"/>
      <x:c r="T412" s="7"/>
      <x:c r="U412" s="7"/>
      <x:c r="V412" s="7"/>
      <x:c r="W412" s="9"/>
      <x:c r="X412" s="7"/>
      <x:c r="Y412" s="9"/>
      <x:c r="Z412" s="8"/>
      <x:c r="AA412" s="8"/>
      <x:c r="AB412" s="7"/>
      <x:c r="AC412" s="7"/>
      <x:c r="AD412" s="13"/>
      <x:c r="AE412" s="7"/>
      <x:c r="AF412" s="7"/>
      <x:c r="AG412" s="7"/>
      <x:c r="AH412" s="7"/>
      <x:c r="AI412" s="7"/>
      <x:c r="AJ412" s="9" t="str">
        <x:f>IF($A412="","",SUMIF(Sales_Items!$A$2:$A$501,$A412,Sales_Items!$O$2:$O$501))</x:f>
      </x:c>
      <x:c r="AK412" s="9" t="str">
        <x:f>IF($A412="","",$AJ412*$L412/100)</x:f>
      </x:c>
      <x:c r="AL412" s="9" t="str">
        <x:f>IF($A412="","",MAX(0,$AJ412-$AK412))</x:f>
      </x:c>
      <x:c r="AM412" s="9" t="str">
        <x:f>IF($A412="","",MAX(0,$AL412*$M412/100))</x:f>
      </x:c>
      <x:c r="AN412" s="9" t="str">
        <x:f>IF($A412="","",MAX(0,$AL412*$N412/100))</x:f>
      </x:c>
      <x:c r="AO412" s="9" t="str">
        <x:f>IF($A412="","",MAX(0,$AL412*$O412/100))</x:f>
      </x:c>
      <x:c r="AP412" s="9" t="str">
        <x:f>IF($A412="","",MAX(0,$AL412+$AM412+$P412+$W412-$AN412-$AO412-$Q412))</x:f>
      </x:c>
    </x:row>
    <x:row r="413">
      <x:c r="A413" s="13"/>
      <x:c r="B413" s="7"/>
      <x:c r="C413" s="13"/>
      <x:c r="D413" s="14"/>
      <x:c r="E413" s="8"/>
      <x:c r="F413" s="13"/>
      <x:c r="G413" s="7"/>
      <x:c r="H413" s="7"/>
      <x:c r="I413" s="7"/>
      <x:c r="J413" s="13"/>
      <x:c r="K413" s="16"/>
      <x:c r="L413" s="10"/>
      <x:c r="M413" s="10"/>
      <x:c r="N413" s="10"/>
      <x:c r="O413" s="10"/>
      <x:c r="P413" s="9"/>
      <x:c r="Q413" s="9"/>
      <x:c r="R413" s="7"/>
      <x:c r="S413" s="7"/>
      <x:c r="T413" s="7"/>
      <x:c r="U413" s="7"/>
      <x:c r="V413" s="7"/>
      <x:c r="W413" s="9"/>
      <x:c r="X413" s="7"/>
      <x:c r="Y413" s="9"/>
      <x:c r="Z413" s="8"/>
      <x:c r="AA413" s="8"/>
      <x:c r="AB413" s="7"/>
      <x:c r="AC413" s="7"/>
      <x:c r="AD413" s="13"/>
      <x:c r="AE413" s="7"/>
      <x:c r="AF413" s="7"/>
      <x:c r="AG413" s="7"/>
      <x:c r="AH413" s="7"/>
      <x:c r="AI413" s="7"/>
      <x:c r="AJ413" s="9" t="str">
        <x:f>IF($A413="","",SUMIF(Sales_Items!$A$2:$A$501,$A413,Sales_Items!$O$2:$O$501))</x:f>
      </x:c>
      <x:c r="AK413" s="9" t="str">
        <x:f>IF($A413="","",$AJ413*$L413/100)</x:f>
      </x:c>
      <x:c r="AL413" s="9" t="str">
        <x:f>IF($A413="","",MAX(0,$AJ413-$AK413))</x:f>
      </x:c>
      <x:c r="AM413" s="9" t="str">
        <x:f>IF($A413="","",MAX(0,$AL413*$M413/100))</x:f>
      </x:c>
      <x:c r="AN413" s="9" t="str">
        <x:f>IF($A413="","",MAX(0,$AL413*$N413/100))</x:f>
      </x:c>
      <x:c r="AO413" s="9" t="str">
        <x:f>IF($A413="","",MAX(0,$AL413*$O413/100))</x:f>
      </x:c>
      <x:c r="AP413" s="9" t="str">
        <x:f>IF($A413="","",MAX(0,$AL413+$AM413+$P413+$W413-$AN413-$AO413-$Q413))</x:f>
      </x:c>
    </x:row>
    <x:row r="414">
      <x:c r="A414" s="13"/>
      <x:c r="B414" s="7"/>
      <x:c r="C414" s="13"/>
      <x:c r="D414" s="14"/>
      <x:c r="E414" s="8"/>
      <x:c r="F414" s="13"/>
      <x:c r="G414" s="7"/>
      <x:c r="H414" s="7"/>
      <x:c r="I414" s="7"/>
      <x:c r="J414" s="13"/>
      <x:c r="K414" s="16"/>
      <x:c r="L414" s="10"/>
      <x:c r="M414" s="10"/>
      <x:c r="N414" s="10"/>
      <x:c r="O414" s="10"/>
      <x:c r="P414" s="9"/>
      <x:c r="Q414" s="9"/>
      <x:c r="R414" s="7"/>
      <x:c r="S414" s="7"/>
      <x:c r="T414" s="7"/>
      <x:c r="U414" s="7"/>
      <x:c r="V414" s="7"/>
      <x:c r="W414" s="9"/>
      <x:c r="X414" s="7"/>
      <x:c r="Y414" s="9"/>
      <x:c r="Z414" s="8"/>
      <x:c r="AA414" s="8"/>
      <x:c r="AB414" s="7"/>
      <x:c r="AC414" s="7"/>
      <x:c r="AD414" s="13"/>
      <x:c r="AE414" s="7"/>
      <x:c r="AF414" s="7"/>
      <x:c r="AG414" s="7"/>
      <x:c r="AH414" s="7"/>
      <x:c r="AI414" s="7"/>
      <x:c r="AJ414" s="9" t="str">
        <x:f>IF($A414="","",SUMIF(Sales_Items!$A$2:$A$501,$A414,Sales_Items!$O$2:$O$501))</x:f>
      </x:c>
      <x:c r="AK414" s="9" t="str">
        <x:f>IF($A414="","",$AJ414*$L414/100)</x:f>
      </x:c>
      <x:c r="AL414" s="9" t="str">
        <x:f>IF($A414="","",MAX(0,$AJ414-$AK414))</x:f>
      </x:c>
      <x:c r="AM414" s="9" t="str">
        <x:f>IF($A414="","",MAX(0,$AL414*$M414/100))</x:f>
      </x:c>
      <x:c r="AN414" s="9" t="str">
        <x:f>IF($A414="","",MAX(0,$AL414*$N414/100))</x:f>
      </x:c>
      <x:c r="AO414" s="9" t="str">
        <x:f>IF($A414="","",MAX(0,$AL414*$O414/100))</x:f>
      </x:c>
      <x:c r="AP414" s="9" t="str">
        <x:f>IF($A414="","",MAX(0,$AL414+$AM414+$P414+$W414-$AN414-$AO414-$Q414))</x:f>
      </x:c>
    </x:row>
    <x:row r="415">
      <x:c r="A415" s="13"/>
      <x:c r="B415" s="7"/>
      <x:c r="C415" s="13"/>
      <x:c r="D415" s="14"/>
      <x:c r="E415" s="8"/>
      <x:c r="F415" s="13"/>
      <x:c r="G415" s="7"/>
      <x:c r="H415" s="7"/>
      <x:c r="I415" s="7"/>
      <x:c r="J415" s="13"/>
      <x:c r="K415" s="16"/>
      <x:c r="L415" s="10"/>
      <x:c r="M415" s="10"/>
      <x:c r="N415" s="10"/>
      <x:c r="O415" s="10"/>
      <x:c r="P415" s="9"/>
      <x:c r="Q415" s="9"/>
      <x:c r="R415" s="7"/>
      <x:c r="S415" s="7"/>
      <x:c r="T415" s="7"/>
      <x:c r="U415" s="7"/>
      <x:c r="V415" s="7"/>
      <x:c r="W415" s="9"/>
      <x:c r="X415" s="7"/>
      <x:c r="Y415" s="9"/>
      <x:c r="Z415" s="8"/>
      <x:c r="AA415" s="8"/>
      <x:c r="AB415" s="7"/>
      <x:c r="AC415" s="7"/>
      <x:c r="AD415" s="13"/>
      <x:c r="AE415" s="7"/>
      <x:c r="AF415" s="7"/>
      <x:c r="AG415" s="7"/>
      <x:c r="AH415" s="7"/>
      <x:c r="AI415" s="7"/>
      <x:c r="AJ415" s="9" t="str">
        <x:f>IF($A415="","",SUMIF(Sales_Items!$A$2:$A$501,$A415,Sales_Items!$O$2:$O$501))</x:f>
      </x:c>
      <x:c r="AK415" s="9" t="str">
        <x:f>IF($A415="","",$AJ415*$L415/100)</x:f>
      </x:c>
      <x:c r="AL415" s="9" t="str">
        <x:f>IF($A415="","",MAX(0,$AJ415-$AK415))</x:f>
      </x:c>
      <x:c r="AM415" s="9" t="str">
        <x:f>IF($A415="","",MAX(0,$AL415*$M415/100))</x:f>
      </x:c>
      <x:c r="AN415" s="9" t="str">
        <x:f>IF($A415="","",MAX(0,$AL415*$N415/100))</x:f>
      </x:c>
      <x:c r="AO415" s="9" t="str">
        <x:f>IF($A415="","",MAX(0,$AL415*$O415/100))</x:f>
      </x:c>
      <x:c r="AP415" s="9" t="str">
        <x:f>IF($A415="","",MAX(0,$AL415+$AM415+$P415+$W415-$AN415-$AO415-$Q415))</x:f>
      </x:c>
    </x:row>
    <x:row r="416">
      <x:c r="A416" s="13"/>
      <x:c r="B416" s="7"/>
      <x:c r="C416" s="13"/>
      <x:c r="D416" s="14"/>
      <x:c r="E416" s="8"/>
      <x:c r="F416" s="13"/>
      <x:c r="G416" s="7"/>
      <x:c r="H416" s="7"/>
      <x:c r="I416" s="7"/>
      <x:c r="J416" s="13"/>
      <x:c r="K416" s="16"/>
      <x:c r="L416" s="10"/>
      <x:c r="M416" s="10"/>
      <x:c r="N416" s="10"/>
      <x:c r="O416" s="10"/>
      <x:c r="P416" s="9"/>
      <x:c r="Q416" s="9"/>
      <x:c r="R416" s="7"/>
      <x:c r="S416" s="7"/>
      <x:c r="T416" s="7"/>
      <x:c r="U416" s="7"/>
      <x:c r="V416" s="7"/>
      <x:c r="W416" s="9"/>
      <x:c r="X416" s="7"/>
      <x:c r="Y416" s="9"/>
      <x:c r="Z416" s="8"/>
      <x:c r="AA416" s="8"/>
      <x:c r="AB416" s="7"/>
      <x:c r="AC416" s="7"/>
      <x:c r="AD416" s="13"/>
      <x:c r="AE416" s="7"/>
      <x:c r="AF416" s="7"/>
      <x:c r="AG416" s="7"/>
      <x:c r="AH416" s="7"/>
      <x:c r="AI416" s="7"/>
      <x:c r="AJ416" s="9" t="str">
        <x:f>IF($A416="","",SUMIF(Sales_Items!$A$2:$A$501,$A416,Sales_Items!$O$2:$O$501))</x:f>
      </x:c>
      <x:c r="AK416" s="9" t="str">
        <x:f>IF($A416="","",$AJ416*$L416/100)</x:f>
      </x:c>
      <x:c r="AL416" s="9" t="str">
        <x:f>IF($A416="","",MAX(0,$AJ416-$AK416))</x:f>
      </x:c>
      <x:c r="AM416" s="9" t="str">
        <x:f>IF($A416="","",MAX(0,$AL416*$M416/100))</x:f>
      </x:c>
      <x:c r="AN416" s="9" t="str">
        <x:f>IF($A416="","",MAX(0,$AL416*$N416/100))</x:f>
      </x:c>
      <x:c r="AO416" s="9" t="str">
        <x:f>IF($A416="","",MAX(0,$AL416*$O416/100))</x:f>
      </x:c>
      <x:c r="AP416" s="9" t="str">
        <x:f>IF($A416="","",MAX(0,$AL416+$AM416+$P416+$W416-$AN416-$AO416-$Q416))</x:f>
      </x:c>
    </x:row>
    <x:row r="417">
      <x:c r="A417" s="13"/>
      <x:c r="B417" s="7"/>
      <x:c r="C417" s="13"/>
      <x:c r="D417" s="14"/>
      <x:c r="E417" s="8"/>
      <x:c r="F417" s="13"/>
      <x:c r="G417" s="7"/>
      <x:c r="H417" s="7"/>
      <x:c r="I417" s="7"/>
      <x:c r="J417" s="13"/>
      <x:c r="K417" s="16"/>
      <x:c r="L417" s="10"/>
      <x:c r="M417" s="10"/>
      <x:c r="N417" s="10"/>
      <x:c r="O417" s="10"/>
      <x:c r="P417" s="9"/>
      <x:c r="Q417" s="9"/>
      <x:c r="R417" s="7"/>
      <x:c r="S417" s="7"/>
      <x:c r="T417" s="7"/>
      <x:c r="U417" s="7"/>
      <x:c r="V417" s="7"/>
      <x:c r="W417" s="9"/>
      <x:c r="X417" s="7"/>
      <x:c r="Y417" s="9"/>
      <x:c r="Z417" s="8"/>
      <x:c r="AA417" s="8"/>
      <x:c r="AB417" s="7"/>
      <x:c r="AC417" s="7"/>
      <x:c r="AD417" s="13"/>
      <x:c r="AE417" s="7"/>
      <x:c r="AF417" s="7"/>
      <x:c r="AG417" s="7"/>
      <x:c r="AH417" s="7"/>
      <x:c r="AI417" s="7"/>
      <x:c r="AJ417" s="9" t="str">
        <x:f>IF($A417="","",SUMIF(Sales_Items!$A$2:$A$501,$A417,Sales_Items!$O$2:$O$501))</x:f>
      </x:c>
      <x:c r="AK417" s="9" t="str">
        <x:f>IF($A417="","",$AJ417*$L417/100)</x:f>
      </x:c>
      <x:c r="AL417" s="9" t="str">
        <x:f>IF($A417="","",MAX(0,$AJ417-$AK417))</x:f>
      </x:c>
      <x:c r="AM417" s="9" t="str">
        <x:f>IF($A417="","",MAX(0,$AL417*$M417/100))</x:f>
      </x:c>
      <x:c r="AN417" s="9" t="str">
        <x:f>IF($A417="","",MAX(0,$AL417*$N417/100))</x:f>
      </x:c>
      <x:c r="AO417" s="9" t="str">
        <x:f>IF($A417="","",MAX(0,$AL417*$O417/100))</x:f>
      </x:c>
      <x:c r="AP417" s="9" t="str">
        <x:f>IF($A417="","",MAX(0,$AL417+$AM417+$P417+$W417-$AN417-$AO417-$Q417))</x:f>
      </x:c>
    </x:row>
    <x:row r="418">
      <x:c r="A418" s="13"/>
      <x:c r="B418" s="7"/>
      <x:c r="C418" s="13"/>
      <x:c r="D418" s="14"/>
      <x:c r="E418" s="8"/>
      <x:c r="F418" s="13"/>
      <x:c r="G418" s="7"/>
      <x:c r="H418" s="7"/>
      <x:c r="I418" s="7"/>
      <x:c r="J418" s="13"/>
      <x:c r="K418" s="16"/>
      <x:c r="L418" s="10"/>
      <x:c r="M418" s="10"/>
      <x:c r="N418" s="10"/>
      <x:c r="O418" s="10"/>
      <x:c r="P418" s="9"/>
      <x:c r="Q418" s="9"/>
      <x:c r="R418" s="7"/>
      <x:c r="S418" s="7"/>
      <x:c r="T418" s="7"/>
      <x:c r="U418" s="7"/>
      <x:c r="V418" s="7"/>
      <x:c r="W418" s="9"/>
      <x:c r="X418" s="7"/>
      <x:c r="Y418" s="9"/>
      <x:c r="Z418" s="8"/>
      <x:c r="AA418" s="8"/>
      <x:c r="AB418" s="7"/>
      <x:c r="AC418" s="7"/>
      <x:c r="AD418" s="13"/>
      <x:c r="AE418" s="7"/>
      <x:c r="AF418" s="7"/>
      <x:c r="AG418" s="7"/>
      <x:c r="AH418" s="7"/>
      <x:c r="AI418" s="7"/>
      <x:c r="AJ418" s="9" t="str">
        <x:f>IF($A418="","",SUMIF(Sales_Items!$A$2:$A$501,$A418,Sales_Items!$O$2:$O$501))</x:f>
      </x:c>
      <x:c r="AK418" s="9" t="str">
        <x:f>IF($A418="","",$AJ418*$L418/100)</x:f>
      </x:c>
      <x:c r="AL418" s="9" t="str">
        <x:f>IF($A418="","",MAX(0,$AJ418-$AK418))</x:f>
      </x:c>
      <x:c r="AM418" s="9" t="str">
        <x:f>IF($A418="","",MAX(0,$AL418*$M418/100))</x:f>
      </x:c>
      <x:c r="AN418" s="9" t="str">
        <x:f>IF($A418="","",MAX(0,$AL418*$N418/100))</x:f>
      </x:c>
      <x:c r="AO418" s="9" t="str">
        <x:f>IF($A418="","",MAX(0,$AL418*$O418/100))</x:f>
      </x:c>
      <x:c r="AP418" s="9" t="str">
        <x:f>IF($A418="","",MAX(0,$AL418+$AM418+$P418+$W418-$AN418-$AO418-$Q418))</x:f>
      </x:c>
    </x:row>
    <x:row r="419">
      <x:c r="A419" s="13"/>
      <x:c r="B419" s="7"/>
      <x:c r="C419" s="13"/>
      <x:c r="D419" s="14"/>
      <x:c r="E419" s="8"/>
      <x:c r="F419" s="13"/>
      <x:c r="G419" s="7"/>
      <x:c r="H419" s="7"/>
      <x:c r="I419" s="7"/>
      <x:c r="J419" s="13"/>
      <x:c r="K419" s="16"/>
      <x:c r="L419" s="10"/>
      <x:c r="M419" s="10"/>
      <x:c r="N419" s="10"/>
      <x:c r="O419" s="10"/>
      <x:c r="P419" s="9"/>
      <x:c r="Q419" s="9"/>
      <x:c r="R419" s="7"/>
      <x:c r="S419" s="7"/>
      <x:c r="T419" s="7"/>
      <x:c r="U419" s="7"/>
      <x:c r="V419" s="7"/>
      <x:c r="W419" s="9"/>
      <x:c r="X419" s="7"/>
      <x:c r="Y419" s="9"/>
      <x:c r="Z419" s="8"/>
      <x:c r="AA419" s="8"/>
      <x:c r="AB419" s="7"/>
      <x:c r="AC419" s="7"/>
      <x:c r="AD419" s="13"/>
      <x:c r="AE419" s="7"/>
      <x:c r="AF419" s="7"/>
      <x:c r="AG419" s="7"/>
      <x:c r="AH419" s="7"/>
      <x:c r="AI419" s="7"/>
      <x:c r="AJ419" s="9" t="str">
        <x:f>IF($A419="","",SUMIF(Sales_Items!$A$2:$A$501,$A419,Sales_Items!$O$2:$O$501))</x:f>
      </x:c>
      <x:c r="AK419" s="9" t="str">
        <x:f>IF($A419="","",$AJ419*$L419/100)</x:f>
      </x:c>
      <x:c r="AL419" s="9" t="str">
        <x:f>IF($A419="","",MAX(0,$AJ419-$AK419))</x:f>
      </x:c>
      <x:c r="AM419" s="9" t="str">
        <x:f>IF($A419="","",MAX(0,$AL419*$M419/100))</x:f>
      </x:c>
      <x:c r="AN419" s="9" t="str">
        <x:f>IF($A419="","",MAX(0,$AL419*$N419/100))</x:f>
      </x:c>
      <x:c r="AO419" s="9" t="str">
        <x:f>IF($A419="","",MAX(0,$AL419*$O419/100))</x:f>
      </x:c>
      <x:c r="AP419" s="9" t="str">
        <x:f>IF($A419="","",MAX(0,$AL419+$AM419+$P419+$W419-$AN419-$AO419-$Q419))</x:f>
      </x:c>
    </x:row>
    <x:row r="420">
      <x:c r="A420" s="13"/>
      <x:c r="B420" s="7"/>
      <x:c r="C420" s="13"/>
      <x:c r="D420" s="14"/>
      <x:c r="E420" s="8"/>
      <x:c r="F420" s="13"/>
      <x:c r="G420" s="7"/>
      <x:c r="H420" s="7"/>
      <x:c r="I420" s="7"/>
      <x:c r="J420" s="13"/>
      <x:c r="K420" s="16"/>
      <x:c r="L420" s="10"/>
      <x:c r="M420" s="10"/>
      <x:c r="N420" s="10"/>
      <x:c r="O420" s="10"/>
      <x:c r="P420" s="9"/>
      <x:c r="Q420" s="9"/>
      <x:c r="R420" s="7"/>
      <x:c r="S420" s="7"/>
      <x:c r="T420" s="7"/>
      <x:c r="U420" s="7"/>
      <x:c r="V420" s="7"/>
      <x:c r="W420" s="9"/>
      <x:c r="X420" s="7"/>
      <x:c r="Y420" s="9"/>
      <x:c r="Z420" s="8"/>
      <x:c r="AA420" s="8"/>
      <x:c r="AB420" s="7"/>
      <x:c r="AC420" s="7"/>
      <x:c r="AD420" s="13"/>
      <x:c r="AE420" s="7"/>
      <x:c r="AF420" s="7"/>
      <x:c r="AG420" s="7"/>
      <x:c r="AH420" s="7"/>
      <x:c r="AI420" s="7"/>
      <x:c r="AJ420" s="9" t="str">
        <x:f>IF($A420="","",SUMIF(Sales_Items!$A$2:$A$501,$A420,Sales_Items!$O$2:$O$501))</x:f>
      </x:c>
      <x:c r="AK420" s="9" t="str">
        <x:f>IF($A420="","",$AJ420*$L420/100)</x:f>
      </x:c>
      <x:c r="AL420" s="9" t="str">
        <x:f>IF($A420="","",MAX(0,$AJ420-$AK420))</x:f>
      </x:c>
      <x:c r="AM420" s="9" t="str">
        <x:f>IF($A420="","",MAX(0,$AL420*$M420/100))</x:f>
      </x:c>
      <x:c r="AN420" s="9" t="str">
        <x:f>IF($A420="","",MAX(0,$AL420*$N420/100))</x:f>
      </x:c>
      <x:c r="AO420" s="9" t="str">
        <x:f>IF($A420="","",MAX(0,$AL420*$O420/100))</x:f>
      </x:c>
      <x:c r="AP420" s="9" t="str">
        <x:f>IF($A420="","",MAX(0,$AL420+$AM420+$P420+$W420-$AN420-$AO420-$Q420))</x:f>
      </x:c>
    </x:row>
    <x:row r="421">
      <x:c r="A421" s="13"/>
      <x:c r="B421" s="7"/>
      <x:c r="C421" s="13"/>
      <x:c r="D421" s="14"/>
      <x:c r="E421" s="8"/>
      <x:c r="F421" s="13"/>
      <x:c r="G421" s="7"/>
      <x:c r="H421" s="7"/>
      <x:c r="I421" s="7"/>
      <x:c r="J421" s="13"/>
      <x:c r="K421" s="16"/>
      <x:c r="L421" s="10"/>
      <x:c r="M421" s="10"/>
      <x:c r="N421" s="10"/>
      <x:c r="O421" s="10"/>
      <x:c r="P421" s="9"/>
      <x:c r="Q421" s="9"/>
      <x:c r="R421" s="7"/>
      <x:c r="S421" s="7"/>
      <x:c r="T421" s="7"/>
      <x:c r="U421" s="7"/>
      <x:c r="V421" s="7"/>
      <x:c r="W421" s="9"/>
      <x:c r="X421" s="7"/>
      <x:c r="Y421" s="9"/>
      <x:c r="Z421" s="8"/>
      <x:c r="AA421" s="8"/>
      <x:c r="AB421" s="7"/>
      <x:c r="AC421" s="7"/>
      <x:c r="AD421" s="13"/>
      <x:c r="AE421" s="7"/>
      <x:c r="AF421" s="7"/>
      <x:c r="AG421" s="7"/>
      <x:c r="AH421" s="7"/>
      <x:c r="AI421" s="7"/>
      <x:c r="AJ421" s="9" t="str">
        <x:f>IF($A421="","",SUMIF(Sales_Items!$A$2:$A$501,$A421,Sales_Items!$O$2:$O$501))</x:f>
      </x:c>
      <x:c r="AK421" s="9" t="str">
        <x:f>IF($A421="","",$AJ421*$L421/100)</x:f>
      </x:c>
      <x:c r="AL421" s="9" t="str">
        <x:f>IF($A421="","",MAX(0,$AJ421-$AK421))</x:f>
      </x:c>
      <x:c r="AM421" s="9" t="str">
        <x:f>IF($A421="","",MAX(0,$AL421*$M421/100))</x:f>
      </x:c>
      <x:c r="AN421" s="9" t="str">
        <x:f>IF($A421="","",MAX(0,$AL421*$N421/100))</x:f>
      </x:c>
      <x:c r="AO421" s="9" t="str">
        <x:f>IF($A421="","",MAX(0,$AL421*$O421/100))</x:f>
      </x:c>
      <x:c r="AP421" s="9" t="str">
        <x:f>IF($A421="","",MAX(0,$AL421+$AM421+$P421+$W421-$AN421-$AO421-$Q421))</x:f>
      </x:c>
    </x:row>
    <x:row r="422">
      <x:c r="A422" s="13"/>
      <x:c r="B422" s="7"/>
      <x:c r="C422" s="13"/>
      <x:c r="D422" s="14"/>
      <x:c r="E422" s="8"/>
      <x:c r="F422" s="13"/>
      <x:c r="G422" s="7"/>
      <x:c r="H422" s="7"/>
      <x:c r="I422" s="7"/>
      <x:c r="J422" s="13"/>
      <x:c r="K422" s="16"/>
      <x:c r="L422" s="10"/>
      <x:c r="M422" s="10"/>
      <x:c r="N422" s="10"/>
      <x:c r="O422" s="10"/>
      <x:c r="P422" s="9"/>
      <x:c r="Q422" s="9"/>
      <x:c r="R422" s="7"/>
      <x:c r="S422" s="7"/>
      <x:c r="T422" s="7"/>
      <x:c r="U422" s="7"/>
      <x:c r="V422" s="7"/>
      <x:c r="W422" s="9"/>
      <x:c r="X422" s="7"/>
      <x:c r="Y422" s="9"/>
      <x:c r="Z422" s="8"/>
      <x:c r="AA422" s="8"/>
      <x:c r="AB422" s="7"/>
      <x:c r="AC422" s="7"/>
      <x:c r="AD422" s="13"/>
      <x:c r="AE422" s="7"/>
      <x:c r="AF422" s="7"/>
      <x:c r="AG422" s="7"/>
      <x:c r="AH422" s="7"/>
      <x:c r="AI422" s="7"/>
      <x:c r="AJ422" s="9" t="str">
        <x:f>IF($A422="","",SUMIF(Sales_Items!$A$2:$A$501,$A422,Sales_Items!$O$2:$O$501))</x:f>
      </x:c>
      <x:c r="AK422" s="9" t="str">
        <x:f>IF($A422="","",$AJ422*$L422/100)</x:f>
      </x:c>
      <x:c r="AL422" s="9" t="str">
        <x:f>IF($A422="","",MAX(0,$AJ422-$AK422))</x:f>
      </x:c>
      <x:c r="AM422" s="9" t="str">
        <x:f>IF($A422="","",MAX(0,$AL422*$M422/100))</x:f>
      </x:c>
      <x:c r="AN422" s="9" t="str">
        <x:f>IF($A422="","",MAX(0,$AL422*$N422/100))</x:f>
      </x:c>
      <x:c r="AO422" s="9" t="str">
        <x:f>IF($A422="","",MAX(0,$AL422*$O422/100))</x:f>
      </x:c>
      <x:c r="AP422" s="9" t="str">
        <x:f>IF($A422="","",MAX(0,$AL422+$AM422+$P422+$W422-$AN422-$AO422-$Q422))</x:f>
      </x:c>
    </x:row>
    <x:row r="423">
      <x:c r="A423" s="13"/>
      <x:c r="B423" s="7"/>
      <x:c r="C423" s="13"/>
      <x:c r="D423" s="14"/>
      <x:c r="E423" s="8"/>
      <x:c r="F423" s="13"/>
      <x:c r="G423" s="7"/>
      <x:c r="H423" s="7"/>
      <x:c r="I423" s="7"/>
      <x:c r="J423" s="13"/>
      <x:c r="K423" s="16"/>
      <x:c r="L423" s="10"/>
      <x:c r="M423" s="10"/>
      <x:c r="N423" s="10"/>
      <x:c r="O423" s="10"/>
      <x:c r="P423" s="9"/>
      <x:c r="Q423" s="9"/>
      <x:c r="R423" s="7"/>
      <x:c r="S423" s="7"/>
      <x:c r="T423" s="7"/>
      <x:c r="U423" s="7"/>
      <x:c r="V423" s="7"/>
      <x:c r="W423" s="9"/>
      <x:c r="X423" s="7"/>
      <x:c r="Y423" s="9"/>
      <x:c r="Z423" s="8"/>
      <x:c r="AA423" s="8"/>
      <x:c r="AB423" s="7"/>
      <x:c r="AC423" s="7"/>
      <x:c r="AD423" s="13"/>
      <x:c r="AE423" s="7"/>
      <x:c r="AF423" s="7"/>
      <x:c r="AG423" s="7"/>
      <x:c r="AH423" s="7"/>
      <x:c r="AI423" s="7"/>
      <x:c r="AJ423" s="9" t="str">
        <x:f>IF($A423="","",SUMIF(Sales_Items!$A$2:$A$501,$A423,Sales_Items!$O$2:$O$501))</x:f>
      </x:c>
      <x:c r="AK423" s="9" t="str">
        <x:f>IF($A423="","",$AJ423*$L423/100)</x:f>
      </x:c>
      <x:c r="AL423" s="9" t="str">
        <x:f>IF($A423="","",MAX(0,$AJ423-$AK423))</x:f>
      </x:c>
      <x:c r="AM423" s="9" t="str">
        <x:f>IF($A423="","",MAX(0,$AL423*$M423/100))</x:f>
      </x:c>
      <x:c r="AN423" s="9" t="str">
        <x:f>IF($A423="","",MAX(0,$AL423*$N423/100))</x:f>
      </x:c>
      <x:c r="AO423" s="9" t="str">
        <x:f>IF($A423="","",MAX(0,$AL423*$O423/100))</x:f>
      </x:c>
      <x:c r="AP423" s="9" t="str">
        <x:f>IF($A423="","",MAX(0,$AL423+$AM423+$P423+$W423-$AN423-$AO423-$Q423))</x:f>
      </x:c>
    </x:row>
    <x:row r="424">
      <x:c r="A424" s="13"/>
      <x:c r="B424" s="7"/>
      <x:c r="C424" s="13"/>
      <x:c r="D424" s="14"/>
      <x:c r="E424" s="8"/>
      <x:c r="F424" s="13"/>
      <x:c r="G424" s="7"/>
      <x:c r="H424" s="7"/>
      <x:c r="I424" s="7"/>
      <x:c r="J424" s="13"/>
      <x:c r="K424" s="16"/>
      <x:c r="L424" s="10"/>
      <x:c r="M424" s="10"/>
      <x:c r="N424" s="10"/>
      <x:c r="O424" s="10"/>
      <x:c r="P424" s="9"/>
      <x:c r="Q424" s="9"/>
      <x:c r="R424" s="7"/>
      <x:c r="S424" s="7"/>
      <x:c r="T424" s="7"/>
      <x:c r="U424" s="7"/>
      <x:c r="V424" s="7"/>
      <x:c r="W424" s="9"/>
      <x:c r="X424" s="7"/>
      <x:c r="Y424" s="9"/>
      <x:c r="Z424" s="8"/>
      <x:c r="AA424" s="8"/>
      <x:c r="AB424" s="7"/>
      <x:c r="AC424" s="7"/>
      <x:c r="AD424" s="13"/>
      <x:c r="AE424" s="7"/>
      <x:c r="AF424" s="7"/>
      <x:c r="AG424" s="7"/>
      <x:c r="AH424" s="7"/>
      <x:c r="AI424" s="7"/>
      <x:c r="AJ424" s="9" t="str">
        <x:f>IF($A424="","",SUMIF(Sales_Items!$A$2:$A$501,$A424,Sales_Items!$O$2:$O$501))</x:f>
      </x:c>
      <x:c r="AK424" s="9" t="str">
        <x:f>IF($A424="","",$AJ424*$L424/100)</x:f>
      </x:c>
      <x:c r="AL424" s="9" t="str">
        <x:f>IF($A424="","",MAX(0,$AJ424-$AK424))</x:f>
      </x:c>
      <x:c r="AM424" s="9" t="str">
        <x:f>IF($A424="","",MAX(0,$AL424*$M424/100))</x:f>
      </x:c>
      <x:c r="AN424" s="9" t="str">
        <x:f>IF($A424="","",MAX(0,$AL424*$N424/100))</x:f>
      </x:c>
      <x:c r="AO424" s="9" t="str">
        <x:f>IF($A424="","",MAX(0,$AL424*$O424/100))</x:f>
      </x:c>
      <x:c r="AP424" s="9" t="str">
        <x:f>IF($A424="","",MAX(0,$AL424+$AM424+$P424+$W424-$AN424-$AO424-$Q424))</x:f>
      </x:c>
    </x:row>
    <x:row r="425">
      <x:c r="A425" s="13"/>
      <x:c r="B425" s="7"/>
      <x:c r="C425" s="13"/>
      <x:c r="D425" s="14"/>
      <x:c r="E425" s="8"/>
      <x:c r="F425" s="13"/>
      <x:c r="G425" s="7"/>
      <x:c r="H425" s="7"/>
      <x:c r="I425" s="7"/>
      <x:c r="J425" s="13"/>
      <x:c r="K425" s="16"/>
      <x:c r="L425" s="10"/>
      <x:c r="M425" s="10"/>
      <x:c r="N425" s="10"/>
      <x:c r="O425" s="10"/>
      <x:c r="P425" s="9"/>
      <x:c r="Q425" s="9"/>
      <x:c r="R425" s="7"/>
      <x:c r="S425" s="7"/>
      <x:c r="T425" s="7"/>
      <x:c r="U425" s="7"/>
      <x:c r="V425" s="7"/>
      <x:c r="W425" s="9"/>
      <x:c r="X425" s="7"/>
      <x:c r="Y425" s="9"/>
      <x:c r="Z425" s="8"/>
      <x:c r="AA425" s="8"/>
      <x:c r="AB425" s="7"/>
      <x:c r="AC425" s="7"/>
      <x:c r="AD425" s="13"/>
      <x:c r="AE425" s="7"/>
      <x:c r="AF425" s="7"/>
      <x:c r="AG425" s="7"/>
      <x:c r="AH425" s="7"/>
      <x:c r="AI425" s="7"/>
      <x:c r="AJ425" s="9" t="str">
        <x:f>IF($A425="","",SUMIF(Sales_Items!$A$2:$A$501,$A425,Sales_Items!$O$2:$O$501))</x:f>
      </x:c>
      <x:c r="AK425" s="9" t="str">
        <x:f>IF($A425="","",$AJ425*$L425/100)</x:f>
      </x:c>
      <x:c r="AL425" s="9" t="str">
        <x:f>IF($A425="","",MAX(0,$AJ425-$AK425))</x:f>
      </x:c>
      <x:c r="AM425" s="9" t="str">
        <x:f>IF($A425="","",MAX(0,$AL425*$M425/100))</x:f>
      </x:c>
      <x:c r="AN425" s="9" t="str">
        <x:f>IF($A425="","",MAX(0,$AL425*$N425/100))</x:f>
      </x:c>
      <x:c r="AO425" s="9" t="str">
        <x:f>IF($A425="","",MAX(0,$AL425*$O425/100))</x:f>
      </x:c>
      <x:c r="AP425" s="9" t="str">
        <x:f>IF($A425="","",MAX(0,$AL425+$AM425+$P425+$W425-$AN425-$AO425-$Q425))</x:f>
      </x:c>
    </x:row>
    <x:row r="426">
      <x:c r="A426" s="13"/>
      <x:c r="B426" s="7"/>
      <x:c r="C426" s="13"/>
      <x:c r="D426" s="14"/>
      <x:c r="E426" s="8"/>
      <x:c r="F426" s="13"/>
      <x:c r="G426" s="7"/>
      <x:c r="H426" s="7"/>
      <x:c r="I426" s="7"/>
      <x:c r="J426" s="13"/>
      <x:c r="K426" s="16"/>
      <x:c r="L426" s="10"/>
      <x:c r="M426" s="10"/>
      <x:c r="N426" s="10"/>
      <x:c r="O426" s="10"/>
      <x:c r="P426" s="9"/>
      <x:c r="Q426" s="9"/>
      <x:c r="R426" s="7"/>
      <x:c r="S426" s="7"/>
      <x:c r="T426" s="7"/>
      <x:c r="U426" s="7"/>
      <x:c r="V426" s="7"/>
      <x:c r="W426" s="9"/>
      <x:c r="X426" s="7"/>
      <x:c r="Y426" s="9"/>
      <x:c r="Z426" s="8"/>
      <x:c r="AA426" s="8"/>
      <x:c r="AB426" s="7"/>
      <x:c r="AC426" s="7"/>
      <x:c r="AD426" s="13"/>
      <x:c r="AE426" s="7"/>
      <x:c r="AF426" s="7"/>
      <x:c r="AG426" s="7"/>
      <x:c r="AH426" s="7"/>
      <x:c r="AI426" s="7"/>
      <x:c r="AJ426" s="9" t="str">
        <x:f>IF($A426="","",SUMIF(Sales_Items!$A$2:$A$501,$A426,Sales_Items!$O$2:$O$501))</x:f>
      </x:c>
      <x:c r="AK426" s="9" t="str">
        <x:f>IF($A426="","",$AJ426*$L426/100)</x:f>
      </x:c>
      <x:c r="AL426" s="9" t="str">
        <x:f>IF($A426="","",MAX(0,$AJ426-$AK426))</x:f>
      </x:c>
      <x:c r="AM426" s="9" t="str">
        <x:f>IF($A426="","",MAX(0,$AL426*$M426/100))</x:f>
      </x:c>
      <x:c r="AN426" s="9" t="str">
        <x:f>IF($A426="","",MAX(0,$AL426*$N426/100))</x:f>
      </x:c>
      <x:c r="AO426" s="9" t="str">
        <x:f>IF($A426="","",MAX(0,$AL426*$O426/100))</x:f>
      </x:c>
      <x:c r="AP426" s="9" t="str">
        <x:f>IF($A426="","",MAX(0,$AL426+$AM426+$P426+$W426-$AN426-$AO426-$Q426))</x:f>
      </x:c>
    </x:row>
    <x:row r="427">
      <x:c r="A427" s="13"/>
      <x:c r="B427" s="7"/>
      <x:c r="C427" s="13"/>
      <x:c r="D427" s="14"/>
      <x:c r="E427" s="8"/>
      <x:c r="F427" s="13"/>
      <x:c r="G427" s="7"/>
      <x:c r="H427" s="7"/>
      <x:c r="I427" s="7"/>
      <x:c r="J427" s="13"/>
      <x:c r="K427" s="16"/>
      <x:c r="L427" s="10"/>
      <x:c r="M427" s="10"/>
      <x:c r="N427" s="10"/>
      <x:c r="O427" s="10"/>
      <x:c r="P427" s="9"/>
      <x:c r="Q427" s="9"/>
      <x:c r="R427" s="7"/>
      <x:c r="S427" s="7"/>
      <x:c r="T427" s="7"/>
      <x:c r="U427" s="7"/>
      <x:c r="V427" s="7"/>
      <x:c r="W427" s="9"/>
      <x:c r="X427" s="7"/>
      <x:c r="Y427" s="9"/>
      <x:c r="Z427" s="8"/>
      <x:c r="AA427" s="8"/>
      <x:c r="AB427" s="7"/>
      <x:c r="AC427" s="7"/>
      <x:c r="AD427" s="13"/>
      <x:c r="AE427" s="7"/>
      <x:c r="AF427" s="7"/>
      <x:c r="AG427" s="7"/>
      <x:c r="AH427" s="7"/>
      <x:c r="AI427" s="7"/>
      <x:c r="AJ427" s="9" t="str">
        <x:f>IF($A427="","",SUMIF(Sales_Items!$A$2:$A$501,$A427,Sales_Items!$O$2:$O$501))</x:f>
      </x:c>
      <x:c r="AK427" s="9" t="str">
        <x:f>IF($A427="","",$AJ427*$L427/100)</x:f>
      </x:c>
      <x:c r="AL427" s="9" t="str">
        <x:f>IF($A427="","",MAX(0,$AJ427-$AK427))</x:f>
      </x:c>
      <x:c r="AM427" s="9" t="str">
        <x:f>IF($A427="","",MAX(0,$AL427*$M427/100))</x:f>
      </x:c>
      <x:c r="AN427" s="9" t="str">
        <x:f>IF($A427="","",MAX(0,$AL427*$N427/100))</x:f>
      </x:c>
      <x:c r="AO427" s="9" t="str">
        <x:f>IF($A427="","",MAX(0,$AL427*$O427/100))</x:f>
      </x:c>
      <x:c r="AP427" s="9" t="str">
        <x:f>IF($A427="","",MAX(0,$AL427+$AM427+$P427+$W427-$AN427-$AO427-$Q427))</x:f>
      </x:c>
    </x:row>
    <x:row r="428">
      <x:c r="A428" s="13"/>
      <x:c r="B428" s="7"/>
      <x:c r="C428" s="13"/>
      <x:c r="D428" s="14"/>
      <x:c r="E428" s="8"/>
      <x:c r="F428" s="13"/>
      <x:c r="G428" s="7"/>
      <x:c r="H428" s="7"/>
      <x:c r="I428" s="7"/>
      <x:c r="J428" s="13"/>
      <x:c r="K428" s="16"/>
      <x:c r="L428" s="10"/>
      <x:c r="M428" s="10"/>
      <x:c r="N428" s="10"/>
      <x:c r="O428" s="10"/>
      <x:c r="P428" s="9"/>
      <x:c r="Q428" s="9"/>
      <x:c r="R428" s="7"/>
      <x:c r="S428" s="7"/>
      <x:c r="T428" s="7"/>
      <x:c r="U428" s="7"/>
      <x:c r="V428" s="7"/>
      <x:c r="W428" s="9"/>
      <x:c r="X428" s="7"/>
      <x:c r="Y428" s="9"/>
      <x:c r="Z428" s="8"/>
      <x:c r="AA428" s="8"/>
      <x:c r="AB428" s="7"/>
      <x:c r="AC428" s="7"/>
      <x:c r="AD428" s="13"/>
      <x:c r="AE428" s="7"/>
      <x:c r="AF428" s="7"/>
      <x:c r="AG428" s="7"/>
      <x:c r="AH428" s="7"/>
      <x:c r="AI428" s="7"/>
      <x:c r="AJ428" s="9" t="str">
        <x:f>IF($A428="","",SUMIF(Sales_Items!$A$2:$A$501,$A428,Sales_Items!$O$2:$O$501))</x:f>
      </x:c>
      <x:c r="AK428" s="9" t="str">
        <x:f>IF($A428="","",$AJ428*$L428/100)</x:f>
      </x:c>
      <x:c r="AL428" s="9" t="str">
        <x:f>IF($A428="","",MAX(0,$AJ428-$AK428))</x:f>
      </x:c>
      <x:c r="AM428" s="9" t="str">
        <x:f>IF($A428="","",MAX(0,$AL428*$M428/100))</x:f>
      </x:c>
      <x:c r="AN428" s="9" t="str">
        <x:f>IF($A428="","",MAX(0,$AL428*$N428/100))</x:f>
      </x:c>
      <x:c r="AO428" s="9" t="str">
        <x:f>IF($A428="","",MAX(0,$AL428*$O428/100))</x:f>
      </x:c>
      <x:c r="AP428" s="9" t="str">
        <x:f>IF($A428="","",MAX(0,$AL428+$AM428+$P428+$W428-$AN428-$AO428-$Q428))</x:f>
      </x:c>
    </x:row>
    <x:row r="429">
      <x:c r="A429" s="13"/>
      <x:c r="B429" s="7"/>
      <x:c r="C429" s="13"/>
      <x:c r="D429" s="14"/>
      <x:c r="E429" s="8"/>
      <x:c r="F429" s="13"/>
      <x:c r="G429" s="7"/>
      <x:c r="H429" s="7"/>
      <x:c r="I429" s="7"/>
      <x:c r="J429" s="13"/>
      <x:c r="K429" s="16"/>
      <x:c r="L429" s="10"/>
      <x:c r="M429" s="10"/>
      <x:c r="N429" s="10"/>
      <x:c r="O429" s="10"/>
      <x:c r="P429" s="9"/>
      <x:c r="Q429" s="9"/>
      <x:c r="R429" s="7"/>
      <x:c r="S429" s="7"/>
      <x:c r="T429" s="7"/>
      <x:c r="U429" s="7"/>
      <x:c r="V429" s="7"/>
      <x:c r="W429" s="9"/>
      <x:c r="X429" s="7"/>
      <x:c r="Y429" s="9"/>
      <x:c r="Z429" s="8"/>
      <x:c r="AA429" s="8"/>
      <x:c r="AB429" s="7"/>
      <x:c r="AC429" s="7"/>
      <x:c r="AD429" s="13"/>
      <x:c r="AE429" s="7"/>
      <x:c r="AF429" s="7"/>
      <x:c r="AG429" s="7"/>
      <x:c r="AH429" s="7"/>
      <x:c r="AI429" s="7"/>
      <x:c r="AJ429" s="9" t="str">
        <x:f>IF($A429="","",SUMIF(Sales_Items!$A$2:$A$501,$A429,Sales_Items!$O$2:$O$501))</x:f>
      </x:c>
      <x:c r="AK429" s="9" t="str">
        <x:f>IF($A429="","",$AJ429*$L429/100)</x:f>
      </x:c>
      <x:c r="AL429" s="9" t="str">
        <x:f>IF($A429="","",MAX(0,$AJ429-$AK429))</x:f>
      </x:c>
      <x:c r="AM429" s="9" t="str">
        <x:f>IF($A429="","",MAX(0,$AL429*$M429/100))</x:f>
      </x:c>
      <x:c r="AN429" s="9" t="str">
        <x:f>IF($A429="","",MAX(0,$AL429*$N429/100))</x:f>
      </x:c>
      <x:c r="AO429" s="9" t="str">
        <x:f>IF($A429="","",MAX(0,$AL429*$O429/100))</x:f>
      </x:c>
      <x:c r="AP429" s="9" t="str">
        <x:f>IF($A429="","",MAX(0,$AL429+$AM429+$P429+$W429-$AN429-$AO429-$Q429))</x:f>
      </x:c>
    </x:row>
    <x:row r="430">
      <x:c r="A430" s="13"/>
      <x:c r="B430" s="7"/>
      <x:c r="C430" s="13"/>
      <x:c r="D430" s="14"/>
      <x:c r="E430" s="8"/>
      <x:c r="F430" s="13"/>
      <x:c r="G430" s="7"/>
      <x:c r="H430" s="7"/>
      <x:c r="I430" s="7"/>
      <x:c r="J430" s="13"/>
      <x:c r="K430" s="16"/>
      <x:c r="L430" s="10"/>
      <x:c r="M430" s="10"/>
      <x:c r="N430" s="10"/>
      <x:c r="O430" s="10"/>
      <x:c r="P430" s="9"/>
      <x:c r="Q430" s="9"/>
      <x:c r="R430" s="7"/>
      <x:c r="S430" s="7"/>
      <x:c r="T430" s="7"/>
      <x:c r="U430" s="7"/>
      <x:c r="V430" s="7"/>
      <x:c r="W430" s="9"/>
      <x:c r="X430" s="7"/>
      <x:c r="Y430" s="9"/>
      <x:c r="Z430" s="8"/>
      <x:c r="AA430" s="8"/>
      <x:c r="AB430" s="7"/>
      <x:c r="AC430" s="7"/>
      <x:c r="AD430" s="13"/>
      <x:c r="AE430" s="7"/>
      <x:c r="AF430" s="7"/>
      <x:c r="AG430" s="7"/>
      <x:c r="AH430" s="7"/>
      <x:c r="AI430" s="7"/>
      <x:c r="AJ430" s="9" t="str">
        <x:f>IF($A430="","",SUMIF(Sales_Items!$A$2:$A$501,$A430,Sales_Items!$O$2:$O$501))</x:f>
      </x:c>
      <x:c r="AK430" s="9" t="str">
        <x:f>IF($A430="","",$AJ430*$L430/100)</x:f>
      </x:c>
      <x:c r="AL430" s="9" t="str">
        <x:f>IF($A430="","",MAX(0,$AJ430-$AK430))</x:f>
      </x:c>
      <x:c r="AM430" s="9" t="str">
        <x:f>IF($A430="","",MAX(0,$AL430*$M430/100))</x:f>
      </x:c>
      <x:c r="AN430" s="9" t="str">
        <x:f>IF($A430="","",MAX(0,$AL430*$N430/100))</x:f>
      </x:c>
      <x:c r="AO430" s="9" t="str">
        <x:f>IF($A430="","",MAX(0,$AL430*$O430/100))</x:f>
      </x:c>
      <x:c r="AP430" s="9" t="str">
        <x:f>IF($A430="","",MAX(0,$AL430+$AM430+$P430+$W430-$AN430-$AO430-$Q430))</x:f>
      </x:c>
    </x:row>
    <x:row r="431">
      <x:c r="A431" s="13"/>
      <x:c r="B431" s="7"/>
      <x:c r="C431" s="13"/>
      <x:c r="D431" s="14"/>
      <x:c r="E431" s="8"/>
      <x:c r="F431" s="13"/>
      <x:c r="G431" s="7"/>
      <x:c r="H431" s="7"/>
      <x:c r="I431" s="7"/>
      <x:c r="J431" s="13"/>
      <x:c r="K431" s="16"/>
      <x:c r="L431" s="10"/>
      <x:c r="M431" s="10"/>
      <x:c r="N431" s="10"/>
      <x:c r="O431" s="10"/>
      <x:c r="P431" s="9"/>
      <x:c r="Q431" s="9"/>
      <x:c r="R431" s="7"/>
      <x:c r="S431" s="7"/>
      <x:c r="T431" s="7"/>
      <x:c r="U431" s="7"/>
      <x:c r="V431" s="7"/>
      <x:c r="W431" s="9"/>
      <x:c r="X431" s="7"/>
      <x:c r="Y431" s="9"/>
      <x:c r="Z431" s="8"/>
      <x:c r="AA431" s="8"/>
      <x:c r="AB431" s="7"/>
      <x:c r="AC431" s="7"/>
      <x:c r="AD431" s="13"/>
      <x:c r="AE431" s="7"/>
      <x:c r="AF431" s="7"/>
      <x:c r="AG431" s="7"/>
      <x:c r="AH431" s="7"/>
      <x:c r="AI431" s="7"/>
      <x:c r="AJ431" s="9" t="str">
        <x:f>IF($A431="","",SUMIF(Sales_Items!$A$2:$A$501,$A431,Sales_Items!$O$2:$O$501))</x:f>
      </x:c>
      <x:c r="AK431" s="9" t="str">
        <x:f>IF($A431="","",$AJ431*$L431/100)</x:f>
      </x:c>
      <x:c r="AL431" s="9" t="str">
        <x:f>IF($A431="","",MAX(0,$AJ431-$AK431))</x:f>
      </x:c>
      <x:c r="AM431" s="9" t="str">
        <x:f>IF($A431="","",MAX(0,$AL431*$M431/100))</x:f>
      </x:c>
      <x:c r="AN431" s="9" t="str">
        <x:f>IF($A431="","",MAX(0,$AL431*$N431/100))</x:f>
      </x:c>
      <x:c r="AO431" s="9" t="str">
        <x:f>IF($A431="","",MAX(0,$AL431*$O431/100))</x:f>
      </x:c>
      <x:c r="AP431" s="9" t="str">
        <x:f>IF($A431="","",MAX(0,$AL431+$AM431+$P431+$W431-$AN431-$AO431-$Q431))</x:f>
      </x:c>
    </x:row>
    <x:row r="432">
      <x:c r="A432" s="13"/>
      <x:c r="B432" s="7"/>
      <x:c r="C432" s="13"/>
      <x:c r="D432" s="14"/>
      <x:c r="E432" s="8"/>
      <x:c r="F432" s="13"/>
      <x:c r="G432" s="7"/>
      <x:c r="H432" s="7"/>
      <x:c r="I432" s="7"/>
      <x:c r="J432" s="13"/>
      <x:c r="K432" s="16"/>
      <x:c r="L432" s="10"/>
      <x:c r="M432" s="10"/>
      <x:c r="N432" s="10"/>
      <x:c r="O432" s="10"/>
      <x:c r="P432" s="9"/>
      <x:c r="Q432" s="9"/>
      <x:c r="R432" s="7"/>
      <x:c r="S432" s="7"/>
      <x:c r="T432" s="7"/>
      <x:c r="U432" s="7"/>
      <x:c r="V432" s="7"/>
      <x:c r="W432" s="9"/>
      <x:c r="X432" s="7"/>
      <x:c r="Y432" s="9"/>
      <x:c r="Z432" s="8"/>
      <x:c r="AA432" s="8"/>
      <x:c r="AB432" s="7"/>
      <x:c r="AC432" s="7"/>
      <x:c r="AD432" s="13"/>
      <x:c r="AE432" s="7"/>
      <x:c r="AF432" s="7"/>
      <x:c r="AG432" s="7"/>
      <x:c r="AH432" s="7"/>
      <x:c r="AI432" s="7"/>
      <x:c r="AJ432" s="9" t="str">
        <x:f>IF($A432="","",SUMIF(Sales_Items!$A$2:$A$501,$A432,Sales_Items!$O$2:$O$501))</x:f>
      </x:c>
      <x:c r="AK432" s="9" t="str">
        <x:f>IF($A432="","",$AJ432*$L432/100)</x:f>
      </x:c>
      <x:c r="AL432" s="9" t="str">
        <x:f>IF($A432="","",MAX(0,$AJ432-$AK432))</x:f>
      </x:c>
      <x:c r="AM432" s="9" t="str">
        <x:f>IF($A432="","",MAX(0,$AL432*$M432/100))</x:f>
      </x:c>
      <x:c r="AN432" s="9" t="str">
        <x:f>IF($A432="","",MAX(0,$AL432*$N432/100))</x:f>
      </x:c>
      <x:c r="AO432" s="9" t="str">
        <x:f>IF($A432="","",MAX(0,$AL432*$O432/100))</x:f>
      </x:c>
      <x:c r="AP432" s="9" t="str">
        <x:f>IF($A432="","",MAX(0,$AL432+$AM432+$P432+$W432-$AN432-$AO432-$Q432))</x:f>
      </x:c>
    </x:row>
    <x:row r="433">
      <x:c r="A433" s="13"/>
      <x:c r="B433" s="7"/>
      <x:c r="C433" s="13"/>
      <x:c r="D433" s="14"/>
      <x:c r="E433" s="8"/>
      <x:c r="F433" s="13"/>
      <x:c r="G433" s="7"/>
      <x:c r="H433" s="7"/>
      <x:c r="I433" s="7"/>
      <x:c r="J433" s="13"/>
      <x:c r="K433" s="16"/>
      <x:c r="L433" s="10"/>
      <x:c r="M433" s="10"/>
      <x:c r="N433" s="10"/>
      <x:c r="O433" s="10"/>
      <x:c r="P433" s="9"/>
      <x:c r="Q433" s="9"/>
      <x:c r="R433" s="7"/>
      <x:c r="S433" s="7"/>
      <x:c r="T433" s="7"/>
      <x:c r="U433" s="7"/>
      <x:c r="V433" s="7"/>
      <x:c r="W433" s="9"/>
      <x:c r="X433" s="7"/>
      <x:c r="Y433" s="9"/>
      <x:c r="Z433" s="8"/>
      <x:c r="AA433" s="8"/>
      <x:c r="AB433" s="7"/>
      <x:c r="AC433" s="7"/>
      <x:c r="AD433" s="13"/>
      <x:c r="AE433" s="7"/>
      <x:c r="AF433" s="7"/>
      <x:c r="AG433" s="7"/>
      <x:c r="AH433" s="7"/>
      <x:c r="AI433" s="7"/>
      <x:c r="AJ433" s="9" t="str">
        <x:f>IF($A433="","",SUMIF(Sales_Items!$A$2:$A$501,$A433,Sales_Items!$O$2:$O$501))</x:f>
      </x:c>
      <x:c r="AK433" s="9" t="str">
        <x:f>IF($A433="","",$AJ433*$L433/100)</x:f>
      </x:c>
      <x:c r="AL433" s="9" t="str">
        <x:f>IF($A433="","",MAX(0,$AJ433-$AK433))</x:f>
      </x:c>
      <x:c r="AM433" s="9" t="str">
        <x:f>IF($A433="","",MAX(0,$AL433*$M433/100))</x:f>
      </x:c>
      <x:c r="AN433" s="9" t="str">
        <x:f>IF($A433="","",MAX(0,$AL433*$N433/100))</x:f>
      </x:c>
      <x:c r="AO433" s="9" t="str">
        <x:f>IF($A433="","",MAX(0,$AL433*$O433/100))</x:f>
      </x:c>
      <x:c r="AP433" s="9" t="str">
        <x:f>IF($A433="","",MAX(0,$AL433+$AM433+$P433+$W433-$AN433-$AO433-$Q433))</x:f>
      </x:c>
    </x:row>
    <x:row r="434">
      <x:c r="A434" s="13"/>
      <x:c r="B434" s="7"/>
      <x:c r="C434" s="13"/>
      <x:c r="D434" s="14"/>
      <x:c r="E434" s="8"/>
      <x:c r="F434" s="13"/>
      <x:c r="G434" s="7"/>
      <x:c r="H434" s="7"/>
      <x:c r="I434" s="7"/>
      <x:c r="J434" s="13"/>
      <x:c r="K434" s="16"/>
      <x:c r="L434" s="10"/>
      <x:c r="M434" s="10"/>
      <x:c r="N434" s="10"/>
      <x:c r="O434" s="10"/>
      <x:c r="P434" s="9"/>
      <x:c r="Q434" s="9"/>
      <x:c r="R434" s="7"/>
      <x:c r="S434" s="7"/>
      <x:c r="T434" s="7"/>
      <x:c r="U434" s="7"/>
      <x:c r="V434" s="7"/>
      <x:c r="W434" s="9"/>
      <x:c r="X434" s="7"/>
      <x:c r="Y434" s="9"/>
      <x:c r="Z434" s="8"/>
      <x:c r="AA434" s="8"/>
      <x:c r="AB434" s="7"/>
      <x:c r="AC434" s="7"/>
      <x:c r="AD434" s="13"/>
      <x:c r="AE434" s="7"/>
      <x:c r="AF434" s="7"/>
      <x:c r="AG434" s="7"/>
      <x:c r="AH434" s="7"/>
      <x:c r="AI434" s="7"/>
      <x:c r="AJ434" s="9" t="str">
        <x:f>IF($A434="","",SUMIF(Sales_Items!$A$2:$A$501,$A434,Sales_Items!$O$2:$O$501))</x:f>
      </x:c>
      <x:c r="AK434" s="9" t="str">
        <x:f>IF($A434="","",$AJ434*$L434/100)</x:f>
      </x:c>
      <x:c r="AL434" s="9" t="str">
        <x:f>IF($A434="","",MAX(0,$AJ434-$AK434))</x:f>
      </x:c>
      <x:c r="AM434" s="9" t="str">
        <x:f>IF($A434="","",MAX(0,$AL434*$M434/100))</x:f>
      </x:c>
      <x:c r="AN434" s="9" t="str">
        <x:f>IF($A434="","",MAX(0,$AL434*$N434/100))</x:f>
      </x:c>
      <x:c r="AO434" s="9" t="str">
        <x:f>IF($A434="","",MAX(0,$AL434*$O434/100))</x:f>
      </x:c>
      <x:c r="AP434" s="9" t="str">
        <x:f>IF($A434="","",MAX(0,$AL434+$AM434+$P434+$W434-$AN434-$AO434-$Q434))</x:f>
      </x:c>
    </x:row>
    <x:row r="435">
      <x:c r="A435" s="13"/>
      <x:c r="B435" s="7"/>
      <x:c r="C435" s="13"/>
      <x:c r="D435" s="14"/>
      <x:c r="E435" s="8"/>
      <x:c r="F435" s="13"/>
      <x:c r="G435" s="7"/>
      <x:c r="H435" s="7"/>
      <x:c r="I435" s="7"/>
      <x:c r="J435" s="13"/>
      <x:c r="K435" s="16"/>
      <x:c r="L435" s="10"/>
      <x:c r="M435" s="10"/>
      <x:c r="N435" s="10"/>
      <x:c r="O435" s="10"/>
      <x:c r="P435" s="9"/>
      <x:c r="Q435" s="9"/>
      <x:c r="R435" s="7"/>
      <x:c r="S435" s="7"/>
      <x:c r="T435" s="7"/>
      <x:c r="U435" s="7"/>
      <x:c r="V435" s="7"/>
      <x:c r="W435" s="9"/>
      <x:c r="X435" s="7"/>
      <x:c r="Y435" s="9"/>
      <x:c r="Z435" s="8"/>
      <x:c r="AA435" s="8"/>
      <x:c r="AB435" s="7"/>
      <x:c r="AC435" s="7"/>
      <x:c r="AD435" s="13"/>
      <x:c r="AE435" s="7"/>
      <x:c r="AF435" s="7"/>
      <x:c r="AG435" s="7"/>
      <x:c r="AH435" s="7"/>
      <x:c r="AI435" s="7"/>
      <x:c r="AJ435" s="9" t="str">
        <x:f>IF($A435="","",SUMIF(Sales_Items!$A$2:$A$501,$A435,Sales_Items!$O$2:$O$501))</x:f>
      </x:c>
      <x:c r="AK435" s="9" t="str">
        <x:f>IF($A435="","",$AJ435*$L435/100)</x:f>
      </x:c>
      <x:c r="AL435" s="9" t="str">
        <x:f>IF($A435="","",MAX(0,$AJ435-$AK435))</x:f>
      </x:c>
      <x:c r="AM435" s="9" t="str">
        <x:f>IF($A435="","",MAX(0,$AL435*$M435/100))</x:f>
      </x:c>
      <x:c r="AN435" s="9" t="str">
        <x:f>IF($A435="","",MAX(0,$AL435*$N435/100))</x:f>
      </x:c>
      <x:c r="AO435" s="9" t="str">
        <x:f>IF($A435="","",MAX(0,$AL435*$O435/100))</x:f>
      </x:c>
      <x:c r="AP435" s="9" t="str">
        <x:f>IF($A435="","",MAX(0,$AL435+$AM435+$P435+$W435-$AN435-$AO435-$Q435))</x:f>
      </x:c>
    </x:row>
    <x:row r="436">
      <x:c r="A436" s="13"/>
      <x:c r="B436" s="7"/>
      <x:c r="C436" s="13"/>
      <x:c r="D436" s="14"/>
      <x:c r="E436" s="8"/>
      <x:c r="F436" s="13"/>
      <x:c r="G436" s="7"/>
      <x:c r="H436" s="7"/>
      <x:c r="I436" s="7"/>
      <x:c r="J436" s="13"/>
      <x:c r="K436" s="16"/>
      <x:c r="L436" s="10"/>
      <x:c r="M436" s="10"/>
      <x:c r="N436" s="10"/>
      <x:c r="O436" s="10"/>
      <x:c r="P436" s="9"/>
      <x:c r="Q436" s="9"/>
      <x:c r="R436" s="7"/>
      <x:c r="S436" s="7"/>
      <x:c r="T436" s="7"/>
      <x:c r="U436" s="7"/>
      <x:c r="V436" s="7"/>
      <x:c r="W436" s="9"/>
      <x:c r="X436" s="7"/>
      <x:c r="Y436" s="9"/>
      <x:c r="Z436" s="8"/>
      <x:c r="AA436" s="8"/>
      <x:c r="AB436" s="7"/>
      <x:c r="AC436" s="7"/>
      <x:c r="AD436" s="13"/>
      <x:c r="AE436" s="7"/>
      <x:c r="AF436" s="7"/>
      <x:c r="AG436" s="7"/>
      <x:c r="AH436" s="7"/>
      <x:c r="AI436" s="7"/>
      <x:c r="AJ436" s="9" t="str">
        <x:f>IF($A436="","",SUMIF(Sales_Items!$A$2:$A$501,$A436,Sales_Items!$O$2:$O$501))</x:f>
      </x:c>
      <x:c r="AK436" s="9" t="str">
        <x:f>IF($A436="","",$AJ436*$L436/100)</x:f>
      </x:c>
      <x:c r="AL436" s="9" t="str">
        <x:f>IF($A436="","",MAX(0,$AJ436-$AK436))</x:f>
      </x:c>
      <x:c r="AM436" s="9" t="str">
        <x:f>IF($A436="","",MAX(0,$AL436*$M436/100))</x:f>
      </x:c>
      <x:c r="AN436" s="9" t="str">
        <x:f>IF($A436="","",MAX(0,$AL436*$N436/100))</x:f>
      </x:c>
      <x:c r="AO436" s="9" t="str">
        <x:f>IF($A436="","",MAX(0,$AL436*$O436/100))</x:f>
      </x:c>
      <x:c r="AP436" s="9" t="str">
        <x:f>IF($A436="","",MAX(0,$AL436+$AM436+$P436+$W436-$AN436-$AO436-$Q436))</x:f>
      </x:c>
    </x:row>
    <x:row r="437">
      <x:c r="A437" s="13"/>
      <x:c r="B437" s="7"/>
      <x:c r="C437" s="13"/>
      <x:c r="D437" s="14"/>
      <x:c r="E437" s="8"/>
      <x:c r="F437" s="13"/>
      <x:c r="G437" s="7"/>
      <x:c r="H437" s="7"/>
      <x:c r="I437" s="7"/>
      <x:c r="J437" s="13"/>
      <x:c r="K437" s="16"/>
      <x:c r="L437" s="10"/>
      <x:c r="M437" s="10"/>
      <x:c r="N437" s="10"/>
      <x:c r="O437" s="10"/>
      <x:c r="P437" s="9"/>
      <x:c r="Q437" s="9"/>
      <x:c r="R437" s="7"/>
      <x:c r="S437" s="7"/>
      <x:c r="T437" s="7"/>
      <x:c r="U437" s="7"/>
      <x:c r="V437" s="7"/>
      <x:c r="W437" s="9"/>
      <x:c r="X437" s="7"/>
      <x:c r="Y437" s="9"/>
      <x:c r="Z437" s="8"/>
      <x:c r="AA437" s="8"/>
      <x:c r="AB437" s="7"/>
      <x:c r="AC437" s="7"/>
      <x:c r="AD437" s="13"/>
      <x:c r="AE437" s="7"/>
      <x:c r="AF437" s="7"/>
      <x:c r="AG437" s="7"/>
      <x:c r="AH437" s="7"/>
      <x:c r="AI437" s="7"/>
      <x:c r="AJ437" s="9" t="str">
        <x:f>IF($A437="","",SUMIF(Sales_Items!$A$2:$A$501,$A437,Sales_Items!$O$2:$O$501))</x:f>
      </x:c>
      <x:c r="AK437" s="9" t="str">
        <x:f>IF($A437="","",$AJ437*$L437/100)</x:f>
      </x:c>
      <x:c r="AL437" s="9" t="str">
        <x:f>IF($A437="","",MAX(0,$AJ437-$AK437))</x:f>
      </x:c>
      <x:c r="AM437" s="9" t="str">
        <x:f>IF($A437="","",MAX(0,$AL437*$M437/100))</x:f>
      </x:c>
      <x:c r="AN437" s="9" t="str">
        <x:f>IF($A437="","",MAX(0,$AL437*$N437/100))</x:f>
      </x:c>
      <x:c r="AO437" s="9" t="str">
        <x:f>IF($A437="","",MAX(0,$AL437*$O437/100))</x:f>
      </x:c>
      <x:c r="AP437" s="9" t="str">
        <x:f>IF($A437="","",MAX(0,$AL437+$AM437+$P437+$W437-$AN437-$AO437-$Q437))</x:f>
      </x:c>
    </x:row>
    <x:row r="438">
      <x:c r="A438" s="13"/>
      <x:c r="B438" s="7"/>
      <x:c r="C438" s="13"/>
      <x:c r="D438" s="14"/>
      <x:c r="E438" s="8"/>
      <x:c r="F438" s="13"/>
      <x:c r="G438" s="7"/>
      <x:c r="H438" s="7"/>
      <x:c r="I438" s="7"/>
      <x:c r="J438" s="13"/>
      <x:c r="K438" s="16"/>
      <x:c r="L438" s="10"/>
      <x:c r="M438" s="10"/>
      <x:c r="N438" s="10"/>
      <x:c r="O438" s="10"/>
      <x:c r="P438" s="9"/>
      <x:c r="Q438" s="9"/>
      <x:c r="R438" s="7"/>
      <x:c r="S438" s="7"/>
      <x:c r="T438" s="7"/>
      <x:c r="U438" s="7"/>
      <x:c r="V438" s="7"/>
      <x:c r="W438" s="9"/>
      <x:c r="X438" s="7"/>
      <x:c r="Y438" s="9"/>
      <x:c r="Z438" s="8"/>
      <x:c r="AA438" s="8"/>
      <x:c r="AB438" s="7"/>
      <x:c r="AC438" s="7"/>
      <x:c r="AD438" s="13"/>
      <x:c r="AE438" s="7"/>
      <x:c r="AF438" s="7"/>
      <x:c r="AG438" s="7"/>
      <x:c r="AH438" s="7"/>
      <x:c r="AI438" s="7"/>
      <x:c r="AJ438" s="9" t="str">
        <x:f>IF($A438="","",SUMIF(Sales_Items!$A$2:$A$501,$A438,Sales_Items!$O$2:$O$501))</x:f>
      </x:c>
      <x:c r="AK438" s="9" t="str">
        <x:f>IF($A438="","",$AJ438*$L438/100)</x:f>
      </x:c>
      <x:c r="AL438" s="9" t="str">
        <x:f>IF($A438="","",MAX(0,$AJ438-$AK438))</x:f>
      </x:c>
      <x:c r="AM438" s="9" t="str">
        <x:f>IF($A438="","",MAX(0,$AL438*$M438/100))</x:f>
      </x:c>
      <x:c r="AN438" s="9" t="str">
        <x:f>IF($A438="","",MAX(0,$AL438*$N438/100))</x:f>
      </x:c>
      <x:c r="AO438" s="9" t="str">
        <x:f>IF($A438="","",MAX(0,$AL438*$O438/100))</x:f>
      </x:c>
      <x:c r="AP438" s="9" t="str">
        <x:f>IF($A438="","",MAX(0,$AL438+$AM438+$P438+$W438-$AN438-$AO438-$Q438))</x:f>
      </x:c>
    </x:row>
    <x:row r="439">
      <x:c r="A439" s="13"/>
      <x:c r="B439" s="7"/>
      <x:c r="C439" s="13"/>
      <x:c r="D439" s="14"/>
      <x:c r="E439" s="8"/>
      <x:c r="F439" s="13"/>
      <x:c r="G439" s="7"/>
      <x:c r="H439" s="7"/>
      <x:c r="I439" s="7"/>
      <x:c r="J439" s="13"/>
      <x:c r="K439" s="16"/>
      <x:c r="L439" s="10"/>
      <x:c r="M439" s="10"/>
      <x:c r="N439" s="10"/>
      <x:c r="O439" s="10"/>
      <x:c r="P439" s="9"/>
      <x:c r="Q439" s="9"/>
      <x:c r="R439" s="7"/>
      <x:c r="S439" s="7"/>
      <x:c r="T439" s="7"/>
      <x:c r="U439" s="7"/>
      <x:c r="V439" s="7"/>
      <x:c r="W439" s="9"/>
      <x:c r="X439" s="7"/>
      <x:c r="Y439" s="9"/>
      <x:c r="Z439" s="8"/>
      <x:c r="AA439" s="8"/>
      <x:c r="AB439" s="7"/>
      <x:c r="AC439" s="7"/>
      <x:c r="AD439" s="13"/>
      <x:c r="AE439" s="7"/>
      <x:c r="AF439" s="7"/>
      <x:c r="AG439" s="7"/>
      <x:c r="AH439" s="7"/>
      <x:c r="AI439" s="7"/>
      <x:c r="AJ439" s="9" t="str">
        <x:f>IF($A439="","",SUMIF(Sales_Items!$A$2:$A$501,$A439,Sales_Items!$O$2:$O$501))</x:f>
      </x:c>
      <x:c r="AK439" s="9" t="str">
        <x:f>IF($A439="","",$AJ439*$L439/100)</x:f>
      </x:c>
      <x:c r="AL439" s="9" t="str">
        <x:f>IF($A439="","",MAX(0,$AJ439-$AK439))</x:f>
      </x:c>
      <x:c r="AM439" s="9" t="str">
        <x:f>IF($A439="","",MAX(0,$AL439*$M439/100))</x:f>
      </x:c>
      <x:c r="AN439" s="9" t="str">
        <x:f>IF($A439="","",MAX(0,$AL439*$N439/100))</x:f>
      </x:c>
      <x:c r="AO439" s="9" t="str">
        <x:f>IF($A439="","",MAX(0,$AL439*$O439/100))</x:f>
      </x:c>
      <x:c r="AP439" s="9" t="str">
        <x:f>IF($A439="","",MAX(0,$AL439+$AM439+$P439+$W439-$AN439-$AO439-$Q439))</x:f>
      </x:c>
    </x:row>
    <x:row r="440">
      <x:c r="A440" s="13"/>
      <x:c r="B440" s="7"/>
      <x:c r="C440" s="13"/>
      <x:c r="D440" s="14"/>
      <x:c r="E440" s="8"/>
      <x:c r="F440" s="13"/>
      <x:c r="G440" s="7"/>
      <x:c r="H440" s="7"/>
      <x:c r="I440" s="7"/>
      <x:c r="J440" s="13"/>
      <x:c r="K440" s="16"/>
      <x:c r="L440" s="10"/>
      <x:c r="M440" s="10"/>
      <x:c r="N440" s="10"/>
      <x:c r="O440" s="10"/>
      <x:c r="P440" s="9"/>
      <x:c r="Q440" s="9"/>
      <x:c r="R440" s="7"/>
      <x:c r="S440" s="7"/>
      <x:c r="T440" s="7"/>
      <x:c r="U440" s="7"/>
      <x:c r="V440" s="7"/>
      <x:c r="W440" s="9"/>
      <x:c r="X440" s="7"/>
      <x:c r="Y440" s="9"/>
      <x:c r="Z440" s="8"/>
      <x:c r="AA440" s="8"/>
      <x:c r="AB440" s="7"/>
      <x:c r="AC440" s="7"/>
      <x:c r="AD440" s="13"/>
      <x:c r="AE440" s="7"/>
      <x:c r="AF440" s="7"/>
      <x:c r="AG440" s="7"/>
      <x:c r="AH440" s="7"/>
      <x:c r="AI440" s="7"/>
      <x:c r="AJ440" s="9" t="str">
        <x:f>IF($A440="","",SUMIF(Sales_Items!$A$2:$A$501,$A440,Sales_Items!$O$2:$O$501))</x:f>
      </x:c>
      <x:c r="AK440" s="9" t="str">
        <x:f>IF($A440="","",$AJ440*$L440/100)</x:f>
      </x:c>
      <x:c r="AL440" s="9" t="str">
        <x:f>IF($A440="","",MAX(0,$AJ440-$AK440))</x:f>
      </x:c>
      <x:c r="AM440" s="9" t="str">
        <x:f>IF($A440="","",MAX(0,$AL440*$M440/100))</x:f>
      </x:c>
      <x:c r="AN440" s="9" t="str">
        <x:f>IF($A440="","",MAX(0,$AL440*$N440/100))</x:f>
      </x:c>
      <x:c r="AO440" s="9" t="str">
        <x:f>IF($A440="","",MAX(0,$AL440*$O440/100))</x:f>
      </x:c>
      <x:c r="AP440" s="9" t="str">
        <x:f>IF($A440="","",MAX(0,$AL440+$AM440+$P440+$W440-$AN440-$AO440-$Q440))</x:f>
      </x:c>
    </x:row>
    <x:row r="441">
      <x:c r="A441" s="13"/>
      <x:c r="B441" s="7"/>
      <x:c r="C441" s="13"/>
      <x:c r="D441" s="14"/>
      <x:c r="E441" s="8"/>
      <x:c r="F441" s="13"/>
      <x:c r="G441" s="7"/>
      <x:c r="H441" s="7"/>
      <x:c r="I441" s="7"/>
      <x:c r="J441" s="13"/>
      <x:c r="K441" s="16"/>
      <x:c r="L441" s="10"/>
      <x:c r="M441" s="10"/>
      <x:c r="N441" s="10"/>
      <x:c r="O441" s="10"/>
      <x:c r="P441" s="9"/>
      <x:c r="Q441" s="9"/>
      <x:c r="R441" s="7"/>
      <x:c r="S441" s="7"/>
      <x:c r="T441" s="7"/>
      <x:c r="U441" s="7"/>
      <x:c r="V441" s="7"/>
      <x:c r="W441" s="9"/>
      <x:c r="X441" s="7"/>
      <x:c r="Y441" s="9"/>
      <x:c r="Z441" s="8"/>
      <x:c r="AA441" s="8"/>
      <x:c r="AB441" s="7"/>
      <x:c r="AC441" s="7"/>
      <x:c r="AD441" s="13"/>
      <x:c r="AE441" s="7"/>
      <x:c r="AF441" s="7"/>
      <x:c r="AG441" s="7"/>
      <x:c r="AH441" s="7"/>
      <x:c r="AI441" s="7"/>
      <x:c r="AJ441" s="9" t="str">
        <x:f>IF($A441="","",SUMIF(Sales_Items!$A$2:$A$501,$A441,Sales_Items!$O$2:$O$501))</x:f>
      </x:c>
      <x:c r="AK441" s="9" t="str">
        <x:f>IF($A441="","",$AJ441*$L441/100)</x:f>
      </x:c>
      <x:c r="AL441" s="9" t="str">
        <x:f>IF($A441="","",MAX(0,$AJ441-$AK441))</x:f>
      </x:c>
      <x:c r="AM441" s="9" t="str">
        <x:f>IF($A441="","",MAX(0,$AL441*$M441/100))</x:f>
      </x:c>
      <x:c r="AN441" s="9" t="str">
        <x:f>IF($A441="","",MAX(0,$AL441*$N441/100))</x:f>
      </x:c>
      <x:c r="AO441" s="9" t="str">
        <x:f>IF($A441="","",MAX(0,$AL441*$O441/100))</x:f>
      </x:c>
      <x:c r="AP441" s="9" t="str">
        <x:f>IF($A441="","",MAX(0,$AL441+$AM441+$P441+$W441-$AN441-$AO441-$Q441))</x:f>
      </x:c>
    </x:row>
    <x:row r="442">
      <x:c r="A442" s="13"/>
      <x:c r="B442" s="7"/>
      <x:c r="C442" s="13"/>
      <x:c r="D442" s="14"/>
      <x:c r="E442" s="8"/>
      <x:c r="F442" s="13"/>
      <x:c r="G442" s="7"/>
      <x:c r="H442" s="7"/>
      <x:c r="I442" s="7"/>
      <x:c r="J442" s="13"/>
      <x:c r="K442" s="16"/>
      <x:c r="L442" s="10"/>
      <x:c r="M442" s="10"/>
      <x:c r="N442" s="10"/>
      <x:c r="O442" s="10"/>
      <x:c r="P442" s="9"/>
      <x:c r="Q442" s="9"/>
      <x:c r="R442" s="7"/>
      <x:c r="S442" s="7"/>
      <x:c r="T442" s="7"/>
      <x:c r="U442" s="7"/>
      <x:c r="V442" s="7"/>
      <x:c r="W442" s="9"/>
      <x:c r="X442" s="7"/>
      <x:c r="Y442" s="9"/>
      <x:c r="Z442" s="8"/>
      <x:c r="AA442" s="8"/>
      <x:c r="AB442" s="7"/>
      <x:c r="AC442" s="7"/>
      <x:c r="AD442" s="13"/>
      <x:c r="AE442" s="7"/>
      <x:c r="AF442" s="7"/>
      <x:c r="AG442" s="7"/>
      <x:c r="AH442" s="7"/>
      <x:c r="AI442" s="7"/>
      <x:c r="AJ442" s="9" t="str">
        <x:f>IF($A442="","",SUMIF(Sales_Items!$A$2:$A$501,$A442,Sales_Items!$O$2:$O$501))</x:f>
      </x:c>
      <x:c r="AK442" s="9" t="str">
        <x:f>IF($A442="","",$AJ442*$L442/100)</x:f>
      </x:c>
      <x:c r="AL442" s="9" t="str">
        <x:f>IF($A442="","",MAX(0,$AJ442-$AK442))</x:f>
      </x:c>
      <x:c r="AM442" s="9" t="str">
        <x:f>IF($A442="","",MAX(0,$AL442*$M442/100))</x:f>
      </x:c>
      <x:c r="AN442" s="9" t="str">
        <x:f>IF($A442="","",MAX(0,$AL442*$N442/100))</x:f>
      </x:c>
      <x:c r="AO442" s="9" t="str">
        <x:f>IF($A442="","",MAX(0,$AL442*$O442/100))</x:f>
      </x:c>
      <x:c r="AP442" s="9" t="str">
        <x:f>IF($A442="","",MAX(0,$AL442+$AM442+$P442+$W442-$AN442-$AO442-$Q442))</x:f>
      </x:c>
    </x:row>
    <x:row r="443">
      <x:c r="A443" s="13"/>
      <x:c r="B443" s="7"/>
      <x:c r="C443" s="13"/>
      <x:c r="D443" s="14"/>
      <x:c r="E443" s="8"/>
      <x:c r="F443" s="13"/>
      <x:c r="G443" s="7"/>
      <x:c r="H443" s="7"/>
      <x:c r="I443" s="7"/>
      <x:c r="J443" s="13"/>
      <x:c r="K443" s="16"/>
      <x:c r="L443" s="10"/>
      <x:c r="M443" s="10"/>
      <x:c r="N443" s="10"/>
      <x:c r="O443" s="10"/>
      <x:c r="P443" s="9"/>
      <x:c r="Q443" s="9"/>
      <x:c r="R443" s="7"/>
      <x:c r="S443" s="7"/>
      <x:c r="T443" s="7"/>
      <x:c r="U443" s="7"/>
      <x:c r="V443" s="7"/>
      <x:c r="W443" s="9"/>
      <x:c r="X443" s="7"/>
      <x:c r="Y443" s="9"/>
      <x:c r="Z443" s="8"/>
      <x:c r="AA443" s="8"/>
      <x:c r="AB443" s="7"/>
      <x:c r="AC443" s="7"/>
      <x:c r="AD443" s="13"/>
      <x:c r="AE443" s="7"/>
      <x:c r="AF443" s="7"/>
      <x:c r="AG443" s="7"/>
      <x:c r="AH443" s="7"/>
      <x:c r="AI443" s="7"/>
      <x:c r="AJ443" s="9" t="str">
        <x:f>IF($A443="","",SUMIF(Sales_Items!$A$2:$A$501,$A443,Sales_Items!$O$2:$O$501))</x:f>
      </x:c>
      <x:c r="AK443" s="9" t="str">
        <x:f>IF($A443="","",$AJ443*$L443/100)</x:f>
      </x:c>
      <x:c r="AL443" s="9" t="str">
        <x:f>IF($A443="","",MAX(0,$AJ443-$AK443))</x:f>
      </x:c>
      <x:c r="AM443" s="9" t="str">
        <x:f>IF($A443="","",MAX(0,$AL443*$M443/100))</x:f>
      </x:c>
      <x:c r="AN443" s="9" t="str">
        <x:f>IF($A443="","",MAX(0,$AL443*$N443/100))</x:f>
      </x:c>
      <x:c r="AO443" s="9" t="str">
        <x:f>IF($A443="","",MAX(0,$AL443*$O443/100))</x:f>
      </x:c>
      <x:c r="AP443" s="9" t="str">
        <x:f>IF($A443="","",MAX(0,$AL443+$AM443+$P443+$W443-$AN443-$AO443-$Q443))</x:f>
      </x:c>
    </x:row>
    <x:row r="444">
      <x:c r="A444" s="13"/>
      <x:c r="B444" s="7"/>
      <x:c r="C444" s="13"/>
      <x:c r="D444" s="14"/>
      <x:c r="E444" s="8"/>
      <x:c r="F444" s="13"/>
      <x:c r="G444" s="7"/>
      <x:c r="H444" s="7"/>
      <x:c r="I444" s="7"/>
      <x:c r="J444" s="13"/>
      <x:c r="K444" s="16"/>
      <x:c r="L444" s="10"/>
      <x:c r="M444" s="10"/>
      <x:c r="N444" s="10"/>
      <x:c r="O444" s="10"/>
      <x:c r="P444" s="9"/>
      <x:c r="Q444" s="9"/>
      <x:c r="R444" s="7"/>
      <x:c r="S444" s="7"/>
      <x:c r="T444" s="7"/>
      <x:c r="U444" s="7"/>
      <x:c r="V444" s="7"/>
      <x:c r="W444" s="9"/>
      <x:c r="X444" s="7"/>
      <x:c r="Y444" s="9"/>
      <x:c r="Z444" s="8"/>
      <x:c r="AA444" s="8"/>
      <x:c r="AB444" s="7"/>
      <x:c r="AC444" s="7"/>
      <x:c r="AD444" s="13"/>
      <x:c r="AE444" s="7"/>
      <x:c r="AF444" s="7"/>
      <x:c r="AG444" s="7"/>
      <x:c r="AH444" s="7"/>
      <x:c r="AI444" s="7"/>
      <x:c r="AJ444" s="9" t="str">
        <x:f>IF($A444="","",SUMIF(Sales_Items!$A$2:$A$501,$A444,Sales_Items!$O$2:$O$501))</x:f>
      </x:c>
      <x:c r="AK444" s="9" t="str">
        <x:f>IF($A444="","",$AJ444*$L444/100)</x:f>
      </x:c>
      <x:c r="AL444" s="9" t="str">
        <x:f>IF($A444="","",MAX(0,$AJ444-$AK444))</x:f>
      </x:c>
      <x:c r="AM444" s="9" t="str">
        <x:f>IF($A444="","",MAX(0,$AL444*$M444/100))</x:f>
      </x:c>
      <x:c r="AN444" s="9" t="str">
        <x:f>IF($A444="","",MAX(0,$AL444*$N444/100))</x:f>
      </x:c>
      <x:c r="AO444" s="9" t="str">
        <x:f>IF($A444="","",MAX(0,$AL444*$O444/100))</x:f>
      </x:c>
      <x:c r="AP444" s="9" t="str">
        <x:f>IF($A444="","",MAX(0,$AL444+$AM444+$P444+$W444-$AN444-$AO444-$Q444))</x:f>
      </x:c>
    </x:row>
    <x:row r="445">
      <x:c r="A445" s="13"/>
      <x:c r="B445" s="7"/>
      <x:c r="C445" s="13"/>
      <x:c r="D445" s="14"/>
      <x:c r="E445" s="8"/>
      <x:c r="F445" s="13"/>
      <x:c r="G445" s="7"/>
      <x:c r="H445" s="7"/>
      <x:c r="I445" s="7"/>
      <x:c r="J445" s="13"/>
      <x:c r="K445" s="16"/>
      <x:c r="L445" s="10"/>
      <x:c r="M445" s="10"/>
      <x:c r="N445" s="10"/>
      <x:c r="O445" s="10"/>
      <x:c r="P445" s="9"/>
      <x:c r="Q445" s="9"/>
      <x:c r="R445" s="7"/>
      <x:c r="S445" s="7"/>
      <x:c r="T445" s="7"/>
      <x:c r="U445" s="7"/>
      <x:c r="V445" s="7"/>
      <x:c r="W445" s="9"/>
      <x:c r="X445" s="7"/>
      <x:c r="Y445" s="9"/>
      <x:c r="Z445" s="8"/>
      <x:c r="AA445" s="8"/>
      <x:c r="AB445" s="7"/>
      <x:c r="AC445" s="7"/>
      <x:c r="AD445" s="13"/>
      <x:c r="AE445" s="7"/>
      <x:c r="AF445" s="7"/>
      <x:c r="AG445" s="7"/>
      <x:c r="AH445" s="7"/>
      <x:c r="AI445" s="7"/>
      <x:c r="AJ445" s="9" t="str">
        <x:f>IF($A445="","",SUMIF(Sales_Items!$A$2:$A$501,$A445,Sales_Items!$O$2:$O$501))</x:f>
      </x:c>
      <x:c r="AK445" s="9" t="str">
        <x:f>IF($A445="","",$AJ445*$L445/100)</x:f>
      </x:c>
      <x:c r="AL445" s="9" t="str">
        <x:f>IF($A445="","",MAX(0,$AJ445-$AK445))</x:f>
      </x:c>
      <x:c r="AM445" s="9" t="str">
        <x:f>IF($A445="","",MAX(0,$AL445*$M445/100))</x:f>
      </x:c>
      <x:c r="AN445" s="9" t="str">
        <x:f>IF($A445="","",MAX(0,$AL445*$N445/100))</x:f>
      </x:c>
      <x:c r="AO445" s="9" t="str">
        <x:f>IF($A445="","",MAX(0,$AL445*$O445/100))</x:f>
      </x:c>
      <x:c r="AP445" s="9" t="str">
        <x:f>IF($A445="","",MAX(0,$AL445+$AM445+$P445+$W445-$AN445-$AO445-$Q445))</x:f>
      </x:c>
    </x:row>
    <x:row r="446">
      <x:c r="A446" s="13"/>
      <x:c r="B446" s="7"/>
      <x:c r="C446" s="13"/>
      <x:c r="D446" s="14"/>
      <x:c r="E446" s="8"/>
      <x:c r="F446" s="13"/>
      <x:c r="G446" s="7"/>
      <x:c r="H446" s="7"/>
      <x:c r="I446" s="7"/>
      <x:c r="J446" s="13"/>
      <x:c r="K446" s="16"/>
      <x:c r="L446" s="10"/>
      <x:c r="M446" s="10"/>
      <x:c r="N446" s="10"/>
      <x:c r="O446" s="10"/>
      <x:c r="P446" s="9"/>
      <x:c r="Q446" s="9"/>
      <x:c r="R446" s="7"/>
      <x:c r="S446" s="7"/>
      <x:c r="T446" s="7"/>
      <x:c r="U446" s="7"/>
      <x:c r="V446" s="7"/>
      <x:c r="W446" s="9"/>
      <x:c r="X446" s="7"/>
      <x:c r="Y446" s="9"/>
      <x:c r="Z446" s="8"/>
      <x:c r="AA446" s="8"/>
      <x:c r="AB446" s="7"/>
      <x:c r="AC446" s="7"/>
      <x:c r="AD446" s="13"/>
      <x:c r="AE446" s="7"/>
      <x:c r="AF446" s="7"/>
      <x:c r="AG446" s="7"/>
      <x:c r="AH446" s="7"/>
      <x:c r="AI446" s="7"/>
      <x:c r="AJ446" s="9" t="str">
        <x:f>IF($A446="","",SUMIF(Sales_Items!$A$2:$A$501,$A446,Sales_Items!$O$2:$O$501))</x:f>
      </x:c>
      <x:c r="AK446" s="9" t="str">
        <x:f>IF($A446="","",$AJ446*$L446/100)</x:f>
      </x:c>
      <x:c r="AL446" s="9" t="str">
        <x:f>IF($A446="","",MAX(0,$AJ446-$AK446))</x:f>
      </x:c>
      <x:c r="AM446" s="9" t="str">
        <x:f>IF($A446="","",MAX(0,$AL446*$M446/100))</x:f>
      </x:c>
      <x:c r="AN446" s="9" t="str">
        <x:f>IF($A446="","",MAX(0,$AL446*$N446/100))</x:f>
      </x:c>
      <x:c r="AO446" s="9" t="str">
        <x:f>IF($A446="","",MAX(0,$AL446*$O446/100))</x:f>
      </x:c>
      <x:c r="AP446" s="9" t="str">
        <x:f>IF($A446="","",MAX(0,$AL446+$AM446+$P446+$W446-$AN446-$AO446-$Q446))</x:f>
      </x:c>
    </x:row>
    <x:row r="447">
      <x:c r="A447" s="13"/>
      <x:c r="B447" s="7"/>
      <x:c r="C447" s="13"/>
      <x:c r="D447" s="14"/>
      <x:c r="E447" s="8"/>
      <x:c r="F447" s="13"/>
      <x:c r="G447" s="7"/>
      <x:c r="H447" s="7"/>
      <x:c r="I447" s="7"/>
      <x:c r="J447" s="13"/>
      <x:c r="K447" s="16"/>
      <x:c r="L447" s="10"/>
      <x:c r="M447" s="10"/>
      <x:c r="N447" s="10"/>
      <x:c r="O447" s="10"/>
      <x:c r="P447" s="9"/>
      <x:c r="Q447" s="9"/>
      <x:c r="R447" s="7"/>
      <x:c r="S447" s="7"/>
      <x:c r="T447" s="7"/>
      <x:c r="U447" s="7"/>
      <x:c r="V447" s="7"/>
      <x:c r="W447" s="9"/>
      <x:c r="X447" s="7"/>
      <x:c r="Y447" s="9"/>
      <x:c r="Z447" s="8"/>
      <x:c r="AA447" s="8"/>
      <x:c r="AB447" s="7"/>
      <x:c r="AC447" s="7"/>
      <x:c r="AD447" s="13"/>
      <x:c r="AE447" s="7"/>
      <x:c r="AF447" s="7"/>
      <x:c r="AG447" s="7"/>
      <x:c r="AH447" s="7"/>
      <x:c r="AI447" s="7"/>
      <x:c r="AJ447" s="9" t="str">
        <x:f>IF($A447="","",SUMIF(Sales_Items!$A$2:$A$501,$A447,Sales_Items!$O$2:$O$501))</x:f>
      </x:c>
      <x:c r="AK447" s="9" t="str">
        <x:f>IF($A447="","",$AJ447*$L447/100)</x:f>
      </x:c>
      <x:c r="AL447" s="9" t="str">
        <x:f>IF($A447="","",MAX(0,$AJ447-$AK447))</x:f>
      </x:c>
      <x:c r="AM447" s="9" t="str">
        <x:f>IF($A447="","",MAX(0,$AL447*$M447/100))</x:f>
      </x:c>
      <x:c r="AN447" s="9" t="str">
        <x:f>IF($A447="","",MAX(0,$AL447*$N447/100))</x:f>
      </x:c>
      <x:c r="AO447" s="9" t="str">
        <x:f>IF($A447="","",MAX(0,$AL447*$O447/100))</x:f>
      </x:c>
      <x:c r="AP447" s="9" t="str">
        <x:f>IF($A447="","",MAX(0,$AL447+$AM447+$P447+$W447-$AN447-$AO447-$Q447))</x:f>
      </x:c>
    </x:row>
    <x:row r="448">
      <x:c r="A448" s="13"/>
      <x:c r="B448" s="7"/>
      <x:c r="C448" s="13"/>
      <x:c r="D448" s="14"/>
      <x:c r="E448" s="8"/>
      <x:c r="F448" s="13"/>
      <x:c r="G448" s="7"/>
      <x:c r="H448" s="7"/>
      <x:c r="I448" s="7"/>
      <x:c r="J448" s="13"/>
      <x:c r="K448" s="16"/>
      <x:c r="L448" s="10"/>
      <x:c r="M448" s="10"/>
      <x:c r="N448" s="10"/>
      <x:c r="O448" s="10"/>
      <x:c r="P448" s="9"/>
      <x:c r="Q448" s="9"/>
      <x:c r="R448" s="7"/>
      <x:c r="S448" s="7"/>
      <x:c r="T448" s="7"/>
      <x:c r="U448" s="7"/>
      <x:c r="V448" s="7"/>
      <x:c r="W448" s="9"/>
      <x:c r="X448" s="7"/>
      <x:c r="Y448" s="9"/>
      <x:c r="Z448" s="8"/>
      <x:c r="AA448" s="8"/>
      <x:c r="AB448" s="7"/>
      <x:c r="AC448" s="7"/>
      <x:c r="AD448" s="13"/>
      <x:c r="AE448" s="7"/>
      <x:c r="AF448" s="7"/>
      <x:c r="AG448" s="7"/>
      <x:c r="AH448" s="7"/>
      <x:c r="AI448" s="7"/>
      <x:c r="AJ448" s="9" t="str">
        <x:f>IF($A448="","",SUMIF(Sales_Items!$A$2:$A$501,$A448,Sales_Items!$O$2:$O$501))</x:f>
      </x:c>
      <x:c r="AK448" s="9" t="str">
        <x:f>IF($A448="","",$AJ448*$L448/100)</x:f>
      </x:c>
      <x:c r="AL448" s="9" t="str">
        <x:f>IF($A448="","",MAX(0,$AJ448-$AK448))</x:f>
      </x:c>
      <x:c r="AM448" s="9" t="str">
        <x:f>IF($A448="","",MAX(0,$AL448*$M448/100))</x:f>
      </x:c>
      <x:c r="AN448" s="9" t="str">
        <x:f>IF($A448="","",MAX(0,$AL448*$N448/100))</x:f>
      </x:c>
      <x:c r="AO448" s="9" t="str">
        <x:f>IF($A448="","",MAX(0,$AL448*$O448/100))</x:f>
      </x:c>
      <x:c r="AP448" s="9" t="str">
        <x:f>IF($A448="","",MAX(0,$AL448+$AM448+$P448+$W448-$AN448-$AO448-$Q448))</x:f>
      </x:c>
    </x:row>
    <x:row r="449">
      <x:c r="A449" s="13"/>
      <x:c r="B449" s="7"/>
      <x:c r="C449" s="13"/>
      <x:c r="D449" s="14"/>
      <x:c r="E449" s="8"/>
      <x:c r="F449" s="13"/>
      <x:c r="G449" s="7"/>
      <x:c r="H449" s="7"/>
      <x:c r="I449" s="7"/>
      <x:c r="J449" s="13"/>
      <x:c r="K449" s="16"/>
      <x:c r="L449" s="10"/>
      <x:c r="M449" s="10"/>
      <x:c r="N449" s="10"/>
      <x:c r="O449" s="10"/>
      <x:c r="P449" s="9"/>
      <x:c r="Q449" s="9"/>
      <x:c r="R449" s="7"/>
      <x:c r="S449" s="7"/>
      <x:c r="T449" s="7"/>
      <x:c r="U449" s="7"/>
      <x:c r="V449" s="7"/>
      <x:c r="W449" s="9"/>
      <x:c r="X449" s="7"/>
      <x:c r="Y449" s="9"/>
      <x:c r="Z449" s="8"/>
      <x:c r="AA449" s="8"/>
      <x:c r="AB449" s="7"/>
      <x:c r="AC449" s="7"/>
      <x:c r="AD449" s="13"/>
      <x:c r="AE449" s="7"/>
      <x:c r="AF449" s="7"/>
      <x:c r="AG449" s="7"/>
      <x:c r="AH449" s="7"/>
      <x:c r="AI449" s="7"/>
      <x:c r="AJ449" s="9" t="str">
        <x:f>IF($A449="","",SUMIF(Sales_Items!$A$2:$A$501,$A449,Sales_Items!$O$2:$O$501))</x:f>
      </x:c>
      <x:c r="AK449" s="9" t="str">
        <x:f>IF($A449="","",$AJ449*$L449/100)</x:f>
      </x:c>
      <x:c r="AL449" s="9" t="str">
        <x:f>IF($A449="","",MAX(0,$AJ449-$AK449))</x:f>
      </x:c>
      <x:c r="AM449" s="9" t="str">
        <x:f>IF($A449="","",MAX(0,$AL449*$M449/100))</x:f>
      </x:c>
      <x:c r="AN449" s="9" t="str">
        <x:f>IF($A449="","",MAX(0,$AL449*$N449/100))</x:f>
      </x:c>
      <x:c r="AO449" s="9" t="str">
        <x:f>IF($A449="","",MAX(0,$AL449*$O449/100))</x:f>
      </x:c>
      <x:c r="AP449" s="9" t="str">
        <x:f>IF($A449="","",MAX(0,$AL449+$AM449+$P449+$W449-$AN449-$AO449-$Q449))</x:f>
      </x:c>
    </x:row>
    <x:row r="450">
      <x:c r="A450" s="13"/>
      <x:c r="B450" s="7"/>
      <x:c r="C450" s="13"/>
      <x:c r="D450" s="14"/>
      <x:c r="E450" s="8"/>
      <x:c r="F450" s="13"/>
      <x:c r="G450" s="7"/>
      <x:c r="H450" s="7"/>
      <x:c r="I450" s="7"/>
      <x:c r="J450" s="13"/>
      <x:c r="K450" s="16"/>
      <x:c r="L450" s="10"/>
      <x:c r="M450" s="10"/>
      <x:c r="N450" s="10"/>
      <x:c r="O450" s="10"/>
      <x:c r="P450" s="9"/>
      <x:c r="Q450" s="9"/>
      <x:c r="R450" s="7"/>
      <x:c r="S450" s="7"/>
      <x:c r="T450" s="7"/>
      <x:c r="U450" s="7"/>
      <x:c r="V450" s="7"/>
      <x:c r="W450" s="9"/>
      <x:c r="X450" s="7"/>
      <x:c r="Y450" s="9"/>
      <x:c r="Z450" s="8"/>
      <x:c r="AA450" s="8"/>
      <x:c r="AB450" s="7"/>
      <x:c r="AC450" s="7"/>
      <x:c r="AD450" s="13"/>
      <x:c r="AE450" s="7"/>
      <x:c r="AF450" s="7"/>
      <x:c r="AG450" s="7"/>
      <x:c r="AH450" s="7"/>
      <x:c r="AI450" s="7"/>
      <x:c r="AJ450" s="9" t="str">
        <x:f>IF($A450="","",SUMIF(Sales_Items!$A$2:$A$501,$A450,Sales_Items!$O$2:$O$501))</x:f>
      </x:c>
      <x:c r="AK450" s="9" t="str">
        <x:f>IF($A450="","",$AJ450*$L450/100)</x:f>
      </x:c>
      <x:c r="AL450" s="9" t="str">
        <x:f>IF($A450="","",MAX(0,$AJ450-$AK450))</x:f>
      </x:c>
      <x:c r="AM450" s="9" t="str">
        <x:f>IF($A450="","",MAX(0,$AL450*$M450/100))</x:f>
      </x:c>
      <x:c r="AN450" s="9" t="str">
        <x:f>IF($A450="","",MAX(0,$AL450*$N450/100))</x:f>
      </x:c>
      <x:c r="AO450" s="9" t="str">
        <x:f>IF($A450="","",MAX(0,$AL450*$O450/100))</x:f>
      </x:c>
      <x:c r="AP450" s="9" t="str">
        <x:f>IF($A450="","",MAX(0,$AL450+$AM450+$P450+$W450-$AN450-$AO450-$Q450))</x:f>
      </x:c>
    </x:row>
    <x:row r="451">
      <x:c r="A451" s="13"/>
      <x:c r="B451" s="7"/>
      <x:c r="C451" s="13"/>
      <x:c r="D451" s="14"/>
      <x:c r="E451" s="8"/>
      <x:c r="F451" s="13"/>
      <x:c r="G451" s="7"/>
      <x:c r="H451" s="7"/>
      <x:c r="I451" s="7"/>
      <x:c r="J451" s="13"/>
      <x:c r="K451" s="16"/>
      <x:c r="L451" s="10"/>
      <x:c r="M451" s="10"/>
      <x:c r="N451" s="10"/>
      <x:c r="O451" s="10"/>
      <x:c r="P451" s="9"/>
      <x:c r="Q451" s="9"/>
      <x:c r="R451" s="7"/>
      <x:c r="S451" s="7"/>
      <x:c r="T451" s="7"/>
      <x:c r="U451" s="7"/>
      <x:c r="V451" s="7"/>
      <x:c r="W451" s="9"/>
      <x:c r="X451" s="7"/>
      <x:c r="Y451" s="9"/>
      <x:c r="Z451" s="8"/>
      <x:c r="AA451" s="8"/>
      <x:c r="AB451" s="7"/>
      <x:c r="AC451" s="7"/>
      <x:c r="AD451" s="13"/>
      <x:c r="AE451" s="7"/>
      <x:c r="AF451" s="7"/>
      <x:c r="AG451" s="7"/>
      <x:c r="AH451" s="7"/>
      <x:c r="AI451" s="7"/>
      <x:c r="AJ451" s="9" t="str">
        <x:f>IF($A451="","",SUMIF(Sales_Items!$A$2:$A$501,$A451,Sales_Items!$O$2:$O$501))</x:f>
      </x:c>
      <x:c r="AK451" s="9" t="str">
        <x:f>IF($A451="","",$AJ451*$L451/100)</x:f>
      </x:c>
      <x:c r="AL451" s="9" t="str">
        <x:f>IF($A451="","",MAX(0,$AJ451-$AK451))</x:f>
      </x:c>
      <x:c r="AM451" s="9" t="str">
        <x:f>IF($A451="","",MAX(0,$AL451*$M451/100))</x:f>
      </x:c>
      <x:c r="AN451" s="9" t="str">
        <x:f>IF($A451="","",MAX(0,$AL451*$N451/100))</x:f>
      </x:c>
      <x:c r="AO451" s="9" t="str">
        <x:f>IF($A451="","",MAX(0,$AL451*$O451/100))</x:f>
      </x:c>
      <x:c r="AP451" s="9" t="str">
        <x:f>IF($A451="","",MAX(0,$AL451+$AM451+$P451+$W451-$AN451-$AO451-$Q451))</x:f>
      </x:c>
    </x:row>
    <x:row r="452">
      <x:c r="A452" s="13"/>
      <x:c r="B452" s="7"/>
      <x:c r="C452" s="13"/>
      <x:c r="D452" s="14"/>
      <x:c r="E452" s="8"/>
      <x:c r="F452" s="13"/>
      <x:c r="G452" s="7"/>
      <x:c r="H452" s="7"/>
      <x:c r="I452" s="7"/>
      <x:c r="J452" s="13"/>
      <x:c r="K452" s="16"/>
      <x:c r="L452" s="10"/>
      <x:c r="M452" s="10"/>
      <x:c r="N452" s="10"/>
      <x:c r="O452" s="10"/>
      <x:c r="P452" s="9"/>
      <x:c r="Q452" s="9"/>
      <x:c r="R452" s="7"/>
      <x:c r="S452" s="7"/>
      <x:c r="T452" s="7"/>
      <x:c r="U452" s="7"/>
      <x:c r="V452" s="7"/>
      <x:c r="W452" s="9"/>
      <x:c r="X452" s="7"/>
      <x:c r="Y452" s="9"/>
      <x:c r="Z452" s="8"/>
      <x:c r="AA452" s="8"/>
      <x:c r="AB452" s="7"/>
      <x:c r="AC452" s="7"/>
      <x:c r="AD452" s="13"/>
      <x:c r="AE452" s="7"/>
      <x:c r="AF452" s="7"/>
      <x:c r="AG452" s="7"/>
      <x:c r="AH452" s="7"/>
      <x:c r="AI452" s="7"/>
      <x:c r="AJ452" s="9" t="str">
        <x:f>IF($A452="","",SUMIF(Sales_Items!$A$2:$A$501,$A452,Sales_Items!$O$2:$O$501))</x:f>
      </x:c>
      <x:c r="AK452" s="9" t="str">
        <x:f>IF($A452="","",$AJ452*$L452/100)</x:f>
      </x:c>
      <x:c r="AL452" s="9" t="str">
        <x:f>IF($A452="","",MAX(0,$AJ452-$AK452))</x:f>
      </x:c>
      <x:c r="AM452" s="9" t="str">
        <x:f>IF($A452="","",MAX(0,$AL452*$M452/100))</x:f>
      </x:c>
      <x:c r="AN452" s="9" t="str">
        <x:f>IF($A452="","",MAX(0,$AL452*$N452/100))</x:f>
      </x:c>
      <x:c r="AO452" s="9" t="str">
        <x:f>IF($A452="","",MAX(0,$AL452*$O452/100))</x:f>
      </x:c>
      <x:c r="AP452" s="9" t="str">
        <x:f>IF($A452="","",MAX(0,$AL452+$AM452+$P452+$W452-$AN452-$AO452-$Q452))</x:f>
      </x:c>
    </x:row>
    <x:row r="453">
      <x:c r="A453" s="13"/>
      <x:c r="B453" s="7"/>
      <x:c r="C453" s="13"/>
      <x:c r="D453" s="14"/>
      <x:c r="E453" s="8"/>
      <x:c r="F453" s="13"/>
      <x:c r="G453" s="7"/>
      <x:c r="H453" s="7"/>
      <x:c r="I453" s="7"/>
      <x:c r="J453" s="13"/>
      <x:c r="K453" s="16"/>
      <x:c r="L453" s="10"/>
      <x:c r="M453" s="10"/>
      <x:c r="N453" s="10"/>
      <x:c r="O453" s="10"/>
      <x:c r="P453" s="9"/>
      <x:c r="Q453" s="9"/>
      <x:c r="R453" s="7"/>
      <x:c r="S453" s="7"/>
      <x:c r="T453" s="7"/>
      <x:c r="U453" s="7"/>
      <x:c r="V453" s="7"/>
      <x:c r="W453" s="9"/>
      <x:c r="X453" s="7"/>
      <x:c r="Y453" s="9"/>
      <x:c r="Z453" s="8"/>
      <x:c r="AA453" s="8"/>
      <x:c r="AB453" s="7"/>
      <x:c r="AC453" s="7"/>
      <x:c r="AD453" s="13"/>
      <x:c r="AE453" s="7"/>
      <x:c r="AF453" s="7"/>
      <x:c r="AG453" s="7"/>
      <x:c r="AH453" s="7"/>
      <x:c r="AI453" s="7"/>
      <x:c r="AJ453" s="9" t="str">
        <x:f>IF($A453="","",SUMIF(Sales_Items!$A$2:$A$501,$A453,Sales_Items!$O$2:$O$501))</x:f>
      </x:c>
      <x:c r="AK453" s="9" t="str">
        <x:f>IF($A453="","",$AJ453*$L453/100)</x:f>
      </x:c>
      <x:c r="AL453" s="9" t="str">
        <x:f>IF($A453="","",MAX(0,$AJ453-$AK453))</x:f>
      </x:c>
      <x:c r="AM453" s="9" t="str">
        <x:f>IF($A453="","",MAX(0,$AL453*$M453/100))</x:f>
      </x:c>
      <x:c r="AN453" s="9" t="str">
        <x:f>IF($A453="","",MAX(0,$AL453*$N453/100))</x:f>
      </x:c>
      <x:c r="AO453" s="9" t="str">
        <x:f>IF($A453="","",MAX(0,$AL453*$O453/100))</x:f>
      </x:c>
      <x:c r="AP453" s="9" t="str">
        <x:f>IF($A453="","",MAX(0,$AL453+$AM453+$P453+$W453-$AN453-$AO453-$Q453))</x:f>
      </x:c>
    </x:row>
    <x:row r="454">
      <x:c r="A454" s="13"/>
      <x:c r="B454" s="7"/>
      <x:c r="C454" s="13"/>
      <x:c r="D454" s="14"/>
      <x:c r="E454" s="8"/>
      <x:c r="F454" s="13"/>
      <x:c r="G454" s="7"/>
      <x:c r="H454" s="7"/>
      <x:c r="I454" s="7"/>
      <x:c r="J454" s="13"/>
      <x:c r="K454" s="16"/>
      <x:c r="L454" s="10"/>
      <x:c r="M454" s="10"/>
      <x:c r="N454" s="10"/>
      <x:c r="O454" s="10"/>
      <x:c r="P454" s="9"/>
      <x:c r="Q454" s="9"/>
      <x:c r="R454" s="7"/>
      <x:c r="S454" s="7"/>
      <x:c r="T454" s="7"/>
      <x:c r="U454" s="7"/>
      <x:c r="V454" s="7"/>
      <x:c r="W454" s="9"/>
      <x:c r="X454" s="7"/>
      <x:c r="Y454" s="9"/>
      <x:c r="Z454" s="8"/>
      <x:c r="AA454" s="8"/>
      <x:c r="AB454" s="7"/>
      <x:c r="AC454" s="7"/>
      <x:c r="AD454" s="13"/>
      <x:c r="AE454" s="7"/>
      <x:c r="AF454" s="7"/>
      <x:c r="AG454" s="7"/>
      <x:c r="AH454" s="7"/>
      <x:c r="AI454" s="7"/>
      <x:c r="AJ454" s="9" t="str">
        <x:f>IF($A454="","",SUMIF(Sales_Items!$A$2:$A$501,$A454,Sales_Items!$O$2:$O$501))</x:f>
      </x:c>
      <x:c r="AK454" s="9" t="str">
        <x:f>IF($A454="","",$AJ454*$L454/100)</x:f>
      </x:c>
      <x:c r="AL454" s="9" t="str">
        <x:f>IF($A454="","",MAX(0,$AJ454-$AK454))</x:f>
      </x:c>
      <x:c r="AM454" s="9" t="str">
        <x:f>IF($A454="","",MAX(0,$AL454*$M454/100))</x:f>
      </x:c>
      <x:c r="AN454" s="9" t="str">
        <x:f>IF($A454="","",MAX(0,$AL454*$N454/100))</x:f>
      </x:c>
      <x:c r="AO454" s="9" t="str">
        <x:f>IF($A454="","",MAX(0,$AL454*$O454/100))</x:f>
      </x:c>
      <x:c r="AP454" s="9" t="str">
        <x:f>IF($A454="","",MAX(0,$AL454+$AM454+$P454+$W454-$AN454-$AO454-$Q454))</x:f>
      </x:c>
    </x:row>
    <x:row r="455">
      <x:c r="A455" s="13"/>
      <x:c r="B455" s="7"/>
      <x:c r="C455" s="13"/>
      <x:c r="D455" s="14"/>
      <x:c r="E455" s="8"/>
      <x:c r="F455" s="13"/>
      <x:c r="G455" s="7"/>
      <x:c r="H455" s="7"/>
      <x:c r="I455" s="7"/>
      <x:c r="J455" s="13"/>
      <x:c r="K455" s="16"/>
      <x:c r="L455" s="10"/>
      <x:c r="M455" s="10"/>
      <x:c r="N455" s="10"/>
      <x:c r="O455" s="10"/>
      <x:c r="P455" s="9"/>
      <x:c r="Q455" s="9"/>
      <x:c r="R455" s="7"/>
      <x:c r="S455" s="7"/>
      <x:c r="T455" s="7"/>
      <x:c r="U455" s="7"/>
      <x:c r="V455" s="7"/>
      <x:c r="W455" s="9"/>
      <x:c r="X455" s="7"/>
      <x:c r="Y455" s="9"/>
      <x:c r="Z455" s="8"/>
      <x:c r="AA455" s="8"/>
      <x:c r="AB455" s="7"/>
      <x:c r="AC455" s="7"/>
      <x:c r="AD455" s="13"/>
      <x:c r="AE455" s="7"/>
      <x:c r="AF455" s="7"/>
      <x:c r="AG455" s="7"/>
      <x:c r="AH455" s="7"/>
      <x:c r="AI455" s="7"/>
      <x:c r="AJ455" s="9" t="str">
        <x:f>IF($A455="","",SUMIF(Sales_Items!$A$2:$A$501,$A455,Sales_Items!$O$2:$O$501))</x:f>
      </x:c>
      <x:c r="AK455" s="9" t="str">
        <x:f>IF($A455="","",$AJ455*$L455/100)</x:f>
      </x:c>
      <x:c r="AL455" s="9" t="str">
        <x:f>IF($A455="","",MAX(0,$AJ455-$AK455))</x:f>
      </x:c>
      <x:c r="AM455" s="9" t="str">
        <x:f>IF($A455="","",MAX(0,$AL455*$M455/100))</x:f>
      </x:c>
      <x:c r="AN455" s="9" t="str">
        <x:f>IF($A455="","",MAX(0,$AL455*$N455/100))</x:f>
      </x:c>
      <x:c r="AO455" s="9" t="str">
        <x:f>IF($A455="","",MAX(0,$AL455*$O455/100))</x:f>
      </x:c>
      <x:c r="AP455" s="9" t="str">
        <x:f>IF($A455="","",MAX(0,$AL455+$AM455+$P455+$W455-$AN455-$AO455-$Q455))</x:f>
      </x:c>
    </x:row>
    <x:row r="456">
      <x:c r="A456" s="13"/>
      <x:c r="B456" s="7"/>
      <x:c r="C456" s="13"/>
      <x:c r="D456" s="14"/>
      <x:c r="E456" s="8"/>
      <x:c r="F456" s="13"/>
      <x:c r="G456" s="7"/>
      <x:c r="H456" s="7"/>
      <x:c r="I456" s="7"/>
      <x:c r="J456" s="13"/>
      <x:c r="K456" s="16"/>
      <x:c r="L456" s="10"/>
      <x:c r="M456" s="10"/>
      <x:c r="N456" s="10"/>
      <x:c r="O456" s="10"/>
      <x:c r="P456" s="9"/>
      <x:c r="Q456" s="9"/>
      <x:c r="R456" s="7"/>
      <x:c r="S456" s="7"/>
      <x:c r="T456" s="7"/>
      <x:c r="U456" s="7"/>
      <x:c r="V456" s="7"/>
      <x:c r="W456" s="9"/>
      <x:c r="X456" s="7"/>
      <x:c r="Y456" s="9"/>
      <x:c r="Z456" s="8"/>
      <x:c r="AA456" s="8"/>
      <x:c r="AB456" s="7"/>
      <x:c r="AC456" s="7"/>
      <x:c r="AD456" s="13"/>
      <x:c r="AE456" s="7"/>
      <x:c r="AF456" s="7"/>
      <x:c r="AG456" s="7"/>
      <x:c r="AH456" s="7"/>
      <x:c r="AI456" s="7"/>
      <x:c r="AJ456" s="9" t="str">
        <x:f>IF($A456="","",SUMIF(Sales_Items!$A$2:$A$501,$A456,Sales_Items!$O$2:$O$501))</x:f>
      </x:c>
      <x:c r="AK456" s="9" t="str">
        <x:f>IF($A456="","",$AJ456*$L456/100)</x:f>
      </x:c>
      <x:c r="AL456" s="9" t="str">
        <x:f>IF($A456="","",MAX(0,$AJ456-$AK456))</x:f>
      </x:c>
      <x:c r="AM456" s="9" t="str">
        <x:f>IF($A456="","",MAX(0,$AL456*$M456/100))</x:f>
      </x:c>
      <x:c r="AN456" s="9" t="str">
        <x:f>IF($A456="","",MAX(0,$AL456*$N456/100))</x:f>
      </x:c>
      <x:c r="AO456" s="9" t="str">
        <x:f>IF($A456="","",MAX(0,$AL456*$O456/100))</x:f>
      </x:c>
      <x:c r="AP456" s="9" t="str">
        <x:f>IF($A456="","",MAX(0,$AL456+$AM456+$P456+$W456-$AN456-$AO456-$Q456))</x:f>
      </x:c>
    </x:row>
    <x:row r="457">
      <x:c r="A457" s="13"/>
      <x:c r="B457" s="7"/>
      <x:c r="C457" s="13"/>
      <x:c r="D457" s="14"/>
      <x:c r="E457" s="8"/>
      <x:c r="F457" s="13"/>
      <x:c r="G457" s="7"/>
      <x:c r="H457" s="7"/>
      <x:c r="I457" s="7"/>
      <x:c r="J457" s="13"/>
      <x:c r="K457" s="16"/>
      <x:c r="L457" s="10"/>
      <x:c r="M457" s="10"/>
      <x:c r="N457" s="10"/>
      <x:c r="O457" s="10"/>
      <x:c r="P457" s="9"/>
      <x:c r="Q457" s="9"/>
      <x:c r="R457" s="7"/>
      <x:c r="S457" s="7"/>
      <x:c r="T457" s="7"/>
      <x:c r="U457" s="7"/>
      <x:c r="V457" s="7"/>
      <x:c r="W457" s="9"/>
      <x:c r="X457" s="7"/>
      <x:c r="Y457" s="9"/>
      <x:c r="Z457" s="8"/>
      <x:c r="AA457" s="8"/>
      <x:c r="AB457" s="7"/>
      <x:c r="AC457" s="7"/>
      <x:c r="AD457" s="13"/>
      <x:c r="AE457" s="7"/>
      <x:c r="AF457" s="7"/>
      <x:c r="AG457" s="7"/>
      <x:c r="AH457" s="7"/>
      <x:c r="AI457" s="7"/>
      <x:c r="AJ457" s="9" t="str">
        <x:f>IF($A457="","",SUMIF(Sales_Items!$A$2:$A$501,$A457,Sales_Items!$O$2:$O$501))</x:f>
      </x:c>
      <x:c r="AK457" s="9" t="str">
        <x:f>IF($A457="","",$AJ457*$L457/100)</x:f>
      </x:c>
      <x:c r="AL457" s="9" t="str">
        <x:f>IF($A457="","",MAX(0,$AJ457-$AK457))</x:f>
      </x:c>
      <x:c r="AM457" s="9" t="str">
        <x:f>IF($A457="","",MAX(0,$AL457*$M457/100))</x:f>
      </x:c>
      <x:c r="AN457" s="9" t="str">
        <x:f>IF($A457="","",MAX(0,$AL457*$N457/100))</x:f>
      </x:c>
      <x:c r="AO457" s="9" t="str">
        <x:f>IF($A457="","",MAX(0,$AL457*$O457/100))</x:f>
      </x:c>
      <x:c r="AP457" s="9" t="str">
        <x:f>IF($A457="","",MAX(0,$AL457+$AM457+$P457+$W457-$AN457-$AO457-$Q457))</x:f>
      </x:c>
    </x:row>
    <x:row r="458">
      <x:c r="A458" s="13"/>
      <x:c r="B458" s="7"/>
      <x:c r="C458" s="13"/>
      <x:c r="D458" s="14"/>
      <x:c r="E458" s="8"/>
      <x:c r="F458" s="13"/>
      <x:c r="G458" s="7"/>
      <x:c r="H458" s="7"/>
      <x:c r="I458" s="7"/>
      <x:c r="J458" s="13"/>
      <x:c r="K458" s="16"/>
      <x:c r="L458" s="10"/>
      <x:c r="M458" s="10"/>
      <x:c r="N458" s="10"/>
      <x:c r="O458" s="10"/>
      <x:c r="P458" s="9"/>
      <x:c r="Q458" s="9"/>
      <x:c r="R458" s="7"/>
      <x:c r="S458" s="7"/>
      <x:c r="T458" s="7"/>
      <x:c r="U458" s="7"/>
      <x:c r="V458" s="7"/>
      <x:c r="W458" s="9"/>
      <x:c r="X458" s="7"/>
      <x:c r="Y458" s="9"/>
      <x:c r="Z458" s="8"/>
      <x:c r="AA458" s="8"/>
      <x:c r="AB458" s="7"/>
      <x:c r="AC458" s="7"/>
      <x:c r="AD458" s="13"/>
      <x:c r="AE458" s="7"/>
      <x:c r="AF458" s="7"/>
      <x:c r="AG458" s="7"/>
      <x:c r="AH458" s="7"/>
      <x:c r="AI458" s="7"/>
      <x:c r="AJ458" s="9" t="str">
        <x:f>IF($A458="","",SUMIF(Sales_Items!$A$2:$A$501,$A458,Sales_Items!$O$2:$O$501))</x:f>
      </x:c>
      <x:c r="AK458" s="9" t="str">
        <x:f>IF($A458="","",$AJ458*$L458/100)</x:f>
      </x:c>
      <x:c r="AL458" s="9" t="str">
        <x:f>IF($A458="","",MAX(0,$AJ458-$AK458))</x:f>
      </x:c>
      <x:c r="AM458" s="9" t="str">
        <x:f>IF($A458="","",MAX(0,$AL458*$M458/100))</x:f>
      </x:c>
      <x:c r="AN458" s="9" t="str">
        <x:f>IF($A458="","",MAX(0,$AL458*$N458/100))</x:f>
      </x:c>
      <x:c r="AO458" s="9" t="str">
        <x:f>IF($A458="","",MAX(0,$AL458*$O458/100))</x:f>
      </x:c>
      <x:c r="AP458" s="9" t="str">
        <x:f>IF($A458="","",MAX(0,$AL458+$AM458+$P458+$W458-$AN458-$AO458-$Q458))</x:f>
      </x:c>
    </x:row>
    <x:row r="459">
      <x:c r="A459" s="13"/>
      <x:c r="B459" s="7"/>
      <x:c r="C459" s="13"/>
      <x:c r="D459" s="14"/>
      <x:c r="E459" s="8"/>
      <x:c r="F459" s="13"/>
      <x:c r="G459" s="7"/>
      <x:c r="H459" s="7"/>
      <x:c r="I459" s="7"/>
      <x:c r="J459" s="13"/>
      <x:c r="K459" s="16"/>
      <x:c r="L459" s="10"/>
      <x:c r="M459" s="10"/>
      <x:c r="N459" s="10"/>
      <x:c r="O459" s="10"/>
      <x:c r="P459" s="9"/>
      <x:c r="Q459" s="9"/>
      <x:c r="R459" s="7"/>
      <x:c r="S459" s="7"/>
      <x:c r="T459" s="7"/>
      <x:c r="U459" s="7"/>
      <x:c r="V459" s="7"/>
      <x:c r="W459" s="9"/>
      <x:c r="X459" s="7"/>
      <x:c r="Y459" s="9"/>
      <x:c r="Z459" s="8"/>
      <x:c r="AA459" s="8"/>
      <x:c r="AB459" s="7"/>
      <x:c r="AC459" s="7"/>
      <x:c r="AD459" s="13"/>
      <x:c r="AE459" s="7"/>
      <x:c r="AF459" s="7"/>
      <x:c r="AG459" s="7"/>
      <x:c r="AH459" s="7"/>
      <x:c r="AI459" s="7"/>
      <x:c r="AJ459" s="9" t="str">
        <x:f>IF($A459="","",SUMIF(Sales_Items!$A$2:$A$501,$A459,Sales_Items!$O$2:$O$501))</x:f>
      </x:c>
      <x:c r="AK459" s="9" t="str">
        <x:f>IF($A459="","",$AJ459*$L459/100)</x:f>
      </x:c>
      <x:c r="AL459" s="9" t="str">
        <x:f>IF($A459="","",MAX(0,$AJ459-$AK459))</x:f>
      </x:c>
      <x:c r="AM459" s="9" t="str">
        <x:f>IF($A459="","",MAX(0,$AL459*$M459/100))</x:f>
      </x:c>
      <x:c r="AN459" s="9" t="str">
        <x:f>IF($A459="","",MAX(0,$AL459*$N459/100))</x:f>
      </x:c>
      <x:c r="AO459" s="9" t="str">
        <x:f>IF($A459="","",MAX(0,$AL459*$O459/100))</x:f>
      </x:c>
      <x:c r="AP459" s="9" t="str">
        <x:f>IF($A459="","",MAX(0,$AL459+$AM459+$P459+$W459-$AN459-$AO459-$Q459))</x:f>
      </x:c>
    </x:row>
    <x:row r="460">
      <x:c r="A460" s="13"/>
      <x:c r="B460" s="7"/>
      <x:c r="C460" s="13"/>
      <x:c r="D460" s="14"/>
      <x:c r="E460" s="8"/>
      <x:c r="F460" s="13"/>
      <x:c r="G460" s="7"/>
      <x:c r="H460" s="7"/>
      <x:c r="I460" s="7"/>
      <x:c r="J460" s="13"/>
      <x:c r="K460" s="16"/>
      <x:c r="L460" s="10"/>
      <x:c r="M460" s="10"/>
      <x:c r="N460" s="10"/>
      <x:c r="O460" s="10"/>
      <x:c r="P460" s="9"/>
      <x:c r="Q460" s="9"/>
      <x:c r="R460" s="7"/>
      <x:c r="S460" s="7"/>
      <x:c r="T460" s="7"/>
      <x:c r="U460" s="7"/>
      <x:c r="V460" s="7"/>
      <x:c r="W460" s="9"/>
      <x:c r="X460" s="7"/>
      <x:c r="Y460" s="9"/>
      <x:c r="Z460" s="8"/>
      <x:c r="AA460" s="8"/>
      <x:c r="AB460" s="7"/>
      <x:c r="AC460" s="7"/>
      <x:c r="AD460" s="13"/>
      <x:c r="AE460" s="7"/>
      <x:c r="AF460" s="7"/>
      <x:c r="AG460" s="7"/>
      <x:c r="AH460" s="7"/>
      <x:c r="AI460" s="7"/>
      <x:c r="AJ460" s="9" t="str">
        <x:f>IF($A460="","",SUMIF(Sales_Items!$A$2:$A$501,$A460,Sales_Items!$O$2:$O$501))</x:f>
      </x:c>
      <x:c r="AK460" s="9" t="str">
        <x:f>IF($A460="","",$AJ460*$L460/100)</x:f>
      </x:c>
      <x:c r="AL460" s="9" t="str">
        <x:f>IF($A460="","",MAX(0,$AJ460-$AK460))</x:f>
      </x:c>
      <x:c r="AM460" s="9" t="str">
        <x:f>IF($A460="","",MAX(0,$AL460*$M460/100))</x:f>
      </x:c>
      <x:c r="AN460" s="9" t="str">
        <x:f>IF($A460="","",MAX(0,$AL460*$N460/100))</x:f>
      </x:c>
      <x:c r="AO460" s="9" t="str">
        <x:f>IF($A460="","",MAX(0,$AL460*$O460/100))</x:f>
      </x:c>
      <x:c r="AP460" s="9" t="str">
        <x:f>IF($A460="","",MAX(0,$AL460+$AM460+$P460+$W460-$AN460-$AO460-$Q460))</x:f>
      </x:c>
    </x:row>
    <x:row r="461">
      <x:c r="A461" s="13"/>
      <x:c r="B461" s="7"/>
      <x:c r="C461" s="13"/>
      <x:c r="D461" s="14"/>
      <x:c r="E461" s="8"/>
      <x:c r="F461" s="13"/>
      <x:c r="G461" s="7"/>
      <x:c r="H461" s="7"/>
      <x:c r="I461" s="7"/>
      <x:c r="J461" s="13"/>
      <x:c r="K461" s="16"/>
      <x:c r="L461" s="10"/>
      <x:c r="M461" s="10"/>
      <x:c r="N461" s="10"/>
      <x:c r="O461" s="10"/>
      <x:c r="P461" s="9"/>
      <x:c r="Q461" s="9"/>
      <x:c r="R461" s="7"/>
      <x:c r="S461" s="7"/>
      <x:c r="T461" s="7"/>
      <x:c r="U461" s="7"/>
      <x:c r="V461" s="7"/>
      <x:c r="W461" s="9"/>
      <x:c r="X461" s="7"/>
      <x:c r="Y461" s="9"/>
      <x:c r="Z461" s="8"/>
      <x:c r="AA461" s="8"/>
      <x:c r="AB461" s="7"/>
      <x:c r="AC461" s="7"/>
      <x:c r="AD461" s="13"/>
      <x:c r="AE461" s="7"/>
      <x:c r="AF461" s="7"/>
      <x:c r="AG461" s="7"/>
      <x:c r="AH461" s="7"/>
      <x:c r="AI461" s="7"/>
      <x:c r="AJ461" s="9" t="str">
        <x:f>IF($A461="","",SUMIF(Sales_Items!$A$2:$A$501,$A461,Sales_Items!$O$2:$O$501))</x:f>
      </x:c>
      <x:c r="AK461" s="9" t="str">
        <x:f>IF($A461="","",$AJ461*$L461/100)</x:f>
      </x:c>
      <x:c r="AL461" s="9" t="str">
        <x:f>IF($A461="","",MAX(0,$AJ461-$AK461))</x:f>
      </x:c>
      <x:c r="AM461" s="9" t="str">
        <x:f>IF($A461="","",MAX(0,$AL461*$M461/100))</x:f>
      </x:c>
      <x:c r="AN461" s="9" t="str">
        <x:f>IF($A461="","",MAX(0,$AL461*$N461/100))</x:f>
      </x:c>
      <x:c r="AO461" s="9" t="str">
        <x:f>IF($A461="","",MAX(0,$AL461*$O461/100))</x:f>
      </x:c>
      <x:c r="AP461" s="9" t="str">
        <x:f>IF($A461="","",MAX(0,$AL461+$AM461+$P461+$W461-$AN461-$AO461-$Q461))</x:f>
      </x:c>
    </x:row>
    <x:row r="462">
      <x:c r="A462" s="13"/>
      <x:c r="B462" s="7"/>
      <x:c r="C462" s="13"/>
      <x:c r="D462" s="14"/>
      <x:c r="E462" s="8"/>
      <x:c r="F462" s="13"/>
      <x:c r="G462" s="7"/>
      <x:c r="H462" s="7"/>
      <x:c r="I462" s="7"/>
      <x:c r="J462" s="13"/>
      <x:c r="K462" s="16"/>
      <x:c r="L462" s="10"/>
      <x:c r="M462" s="10"/>
      <x:c r="N462" s="10"/>
      <x:c r="O462" s="10"/>
      <x:c r="P462" s="9"/>
      <x:c r="Q462" s="9"/>
      <x:c r="R462" s="7"/>
      <x:c r="S462" s="7"/>
      <x:c r="T462" s="7"/>
      <x:c r="U462" s="7"/>
      <x:c r="V462" s="7"/>
      <x:c r="W462" s="9"/>
      <x:c r="X462" s="7"/>
      <x:c r="Y462" s="9"/>
      <x:c r="Z462" s="8"/>
      <x:c r="AA462" s="8"/>
      <x:c r="AB462" s="7"/>
      <x:c r="AC462" s="7"/>
      <x:c r="AD462" s="13"/>
      <x:c r="AE462" s="7"/>
      <x:c r="AF462" s="7"/>
      <x:c r="AG462" s="7"/>
      <x:c r="AH462" s="7"/>
      <x:c r="AI462" s="7"/>
      <x:c r="AJ462" s="9" t="str">
        <x:f>IF($A462="","",SUMIF(Sales_Items!$A$2:$A$501,$A462,Sales_Items!$O$2:$O$501))</x:f>
      </x:c>
      <x:c r="AK462" s="9" t="str">
        <x:f>IF($A462="","",$AJ462*$L462/100)</x:f>
      </x:c>
      <x:c r="AL462" s="9" t="str">
        <x:f>IF($A462="","",MAX(0,$AJ462-$AK462))</x:f>
      </x:c>
      <x:c r="AM462" s="9" t="str">
        <x:f>IF($A462="","",MAX(0,$AL462*$M462/100))</x:f>
      </x:c>
      <x:c r="AN462" s="9" t="str">
        <x:f>IF($A462="","",MAX(0,$AL462*$N462/100))</x:f>
      </x:c>
      <x:c r="AO462" s="9" t="str">
        <x:f>IF($A462="","",MAX(0,$AL462*$O462/100))</x:f>
      </x:c>
      <x:c r="AP462" s="9" t="str">
        <x:f>IF($A462="","",MAX(0,$AL462+$AM462+$P462+$W462-$AN462-$AO462-$Q462))</x:f>
      </x:c>
    </x:row>
    <x:row r="463">
      <x:c r="A463" s="13"/>
      <x:c r="B463" s="7"/>
      <x:c r="C463" s="13"/>
      <x:c r="D463" s="14"/>
      <x:c r="E463" s="8"/>
      <x:c r="F463" s="13"/>
      <x:c r="G463" s="7"/>
      <x:c r="H463" s="7"/>
      <x:c r="I463" s="7"/>
      <x:c r="J463" s="13"/>
      <x:c r="K463" s="16"/>
      <x:c r="L463" s="10"/>
      <x:c r="M463" s="10"/>
      <x:c r="N463" s="10"/>
      <x:c r="O463" s="10"/>
      <x:c r="P463" s="9"/>
      <x:c r="Q463" s="9"/>
      <x:c r="R463" s="7"/>
      <x:c r="S463" s="7"/>
      <x:c r="T463" s="7"/>
      <x:c r="U463" s="7"/>
      <x:c r="V463" s="7"/>
      <x:c r="W463" s="9"/>
      <x:c r="X463" s="7"/>
      <x:c r="Y463" s="9"/>
      <x:c r="Z463" s="8"/>
      <x:c r="AA463" s="8"/>
      <x:c r="AB463" s="7"/>
      <x:c r="AC463" s="7"/>
      <x:c r="AD463" s="13"/>
      <x:c r="AE463" s="7"/>
      <x:c r="AF463" s="7"/>
      <x:c r="AG463" s="7"/>
      <x:c r="AH463" s="7"/>
      <x:c r="AI463" s="7"/>
      <x:c r="AJ463" s="9" t="str">
        <x:f>IF($A463="","",SUMIF(Sales_Items!$A$2:$A$501,$A463,Sales_Items!$O$2:$O$501))</x:f>
      </x:c>
      <x:c r="AK463" s="9" t="str">
        <x:f>IF($A463="","",$AJ463*$L463/100)</x:f>
      </x:c>
      <x:c r="AL463" s="9" t="str">
        <x:f>IF($A463="","",MAX(0,$AJ463-$AK463))</x:f>
      </x:c>
      <x:c r="AM463" s="9" t="str">
        <x:f>IF($A463="","",MAX(0,$AL463*$M463/100))</x:f>
      </x:c>
      <x:c r="AN463" s="9" t="str">
        <x:f>IF($A463="","",MAX(0,$AL463*$N463/100))</x:f>
      </x:c>
      <x:c r="AO463" s="9" t="str">
        <x:f>IF($A463="","",MAX(0,$AL463*$O463/100))</x:f>
      </x:c>
      <x:c r="AP463" s="9" t="str">
        <x:f>IF($A463="","",MAX(0,$AL463+$AM463+$P463+$W463-$AN463-$AO463-$Q463))</x:f>
      </x:c>
    </x:row>
    <x:row r="464">
      <x:c r="A464" s="13"/>
      <x:c r="B464" s="7"/>
      <x:c r="C464" s="13"/>
      <x:c r="D464" s="14"/>
      <x:c r="E464" s="8"/>
      <x:c r="F464" s="13"/>
      <x:c r="G464" s="7"/>
      <x:c r="H464" s="7"/>
      <x:c r="I464" s="7"/>
      <x:c r="J464" s="13"/>
      <x:c r="K464" s="16"/>
      <x:c r="L464" s="10"/>
      <x:c r="M464" s="10"/>
      <x:c r="N464" s="10"/>
      <x:c r="O464" s="10"/>
      <x:c r="P464" s="9"/>
      <x:c r="Q464" s="9"/>
      <x:c r="R464" s="7"/>
      <x:c r="S464" s="7"/>
      <x:c r="T464" s="7"/>
      <x:c r="U464" s="7"/>
      <x:c r="V464" s="7"/>
      <x:c r="W464" s="9"/>
      <x:c r="X464" s="7"/>
      <x:c r="Y464" s="9"/>
      <x:c r="Z464" s="8"/>
      <x:c r="AA464" s="8"/>
      <x:c r="AB464" s="7"/>
      <x:c r="AC464" s="7"/>
      <x:c r="AD464" s="13"/>
      <x:c r="AE464" s="7"/>
      <x:c r="AF464" s="7"/>
      <x:c r="AG464" s="7"/>
      <x:c r="AH464" s="7"/>
      <x:c r="AI464" s="7"/>
      <x:c r="AJ464" s="9" t="str">
        <x:f>IF($A464="","",SUMIF(Sales_Items!$A$2:$A$501,$A464,Sales_Items!$O$2:$O$501))</x:f>
      </x:c>
      <x:c r="AK464" s="9" t="str">
        <x:f>IF($A464="","",$AJ464*$L464/100)</x:f>
      </x:c>
      <x:c r="AL464" s="9" t="str">
        <x:f>IF($A464="","",MAX(0,$AJ464-$AK464))</x:f>
      </x:c>
      <x:c r="AM464" s="9" t="str">
        <x:f>IF($A464="","",MAX(0,$AL464*$M464/100))</x:f>
      </x:c>
      <x:c r="AN464" s="9" t="str">
        <x:f>IF($A464="","",MAX(0,$AL464*$N464/100))</x:f>
      </x:c>
      <x:c r="AO464" s="9" t="str">
        <x:f>IF($A464="","",MAX(0,$AL464*$O464/100))</x:f>
      </x:c>
      <x:c r="AP464" s="9" t="str">
        <x:f>IF($A464="","",MAX(0,$AL464+$AM464+$P464+$W464-$AN464-$AO464-$Q464))</x:f>
      </x:c>
    </x:row>
    <x:row r="465">
      <x:c r="A465" s="13"/>
      <x:c r="B465" s="7"/>
      <x:c r="C465" s="13"/>
      <x:c r="D465" s="14"/>
      <x:c r="E465" s="8"/>
      <x:c r="F465" s="13"/>
      <x:c r="G465" s="7"/>
      <x:c r="H465" s="7"/>
      <x:c r="I465" s="7"/>
      <x:c r="J465" s="13"/>
      <x:c r="K465" s="16"/>
      <x:c r="L465" s="10"/>
      <x:c r="M465" s="10"/>
      <x:c r="N465" s="10"/>
      <x:c r="O465" s="10"/>
      <x:c r="P465" s="9"/>
      <x:c r="Q465" s="9"/>
      <x:c r="R465" s="7"/>
      <x:c r="S465" s="7"/>
      <x:c r="T465" s="7"/>
      <x:c r="U465" s="7"/>
      <x:c r="V465" s="7"/>
      <x:c r="W465" s="9"/>
      <x:c r="X465" s="7"/>
      <x:c r="Y465" s="9"/>
      <x:c r="Z465" s="8"/>
      <x:c r="AA465" s="8"/>
      <x:c r="AB465" s="7"/>
      <x:c r="AC465" s="7"/>
      <x:c r="AD465" s="13"/>
      <x:c r="AE465" s="7"/>
      <x:c r="AF465" s="7"/>
      <x:c r="AG465" s="7"/>
      <x:c r="AH465" s="7"/>
      <x:c r="AI465" s="7"/>
      <x:c r="AJ465" s="9" t="str">
        <x:f>IF($A465="","",SUMIF(Sales_Items!$A$2:$A$501,$A465,Sales_Items!$O$2:$O$501))</x:f>
      </x:c>
      <x:c r="AK465" s="9" t="str">
        <x:f>IF($A465="","",$AJ465*$L465/100)</x:f>
      </x:c>
      <x:c r="AL465" s="9" t="str">
        <x:f>IF($A465="","",MAX(0,$AJ465-$AK465))</x:f>
      </x:c>
      <x:c r="AM465" s="9" t="str">
        <x:f>IF($A465="","",MAX(0,$AL465*$M465/100))</x:f>
      </x:c>
      <x:c r="AN465" s="9" t="str">
        <x:f>IF($A465="","",MAX(0,$AL465*$N465/100))</x:f>
      </x:c>
      <x:c r="AO465" s="9" t="str">
        <x:f>IF($A465="","",MAX(0,$AL465*$O465/100))</x:f>
      </x:c>
      <x:c r="AP465" s="9" t="str">
        <x:f>IF($A465="","",MAX(0,$AL465+$AM465+$P465+$W465-$AN465-$AO465-$Q465))</x:f>
      </x:c>
    </x:row>
    <x:row r="466">
      <x:c r="A466" s="13"/>
      <x:c r="B466" s="7"/>
      <x:c r="C466" s="13"/>
      <x:c r="D466" s="14"/>
      <x:c r="E466" s="8"/>
      <x:c r="F466" s="13"/>
      <x:c r="G466" s="7"/>
      <x:c r="H466" s="7"/>
      <x:c r="I466" s="7"/>
      <x:c r="J466" s="13"/>
      <x:c r="K466" s="16"/>
      <x:c r="L466" s="10"/>
      <x:c r="M466" s="10"/>
      <x:c r="N466" s="10"/>
      <x:c r="O466" s="10"/>
      <x:c r="P466" s="9"/>
      <x:c r="Q466" s="9"/>
      <x:c r="R466" s="7"/>
      <x:c r="S466" s="7"/>
      <x:c r="T466" s="7"/>
      <x:c r="U466" s="7"/>
      <x:c r="V466" s="7"/>
      <x:c r="W466" s="9"/>
      <x:c r="X466" s="7"/>
      <x:c r="Y466" s="9"/>
      <x:c r="Z466" s="8"/>
      <x:c r="AA466" s="8"/>
      <x:c r="AB466" s="7"/>
      <x:c r="AC466" s="7"/>
      <x:c r="AD466" s="13"/>
      <x:c r="AE466" s="7"/>
      <x:c r="AF466" s="7"/>
      <x:c r="AG466" s="7"/>
      <x:c r="AH466" s="7"/>
      <x:c r="AI466" s="7"/>
      <x:c r="AJ466" s="9" t="str">
        <x:f>IF($A466="","",SUMIF(Sales_Items!$A$2:$A$501,$A466,Sales_Items!$O$2:$O$501))</x:f>
      </x:c>
      <x:c r="AK466" s="9" t="str">
        <x:f>IF($A466="","",$AJ466*$L466/100)</x:f>
      </x:c>
      <x:c r="AL466" s="9" t="str">
        <x:f>IF($A466="","",MAX(0,$AJ466-$AK466))</x:f>
      </x:c>
      <x:c r="AM466" s="9" t="str">
        <x:f>IF($A466="","",MAX(0,$AL466*$M466/100))</x:f>
      </x:c>
      <x:c r="AN466" s="9" t="str">
        <x:f>IF($A466="","",MAX(0,$AL466*$N466/100))</x:f>
      </x:c>
      <x:c r="AO466" s="9" t="str">
        <x:f>IF($A466="","",MAX(0,$AL466*$O466/100))</x:f>
      </x:c>
      <x:c r="AP466" s="9" t="str">
        <x:f>IF($A466="","",MAX(0,$AL466+$AM466+$P466+$W466-$AN466-$AO466-$Q466))</x:f>
      </x:c>
    </x:row>
    <x:row r="467">
      <x:c r="A467" s="13"/>
      <x:c r="B467" s="7"/>
      <x:c r="C467" s="13"/>
      <x:c r="D467" s="14"/>
      <x:c r="E467" s="8"/>
      <x:c r="F467" s="13"/>
      <x:c r="G467" s="7"/>
      <x:c r="H467" s="7"/>
      <x:c r="I467" s="7"/>
      <x:c r="J467" s="13"/>
      <x:c r="K467" s="16"/>
      <x:c r="L467" s="10"/>
      <x:c r="M467" s="10"/>
      <x:c r="N467" s="10"/>
      <x:c r="O467" s="10"/>
      <x:c r="P467" s="9"/>
      <x:c r="Q467" s="9"/>
      <x:c r="R467" s="7"/>
      <x:c r="S467" s="7"/>
      <x:c r="T467" s="7"/>
      <x:c r="U467" s="7"/>
      <x:c r="V467" s="7"/>
      <x:c r="W467" s="9"/>
      <x:c r="X467" s="7"/>
      <x:c r="Y467" s="9"/>
      <x:c r="Z467" s="8"/>
      <x:c r="AA467" s="8"/>
      <x:c r="AB467" s="7"/>
      <x:c r="AC467" s="7"/>
      <x:c r="AD467" s="13"/>
      <x:c r="AE467" s="7"/>
      <x:c r="AF467" s="7"/>
      <x:c r="AG467" s="7"/>
      <x:c r="AH467" s="7"/>
      <x:c r="AI467" s="7"/>
      <x:c r="AJ467" s="9" t="str">
        <x:f>IF($A467="","",SUMIF(Sales_Items!$A$2:$A$501,$A467,Sales_Items!$O$2:$O$501))</x:f>
      </x:c>
      <x:c r="AK467" s="9" t="str">
        <x:f>IF($A467="","",$AJ467*$L467/100)</x:f>
      </x:c>
      <x:c r="AL467" s="9" t="str">
        <x:f>IF($A467="","",MAX(0,$AJ467-$AK467))</x:f>
      </x:c>
      <x:c r="AM467" s="9" t="str">
        <x:f>IF($A467="","",MAX(0,$AL467*$M467/100))</x:f>
      </x:c>
      <x:c r="AN467" s="9" t="str">
        <x:f>IF($A467="","",MAX(0,$AL467*$N467/100))</x:f>
      </x:c>
      <x:c r="AO467" s="9" t="str">
        <x:f>IF($A467="","",MAX(0,$AL467*$O467/100))</x:f>
      </x:c>
      <x:c r="AP467" s="9" t="str">
        <x:f>IF($A467="","",MAX(0,$AL467+$AM467+$P467+$W467-$AN467-$AO467-$Q467))</x:f>
      </x:c>
    </x:row>
    <x:row r="468">
      <x:c r="A468" s="13"/>
      <x:c r="B468" s="7"/>
      <x:c r="C468" s="13"/>
      <x:c r="D468" s="14"/>
      <x:c r="E468" s="8"/>
      <x:c r="F468" s="13"/>
      <x:c r="G468" s="7"/>
      <x:c r="H468" s="7"/>
      <x:c r="I468" s="7"/>
      <x:c r="J468" s="13"/>
      <x:c r="K468" s="16"/>
      <x:c r="L468" s="10"/>
      <x:c r="M468" s="10"/>
      <x:c r="N468" s="10"/>
      <x:c r="O468" s="10"/>
      <x:c r="P468" s="9"/>
      <x:c r="Q468" s="9"/>
      <x:c r="R468" s="7"/>
      <x:c r="S468" s="7"/>
      <x:c r="T468" s="7"/>
      <x:c r="U468" s="7"/>
      <x:c r="V468" s="7"/>
      <x:c r="W468" s="9"/>
      <x:c r="X468" s="7"/>
      <x:c r="Y468" s="9"/>
      <x:c r="Z468" s="8"/>
      <x:c r="AA468" s="8"/>
      <x:c r="AB468" s="7"/>
      <x:c r="AC468" s="7"/>
      <x:c r="AD468" s="13"/>
      <x:c r="AE468" s="7"/>
      <x:c r="AF468" s="7"/>
      <x:c r="AG468" s="7"/>
      <x:c r="AH468" s="7"/>
      <x:c r="AI468" s="7"/>
      <x:c r="AJ468" s="9" t="str">
        <x:f>IF($A468="","",SUMIF(Sales_Items!$A$2:$A$501,$A468,Sales_Items!$O$2:$O$501))</x:f>
      </x:c>
      <x:c r="AK468" s="9" t="str">
        <x:f>IF($A468="","",$AJ468*$L468/100)</x:f>
      </x:c>
      <x:c r="AL468" s="9" t="str">
        <x:f>IF($A468="","",MAX(0,$AJ468-$AK468))</x:f>
      </x:c>
      <x:c r="AM468" s="9" t="str">
        <x:f>IF($A468="","",MAX(0,$AL468*$M468/100))</x:f>
      </x:c>
      <x:c r="AN468" s="9" t="str">
        <x:f>IF($A468="","",MAX(0,$AL468*$N468/100))</x:f>
      </x:c>
      <x:c r="AO468" s="9" t="str">
        <x:f>IF($A468="","",MAX(0,$AL468*$O468/100))</x:f>
      </x:c>
      <x:c r="AP468" s="9" t="str">
        <x:f>IF($A468="","",MAX(0,$AL468+$AM468+$P468+$W468-$AN468-$AO468-$Q468))</x:f>
      </x:c>
    </x:row>
    <x:row r="469">
      <x:c r="A469" s="13"/>
      <x:c r="B469" s="7"/>
      <x:c r="C469" s="13"/>
      <x:c r="D469" s="14"/>
      <x:c r="E469" s="8"/>
      <x:c r="F469" s="13"/>
      <x:c r="G469" s="7"/>
      <x:c r="H469" s="7"/>
      <x:c r="I469" s="7"/>
      <x:c r="J469" s="13"/>
      <x:c r="K469" s="16"/>
      <x:c r="L469" s="10"/>
      <x:c r="M469" s="10"/>
      <x:c r="N469" s="10"/>
      <x:c r="O469" s="10"/>
      <x:c r="P469" s="9"/>
      <x:c r="Q469" s="9"/>
      <x:c r="R469" s="7"/>
      <x:c r="S469" s="7"/>
      <x:c r="T469" s="7"/>
      <x:c r="U469" s="7"/>
      <x:c r="V469" s="7"/>
      <x:c r="W469" s="9"/>
      <x:c r="X469" s="7"/>
      <x:c r="Y469" s="9"/>
      <x:c r="Z469" s="8"/>
      <x:c r="AA469" s="8"/>
      <x:c r="AB469" s="7"/>
      <x:c r="AC469" s="7"/>
      <x:c r="AD469" s="13"/>
      <x:c r="AE469" s="7"/>
      <x:c r="AF469" s="7"/>
      <x:c r="AG469" s="7"/>
      <x:c r="AH469" s="7"/>
      <x:c r="AI469" s="7"/>
      <x:c r="AJ469" s="9" t="str">
        <x:f>IF($A469="","",SUMIF(Sales_Items!$A$2:$A$501,$A469,Sales_Items!$O$2:$O$501))</x:f>
      </x:c>
      <x:c r="AK469" s="9" t="str">
        <x:f>IF($A469="","",$AJ469*$L469/100)</x:f>
      </x:c>
      <x:c r="AL469" s="9" t="str">
        <x:f>IF($A469="","",MAX(0,$AJ469-$AK469))</x:f>
      </x:c>
      <x:c r="AM469" s="9" t="str">
        <x:f>IF($A469="","",MAX(0,$AL469*$M469/100))</x:f>
      </x:c>
      <x:c r="AN469" s="9" t="str">
        <x:f>IF($A469="","",MAX(0,$AL469*$N469/100))</x:f>
      </x:c>
      <x:c r="AO469" s="9" t="str">
        <x:f>IF($A469="","",MAX(0,$AL469*$O469/100))</x:f>
      </x:c>
      <x:c r="AP469" s="9" t="str">
        <x:f>IF($A469="","",MAX(0,$AL469+$AM469+$P469+$W469-$AN469-$AO469-$Q469))</x:f>
      </x:c>
    </x:row>
    <x:row r="470">
      <x:c r="A470" s="13"/>
      <x:c r="B470" s="7"/>
      <x:c r="C470" s="13"/>
      <x:c r="D470" s="14"/>
      <x:c r="E470" s="8"/>
      <x:c r="F470" s="13"/>
      <x:c r="G470" s="7"/>
      <x:c r="H470" s="7"/>
      <x:c r="I470" s="7"/>
      <x:c r="J470" s="13"/>
      <x:c r="K470" s="16"/>
      <x:c r="L470" s="10"/>
      <x:c r="M470" s="10"/>
      <x:c r="N470" s="10"/>
      <x:c r="O470" s="10"/>
      <x:c r="P470" s="9"/>
      <x:c r="Q470" s="9"/>
      <x:c r="R470" s="7"/>
      <x:c r="S470" s="7"/>
      <x:c r="T470" s="7"/>
      <x:c r="U470" s="7"/>
      <x:c r="V470" s="7"/>
      <x:c r="W470" s="9"/>
      <x:c r="X470" s="7"/>
      <x:c r="Y470" s="9"/>
      <x:c r="Z470" s="8"/>
      <x:c r="AA470" s="8"/>
      <x:c r="AB470" s="7"/>
      <x:c r="AC470" s="7"/>
      <x:c r="AD470" s="13"/>
      <x:c r="AE470" s="7"/>
      <x:c r="AF470" s="7"/>
      <x:c r="AG470" s="7"/>
      <x:c r="AH470" s="7"/>
      <x:c r="AI470" s="7"/>
      <x:c r="AJ470" s="9" t="str">
        <x:f>IF($A470="","",SUMIF(Sales_Items!$A$2:$A$501,$A470,Sales_Items!$O$2:$O$501))</x:f>
      </x:c>
      <x:c r="AK470" s="9" t="str">
        <x:f>IF($A470="","",$AJ470*$L470/100)</x:f>
      </x:c>
      <x:c r="AL470" s="9" t="str">
        <x:f>IF($A470="","",MAX(0,$AJ470-$AK470))</x:f>
      </x:c>
      <x:c r="AM470" s="9" t="str">
        <x:f>IF($A470="","",MAX(0,$AL470*$M470/100))</x:f>
      </x:c>
      <x:c r="AN470" s="9" t="str">
        <x:f>IF($A470="","",MAX(0,$AL470*$N470/100))</x:f>
      </x:c>
      <x:c r="AO470" s="9" t="str">
        <x:f>IF($A470="","",MAX(0,$AL470*$O470/100))</x:f>
      </x:c>
      <x:c r="AP470" s="9" t="str">
        <x:f>IF($A470="","",MAX(0,$AL470+$AM470+$P470+$W470-$AN470-$AO470-$Q470))</x:f>
      </x:c>
    </x:row>
    <x:row r="471">
      <x:c r="A471" s="13"/>
      <x:c r="B471" s="7"/>
      <x:c r="C471" s="13"/>
      <x:c r="D471" s="14"/>
      <x:c r="E471" s="8"/>
      <x:c r="F471" s="13"/>
      <x:c r="G471" s="7"/>
      <x:c r="H471" s="7"/>
      <x:c r="I471" s="7"/>
      <x:c r="J471" s="13"/>
      <x:c r="K471" s="16"/>
      <x:c r="L471" s="10"/>
      <x:c r="M471" s="10"/>
      <x:c r="N471" s="10"/>
      <x:c r="O471" s="10"/>
      <x:c r="P471" s="9"/>
      <x:c r="Q471" s="9"/>
      <x:c r="R471" s="7"/>
      <x:c r="S471" s="7"/>
      <x:c r="T471" s="7"/>
      <x:c r="U471" s="7"/>
      <x:c r="V471" s="7"/>
      <x:c r="W471" s="9"/>
      <x:c r="X471" s="7"/>
      <x:c r="Y471" s="9"/>
      <x:c r="Z471" s="8"/>
      <x:c r="AA471" s="8"/>
      <x:c r="AB471" s="7"/>
      <x:c r="AC471" s="7"/>
      <x:c r="AD471" s="13"/>
      <x:c r="AE471" s="7"/>
      <x:c r="AF471" s="7"/>
      <x:c r="AG471" s="7"/>
      <x:c r="AH471" s="7"/>
      <x:c r="AI471" s="7"/>
      <x:c r="AJ471" s="9" t="str">
        <x:f>IF($A471="","",SUMIF(Sales_Items!$A$2:$A$501,$A471,Sales_Items!$O$2:$O$501))</x:f>
      </x:c>
      <x:c r="AK471" s="9" t="str">
        <x:f>IF($A471="","",$AJ471*$L471/100)</x:f>
      </x:c>
      <x:c r="AL471" s="9" t="str">
        <x:f>IF($A471="","",MAX(0,$AJ471-$AK471))</x:f>
      </x:c>
      <x:c r="AM471" s="9" t="str">
        <x:f>IF($A471="","",MAX(0,$AL471*$M471/100))</x:f>
      </x:c>
      <x:c r="AN471" s="9" t="str">
        <x:f>IF($A471="","",MAX(0,$AL471*$N471/100))</x:f>
      </x:c>
      <x:c r="AO471" s="9" t="str">
        <x:f>IF($A471="","",MAX(0,$AL471*$O471/100))</x:f>
      </x:c>
      <x:c r="AP471" s="9" t="str">
        <x:f>IF($A471="","",MAX(0,$AL471+$AM471+$P471+$W471-$AN471-$AO471-$Q471))</x:f>
      </x:c>
    </x:row>
    <x:row r="472">
      <x:c r="A472" s="13"/>
      <x:c r="B472" s="7"/>
      <x:c r="C472" s="13"/>
      <x:c r="D472" s="14"/>
      <x:c r="E472" s="8"/>
      <x:c r="F472" s="13"/>
      <x:c r="G472" s="7"/>
      <x:c r="H472" s="7"/>
      <x:c r="I472" s="7"/>
      <x:c r="J472" s="13"/>
      <x:c r="K472" s="16"/>
      <x:c r="L472" s="10"/>
      <x:c r="M472" s="10"/>
      <x:c r="N472" s="10"/>
      <x:c r="O472" s="10"/>
      <x:c r="P472" s="9"/>
      <x:c r="Q472" s="9"/>
      <x:c r="R472" s="7"/>
      <x:c r="S472" s="7"/>
      <x:c r="T472" s="7"/>
      <x:c r="U472" s="7"/>
      <x:c r="V472" s="7"/>
      <x:c r="W472" s="9"/>
      <x:c r="X472" s="7"/>
      <x:c r="Y472" s="9"/>
      <x:c r="Z472" s="8"/>
      <x:c r="AA472" s="8"/>
      <x:c r="AB472" s="7"/>
      <x:c r="AC472" s="7"/>
      <x:c r="AD472" s="13"/>
      <x:c r="AE472" s="7"/>
      <x:c r="AF472" s="7"/>
      <x:c r="AG472" s="7"/>
      <x:c r="AH472" s="7"/>
      <x:c r="AI472" s="7"/>
      <x:c r="AJ472" s="9" t="str">
        <x:f>IF($A472="","",SUMIF(Sales_Items!$A$2:$A$501,$A472,Sales_Items!$O$2:$O$501))</x:f>
      </x:c>
      <x:c r="AK472" s="9" t="str">
        <x:f>IF($A472="","",$AJ472*$L472/100)</x:f>
      </x:c>
      <x:c r="AL472" s="9" t="str">
        <x:f>IF($A472="","",MAX(0,$AJ472-$AK472))</x:f>
      </x:c>
      <x:c r="AM472" s="9" t="str">
        <x:f>IF($A472="","",MAX(0,$AL472*$M472/100))</x:f>
      </x:c>
      <x:c r="AN472" s="9" t="str">
        <x:f>IF($A472="","",MAX(0,$AL472*$N472/100))</x:f>
      </x:c>
      <x:c r="AO472" s="9" t="str">
        <x:f>IF($A472="","",MAX(0,$AL472*$O472/100))</x:f>
      </x:c>
      <x:c r="AP472" s="9" t="str">
        <x:f>IF($A472="","",MAX(0,$AL472+$AM472+$P472+$W472-$AN472-$AO472-$Q472))</x:f>
      </x:c>
    </x:row>
    <x:row r="473">
      <x:c r="A473" s="13"/>
      <x:c r="B473" s="7"/>
      <x:c r="C473" s="13"/>
      <x:c r="D473" s="14"/>
      <x:c r="E473" s="8"/>
      <x:c r="F473" s="13"/>
      <x:c r="G473" s="7"/>
      <x:c r="H473" s="7"/>
      <x:c r="I473" s="7"/>
      <x:c r="J473" s="13"/>
      <x:c r="K473" s="16"/>
      <x:c r="L473" s="10"/>
      <x:c r="M473" s="10"/>
      <x:c r="N473" s="10"/>
      <x:c r="O473" s="10"/>
      <x:c r="P473" s="9"/>
      <x:c r="Q473" s="9"/>
      <x:c r="R473" s="7"/>
      <x:c r="S473" s="7"/>
      <x:c r="T473" s="7"/>
      <x:c r="U473" s="7"/>
      <x:c r="V473" s="7"/>
      <x:c r="W473" s="9"/>
      <x:c r="X473" s="7"/>
      <x:c r="Y473" s="9"/>
      <x:c r="Z473" s="8"/>
      <x:c r="AA473" s="8"/>
      <x:c r="AB473" s="7"/>
      <x:c r="AC473" s="7"/>
      <x:c r="AD473" s="13"/>
      <x:c r="AE473" s="7"/>
      <x:c r="AF473" s="7"/>
      <x:c r="AG473" s="7"/>
      <x:c r="AH473" s="7"/>
      <x:c r="AI473" s="7"/>
      <x:c r="AJ473" s="9" t="str">
        <x:f>IF($A473="","",SUMIF(Sales_Items!$A$2:$A$501,$A473,Sales_Items!$O$2:$O$501))</x:f>
      </x:c>
      <x:c r="AK473" s="9" t="str">
        <x:f>IF($A473="","",$AJ473*$L473/100)</x:f>
      </x:c>
      <x:c r="AL473" s="9" t="str">
        <x:f>IF($A473="","",MAX(0,$AJ473-$AK473))</x:f>
      </x:c>
      <x:c r="AM473" s="9" t="str">
        <x:f>IF($A473="","",MAX(0,$AL473*$M473/100))</x:f>
      </x:c>
      <x:c r="AN473" s="9" t="str">
        <x:f>IF($A473="","",MAX(0,$AL473*$N473/100))</x:f>
      </x:c>
      <x:c r="AO473" s="9" t="str">
        <x:f>IF($A473="","",MAX(0,$AL473*$O473/100))</x:f>
      </x:c>
      <x:c r="AP473" s="9" t="str">
        <x:f>IF($A473="","",MAX(0,$AL473+$AM473+$P473+$W473-$AN473-$AO473-$Q473))</x:f>
      </x:c>
    </x:row>
    <x:row r="474">
      <x:c r="A474" s="13"/>
      <x:c r="B474" s="7"/>
      <x:c r="C474" s="13"/>
      <x:c r="D474" s="14"/>
      <x:c r="E474" s="8"/>
      <x:c r="F474" s="13"/>
      <x:c r="G474" s="7"/>
      <x:c r="H474" s="7"/>
      <x:c r="I474" s="7"/>
      <x:c r="J474" s="13"/>
      <x:c r="K474" s="16"/>
      <x:c r="L474" s="10"/>
      <x:c r="M474" s="10"/>
      <x:c r="N474" s="10"/>
      <x:c r="O474" s="10"/>
      <x:c r="P474" s="9"/>
      <x:c r="Q474" s="9"/>
      <x:c r="R474" s="7"/>
      <x:c r="S474" s="7"/>
      <x:c r="T474" s="7"/>
      <x:c r="U474" s="7"/>
      <x:c r="V474" s="7"/>
      <x:c r="W474" s="9"/>
      <x:c r="X474" s="7"/>
      <x:c r="Y474" s="9"/>
      <x:c r="Z474" s="8"/>
      <x:c r="AA474" s="8"/>
      <x:c r="AB474" s="7"/>
      <x:c r="AC474" s="7"/>
      <x:c r="AD474" s="13"/>
      <x:c r="AE474" s="7"/>
      <x:c r="AF474" s="7"/>
      <x:c r="AG474" s="7"/>
      <x:c r="AH474" s="7"/>
      <x:c r="AI474" s="7"/>
      <x:c r="AJ474" s="9" t="str">
        <x:f>IF($A474="","",SUMIF(Sales_Items!$A$2:$A$501,$A474,Sales_Items!$O$2:$O$501))</x:f>
      </x:c>
      <x:c r="AK474" s="9" t="str">
        <x:f>IF($A474="","",$AJ474*$L474/100)</x:f>
      </x:c>
      <x:c r="AL474" s="9" t="str">
        <x:f>IF($A474="","",MAX(0,$AJ474-$AK474))</x:f>
      </x:c>
      <x:c r="AM474" s="9" t="str">
        <x:f>IF($A474="","",MAX(0,$AL474*$M474/100))</x:f>
      </x:c>
      <x:c r="AN474" s="9" t="str">
        <x:f>IF($A474="","",MAX(0,$AL474*$N474/100))</x:f>
      </x:c>
      <x:c r="AO474" s="9" t="str">
        <x:f>IF($A474="","",MAX(0,$AL474*$O474/100))</x:f>
      </x:c>
      <x:c r="AP474" s="9" t="str">
        <x:f>IF($A474="","",MAX(0,$AL474+$AM474+$P474+$W474-$AN474-$AO474-$Q474))</x:f>
      </x:c>
    </x:row>
    <x:row r="475">
      <x:c r="A475" s="13"/>
      <x:c r="B475" s="7"/>
      <x:c r="C475" s="13"/>
      <x:c r="D475" s="14"/>
      <x:c r="E475" s="8"/>
      <x:c r="F475" s="13"/>
      <x:c r="G475" s="7"/>
      <x:c r="H475" s="7"/>
      <x:c r="I475" s="7"/>
      <x:c r="J475" s="13"/>
      <x:c r="K475" s="16"/>
      <x:c r="L475" s="10"/>
      <x:c r="M475" s="10"/>
      <x:c r="N475" s="10"/>
      <x:c r="O475" s="10"/>
      <x:c r="P475" s="9"/>
      <x:c r="Q475" s="9"/>
      <x:c r="R475" s="7"/>
      <x:c r="S475" s="7"/>
      <x:c r="T475" s="7"/>
      <x:c r="U475" s="7"/>
      <x:c r="V475" s="7"/>
      <x:c r="W475" s="9"/>
      <x:c r="X475" s="7"/>
      <x:c r="Y475" s="9"/>
      <x:c r="Z475" s="8"/>
      <x:c r="AA475" s="8"/>
      <x:c r="AB475" s="7"/>
      <x:c r="AC475" s="7"/>
      <x:c r="AD475" s="13"/>
      <x:c r="AE475" s="7"/>
      <x:c r="AF475" s="7"/>
      <x:c r="AG475" s="7"/>
      <x:c r="AH475" s="7"/>
      <x:c r="AI475" s="7"/>
      <x:c r="AJ475" s="9" t="str">
        <x:f>IF($A475="","",SUMIF(Sales_Items!$A$2:$A$501,$A475,Sales_Items!$O$2:$O$501))</x:f>
      </x:c>
      <x:c r="AK475" s="9" t="str">
        <x:f>IF($A475="","",$AJ475*$L475/100)</x:f>
      </x:c>
      <x:c r="AL475" s="9" t="str">
        <x:f>IF($A475="","",MAX(0,$AJ475-$AK475))</x:f>
      </x:c>
      <x:c r="AM475" s="9" t="str">
        <x:f>IF($A475="","",MAX(0,$AL475*$M475/100))</x:f>
      </x:c>
      <x:c r="AN475" s="9" t="str">
        <x:f>IF($A475="","",MAX(0,$AL475*$N475/100))</x:f>
      </x:c>
      <x:c r="AO475" s="9" t="str">
        <x:f>IF($A475="","",MAX(0,$AL475*$O475/100))</x:f>
      </x:c>
      <x:c r="AP475" s="9" t="str">
        <x:f>IF($A475="","",MAX(0,$AL475+$AM475+$P475+$W475-$AN475-$AO475-$Q475))</x:f>
      </x:c>
    </x:row>
    <x:row r="476">
      <x:c r="A476" s="13"/>
      <x:c r="B476" s="7"/>
      <x:c r="C476" s="13"/>
      <x:c r="D476" s="14"/>
      <x:c r="E476" s="8"/>
      <x:c r="F476" s="13"/>
      <x:c r="G476" s="7"/>
      <x:c r="H476" s="7"/>
      <x:c r="I476" s="7"/>
      <x:c r="J476" s="13"/>
      <x:c r="K476" s="16"/>
      <x:c r="L476" s="10"/>
      <x:c r="M476" s="10"/>
      <x:c r="N476" s="10"/>
      <x:c r="O476" s="10"/>
      <x:c r="P476" s="9"/>
      <x:c r="Q476" s="9"/>
      <x:c r="R476" s="7"/>
      <x:c r="S476" s="7"/>
      <x:c r="T476" s="7"/>
      <x:c r="U476" s="7"/>
      <x:c r="V476" s="7"/>
      <x:c r="W476" s="9"/>
      <x:c r="X476" s="7"/>
      <x:c r="Y476" s="9"/>
      <x:c r="Z476" s="8"/>
      <x:c r="AA476" s="8"/>
      <x:c r="AB476" s="7"/>
      <x:c r="AC476" s="7"/>
      <x:c r="AD476" s="13"/>
      <x:c r="AE476" s="7"/>
      <x:c r="AF476" s="7"/>
      <x:c r="AG476" s="7"/>
      <x:c r="AH476" s="7"/>
      <x:c r="AI476" s="7"/>
      <x:c r="AJ476" s="9" t="str">
        <x:f>IF($A476="","",SUMIF(Sales_Items!$A$2:$A$501,$A476,Sales_Items!$O$2:$O$501))</x:f>
      </x:c>
      <x:c r="AK476" s="9" t="str">
        <x:f>IF($A476="","",$AJ476*$L476/100)</x:f>
      </x:c>
      <x:c r="AL476" s="9" t="str">
        <x:f>IF($A476="","",MAX(0,$AJ476-$AK476))</x:f>
      </x:c>
      <x:c r="AM476" s="9" t="str">
        <x:f>IF($A476="","",MAX(0,$AL476*$M476/100))</x:f>
      </x:c>
      <x:c r="AN476" s="9" t="str">
        <x:f>IF($A476="","",MAX(0,$AL476*$N476/100))</x:f>
      </x:c>
      <x:c r="AO476" s="9" t="str">
        <x:f>IF($A476="","",MAX(0,$AL476*$O476/100))</x:f>
      </x:c>
      <x:c r="AP476" s="9" t="str">
        <x:f>IF($A476="","",MAX(0,$AL476+$AM476+$P476+$W476-$AN476-$AO476-$Q476))</x:f>
      </x:c>
    </x:row>
    <x:row r="477">
      <x:c r="A477" s="13"/>
      <x:c r="B477" s="7"/>
      <x:c r="C477" s="13"/>
      <x:c r="D477" s="14"/>
      <x:c r="E477" s="8"/>
      <x:c r="F477" s="13"/>
      <x:c r="G477" s="7"/>
      <x:c r="H477" s="7"/>
      <x:c r="I477" s="7"/>
      <x:c r="J477" s="13"/>
      <x:c r="K477" s="16"/>
      <x:c r="L477" s="10"/>
      <x:c r="M477" s="10"/>
      <x:c r="N477" s="10"/>
      <x:c r="O477" s="10"/>
      <x:c r="P477" s="9"/>
      <x:c r="Q477" s="9"/>
      <x:c r="R477" s="7"/>
      <x:c r="S477" s="7"/>
      <x:c r="T477" s="7"/>
      <x:c r="U477" s="7"/>
      <x:c r="V477" s="7"/>
      <x:c r="W477" s="9"/>
      <x:c r="X477" s="7"/>
      <x:c r="Y477" s="9"/>
      <x:c r="Z477" s="8"/>
      <x:c r="AA477" s="8"/>
      <x:c r="AB477" s="7"/>
      <x:c r="AC477" s="7"/>
      <x:c r="AD477" s="13"/>
      <x:c r="AE477" s="7"/>
      <x:c r="AF477" s="7"/>
      <x:c r="AG477" s="7"/>
      <x:c r="AH477" s="7"/>
      <x:c r="AI477" s="7"/>
      <x:c r="AJ477" s="9" t="str">
        <x:f>IF($A477="","",SUMIF(Sales_Items!$A$2:$A$501,$A477,Sales_Items!$O$2:$O$501))</x:f>
      </x:c>
      <x:c r="AK477" s="9" t="str">
        <x:f>IF($A477="","",$AJ477*$L477/100)</x:f>
      </x:c>
      <x:c r="AL477" s="9" t="str">
        <x:f>IF($A477="","",MAX(0,$AJ477-$AK477))</x:f>
      </x:c>
      <x:c r="AM477" s="9" t="str">
        <x:f>IF($A477="","",MAX(0,$AL477*$M477/100))</x:f>
      </x:c>
      <x:c r="AN477" s="9" t="str">
        <x:f>IF($A477="","",MAX(0,$AL477*$N477/100))</x:f>
      </x:c>
      <x:c r="AO477" s="9" t="str">
        <x:f>IF($A477="","",MAX(0,$AL477*$O477/100))</x:f>
      </x:c>
      <x:c r="AP477" s="9" t="str">
        <x:f>IF($A477="","",MAX(0,$AL477+$AM477+$P477+$W477-$AN477-$AO477-$Q477))</x:f>
      </x:c>
    </x:row>
    <x:row r="478">
      <x:c r="A478" s="13"/>
      <x:c r="B478" s="7"/>
      <x:c r="C478" s="13"/>
      <x:c r="D478" s="14"/>
      <x:c r="E478" s="8"/>
      <x:c r="F478" s="13"/>
      <x:c r="G478" s="7"/>
      <x:c r="H478" s="7"/>
      <x:c r="I478" s="7"/>
      <x:c r="J478" s="13"/>
      <x:c r="K478" s="16"/>
      <x:c r="L478" s="10"/>
      <x:c r="M478" s="10"/>
      <x:c r="N478" s="10"/>
      <x:c r="O478" s="10"/>
      <x:c r="P478" s="9"/>
      <x:c r="Q478" s="9"/>
      <x:c r="R478" s="7"/>
      <x:c r="S478" s="7"/>
      <x:c r="T478" s="7"/>
      <x:c r="U478" s="7"/>
      <x:c r="V478" s="7"/>
      <x:c r="W478" s="9"/>
      <x:c r="X478" s="7"/>
      <x:c r="Y478" s="9"/>
      <x:c r="Z478" s="8"/>
      <x:c r="AA478" s="8"/>
      <x:c r="AB478" s="7"/>
      <x:c r="AC478" s="7"/>
      <x:c r="AD478" s="13"/>
      <x:c r="AE478" s="7"/>
      <x:c r="AF478" s="7"/>
      <x:c r="AG478" s="7"/>
      <x:c r="AH478" s="7"/>
      <x:c r="AI478" s="7"/>
      <x:c r="AJ478" s="9" t="str">
        <x:f>IF($A478="","",SUMIF(Sales_Items!$A$2:$A$501,$A478,Sales_Items!$O$2:$O$501))</x:f>
      </x:c>
      <x:c r="AK478" s="9" t="str">
        <x:f>IF($A478="","",$AJ478*$L478/100)</x:f>
      </x:c>
      <x:c r="AL478" s="9" t="str">
        <x:f>IF($A478="","",MAX(0,$AJ478-$AK478))</x:f>
      </x:c>
      <x:c r="AM478" s="9" t="str">
        <x:f>IF($A478="","",MAX(0,$AL478*$M478/100))</x:f>
      </x:c>
      <x:c r="AN478" s="9" t="str">
        <x:f>IF($A478="","",MAX(0,$AL478*$N478/100))</x:f>
      </x:c>
      <x:c r="AO478" s="9" t="str">
        <x:f>IF($A478="","",MAX(0,$AL478*$O478/100))</x:f>
      </x:c>
      <x:c r="AP478" s="9" t="str">
        <x:f>IF($A478="","",MAX(0,$AL478+$AM478+$P478+$W478-$AN478-$AO478-$Q478))</x:f>
      </x:c>
    </x:row>
    <x:row r="479">
      <x:c r="A479" s="13"/>
      <x:c r="B479" s="7"/>
      <x:c r="C479" s="13"/>
      <x:c r="D479" s="14"/>
      <x:c r="E479" s="8"/>
      <x:c r="F479" s="13"/>
      <x:c r="G479" s="7"/>
      <x:c r="H479" s="7"/>
      <x:c r="I479" s="7"/>
      <x:c r="J479" s="13"/>
      <x:c r="K479" s="16"/>
      <x:c r="L479" s="10"/>
      <x:c r="M479" s="10"/>
      <x:c r="N479" s="10"/>
      <x:c r="O479" s="10"/>
      <x:c r="P479" s="9"/>
      <x:c r="Q479" s="9"/>
      <x:c r="R479" s="7"/>
      <x:c r="S479" s="7"/>
      <x:c r="T479" s="7"/>
      <x:c r="U479" s="7"/>
      <x:c r="V479" s="7"/>
      <x:c r="W479" s="9"/>
      <x:c r="X479" s="7"/>
      <x:c r="Y479" s="9"/>
      <x:c r="Z479" s="8"/>
      <x:c r="AA479" s="8"/>
      <x:c r="AB479" s="7"/>
      <x:c r="AC479" s="7"/>
      <x:c r="AD479" s="13"/>
      <x:c r="AE479" s="7"/>
      <x:c r="AF479" s="7"/>
      <x:c r="AG479" s="7"/>
      <x:c r="AH479" s="7"/>
      <x:c r="AI479" s="7"/>
      <x:c r="AJ479" s="9" t="str">
        <x:f>IF($A479="","",SUMIF(Sales_Items!$A$2:$A$501,$A479,Sales_Items!$O$2:$O$501))</x:f>
      </x:c>
      <x:c r="AK479" s="9" t="str">
        <x:f>IF($A479="","",$AJ479*$L479/100)</x:f>
      </x:c>
      <x:c r="AL479" s="9" t="str">
        <x:f>IF($A479="","",MAX(0,$AJ479-$AK479))</x:f>
      </x:c>
      <x:c r="AM479" s="9" t="str">
        <x:f>IF($A479="","",MAX(0,$AL479*$M479/100))</x:f>
      </x:c>
      <x:c r="AN479" s="9" t="str">
        <x:f>IF($A479="","",MAX(0,$AL479*$N479/100))</x:f>
      </x:c>
      <x:c r="AO479" s="9" t="str">
        <x:f>IF($A479="","",MAX(0,$AL479*$O479/100))</x:f>
      </x:c>
      <x:c r="AP479" s="9" t="str">
        <x:f>IF($A479="","",MAX(0,$AL479+$AM479+$P479+$W479-$AN479-$AO479-$Q479))</x:f>
      </x:c>
    </x:row>
    <x:row r="480">
      <x:c r="A480" s="13"/>
      <x:c r="B480" s="7"/>
      <x:c r="C480" s="13"/>
      <x:c r="D480" s="14"/>
      <x:c r="E480" s="8"/>
      <x:c r="F480" s="13"/>
      <x:c r="G480" s="7"/>
      <x:c r="H480" s="7"/>
      <x:c r="I480" s="7"/>
      <x:c r="J480" s="13"/>
      <x:c r="K480" s="16"/>
      <x:c r="L480" s="10"/>
      <x:c r="M480" s="10"/>
      <x:c r="N480" s="10"/>
      <x:c r="O480" s="10"/>
      <x:c r="P480" s="9"/>
      <x:c r="Q480" s="9"/>
      <x:c r="R480" s="7"/>
      <x:c r="S480" s="7"/>
      <x:c r="T480" s="7"/>
      <x:c r="U480" s="7"/>
      <x:c r="V480" s="7"/>
      <x:c r="W480" s="9"/>
      <x:c r="X480" s="7"/>
      <x:c r="Y480" s="9"/>
      <x:c r="Z480" s="8"/>
      <x:c r="AA480" s="8"/>
      <x:c r="AB480" s="7"/>
      <x:c r="AC480" s="7"/>
      <x:c r="AD480" s="13"/>
      <x:c r="AE480" s="7"/>
      <x:c r="AF480" s="7"/>
      <x:c r="AG480" s="7"/>
      <x:c r="AH480" s="7"/>
      <x:c r="AI480" s="7"/>
      <x:c r="AJ480" s="9" t="str">
        <x:f>IF($A480="","",SUMIF(Sales_Items!$A$2:$A$501,$A480,Sales_Items!$O$2:$O$501))</x:f>
      </x:c>
      <x:c r="AK480" s="9" t="str">
        <x:f>IF($A480="","",$AJ480*$L480/100)</x:f>
      </x:c>
      <x:c r="AL480" s="9" t="str">
        <x:f>IF($A480="","",MAX(0,$AJ480-$AK480))</x:f>
      </x:c>
      <x:c r="AM480" s="9" t="str">
        <x:f>IF($A480="","",MAX(0,$AL480*$M480/100))</x:f>
      </x:c>
      <x:c r="AN480" s="9" t="str">
        <x:f>IF($A480="","",MAX(0,$AL480*$N480/100))</x:f>
      </x:c>
      <x:c r="AO480" s="9" t="str">
        <x:f>IF($A480="","",MAX(0,$AL480*$O480/100))</x:f>
      </x:c>
      <x:c r="AP480" s="9" t="str">
        <x:f>IF($A480="","",MAX(0,$AL480+$AM480+$P480+$W480-$AN480-$AO480-$Q480))</x:f>
      </x:c>
    </x:row>
    <x:row r="481">
      <x:c r="A481" s="13"/>
      <x:c r="B481" s="7"/>
      <x:c r="C481" s="13"/>
      <x:c r="D481" s="14"/>
      <x:c r="E481" s="8"/>
      <x:c r="F481" s="13"/>
      <x:c r="G481" s="7"/>
      <x:c r="H481" s="7"/>
      <x:c r="I481" s="7"/>
      <x:c r="J481" s="13"/>
      <x:c r="K481" s="16"/>
      <x:c r="L481" s="10"/>
      <x:c r="M481" s="10"/>
      <x:c r="N481" s="10"/>
      <x:c r="O481" s="10"/>
      <x:c r="P481" s="9"/>
      <x:c r="Q481" s="9"/>
      <x:c r="R481" s="7"/>
      <x:c r="S481" s="7"/>
      <x:c r="T481" s="7"/>
      <x:c r="U481" s="7"/>
      <x:c r="V481" s="7"/>
      <x:c r="W481" s="9"/>
      <x:c r="X481" s="7"/>
      <x:c r="Y481" s="9"/>
      <x:c r="Z481" s="8"/>
      <x:c r="AA481" s="8"/>
      <x:c r="AB481" s="7"/>
      <x:c r="AC481" s="7"/>
      <x:c r="AD481" s="13"/>
      <x:c r="AE481" s="7"/>
      <x:c r="AF481" s="7"/>
      <x:c r="AG481" s="7"/>
      <x:c r="AH481" s="7"/>
      <x:c r="AI481" s="7"/>
      <x:c r="AJ481" s="9" t="str">
        <x:f>IF($A481="","",SUMIF(Sales_Items!$A$2:$A$501,$A481,Sales_Items!$O$2:$O$501))</x:f>
      </x:c>
      <x:c r="AK481" s="9" t="str">
        <x:f>IF($A481="","",$AJ481*$L481/100)</x:f>
      </x:c>
      <x:c r="AL481" s="9" t="str">
        <x:f>IF($A481="","",MAX(0,$AJ481-$AK481))</x:f>
      </x:c>
      <x:c r="AM481" s="9" t="str">
        <x:f>IF($A481="","",MAX(0,$AL481*$M481/100))</x:f>
      </x:c>
      <x:c r="AN481" s="9" t="str">
        <x:f>IF($A481="","",MAX(0,$AL481*$N481/100))</x:f>
      </x:c>
      <x:c r="AO481" s="9" t="str">
        <x:f>IF($A481="","",MAX(0,$AL481*$O481/100))</x:f>
      </x:c>
      <x:c r="AP481" s="9" t="str">
        <x:f>IF($A481="","",MAX(0,$AL481+$AM481+$P481+$W481-$AN481-$AO481-$Q481))</x:f>
      </x:c>
    </x:row>
    <x:row r="482">
      <x:c r="A482" s="13"/>
      <x:c r="B482" s="7"/>
      <x:c r="C482" s="13"/>
      <x:c r="D482" s="14"/>
      <x:c r="E482" s="8"/>
      <x:c r="F482" s="13"/>
      <x:c r="G482" s="7"/>
      <x:c r="H482" s="7"/>
      <x:c r="I482" s="7"/>
      <x:c r="J482" s="13"/>
      <x:c r="K482" s="16"/>
      <x:c r="L482" s="10"/>
      <x:c r="M482" s="10"/>
      <x:c r="N482" s="10"/>
      <x:c r="O482" s="10"/>
      <x:c r="P482" s="9"/>
      <x:c r="Q482" s="9"/>
      <x:c r="R482" s="7"/>
      <x:c r="S482" s="7"/>
      <x:c r="T482" s="7"/>
      <x:c r="U482" s="7"/>
      <x:c r="V482" s="7"/>
      <x:c r="W482" s="9"/>
      <x:c r="X482" s="7"/>
      <x:c r="Y482" s="9"/>
      <x:c r="Z482" s="8"/>
      <x:c r="AA482" s="8"/>
      <x:c r="AB482" s="7"/>
      <x:c r="AC482" s="7"/>
      <x:c r="AD482" s="13"/>
      <x:c r="AE482" s="7"/>
      <x:c r="AF482" s="7"/>
      <x:c r="AG482" s="7"/>
      <x:c r="AH482" s="7"/>
      <x:c r="AI482" s="7"/>
      <x:c r="AJ482" s="9" t="str">
        <x:f>IF($A482="","",SUMIF(Sales_Items!$A$2:$A$501,$A482,Sales_Items!$O$2:$O$501))</x:f>
      </x:c>
      <x:c r="AK482" s="9" t="str">
        <x:f>IF($A482="","",$AJ482*$L482/100)</x:f>
      </x:c>
      <x:c r="AL482" s="9" t="str">
        <x:f>IF($A482="","",MAX(0,$AJ482-$AK482))</x:f>
      </x:c>
      <x:c r="AM482" s="9" t="str">
        <x:f>IF($A482="","",MAX(0,$AL482*$M482/100))</x:f>
      </x:c>
      <x:c r="AN482" s="9" t="str">
        <x:f>IF($A482="","",MAX(0,$AL482*$N482/100))</x:f>
      </x:c>
      <x:c r="AO482" s="9" t="str">
        <x:f>IF($A482="","",MAX(0,$AL482*$O482/100))</x:f>
      </x:c>
      <x:c r="AP482" s="9" t="str">
        <x:f>IF($A482="","",MAX(0,$AL482+$AM482+$P482+$W482-$AN482-$AO482-$Q482))</x:f>
      </x:c>
    </x:row>
    <x:row r="483">
      <x:c r="A483" s="13"/>
      <x:c r="B483" s="7"/>
      <x:c r="C483" s="13"/>
      <x:c r="D483" s="14"/>
      <x:c r="E483" s="8"/>
      <x:c r="F483" s="13"/>
      <x:c r="G483" s="7"/>
      <x:c r="H483" s="7"/>
      <x:c r="I483" s="7"/>
      <x:c r="J483" s="13"/>
      <x:c r="K483" s="16"/>
      <x:c r="L483" s="10"/>
      <x:c r="M483" s="10"/>
      <x:c r="N483" s="10"/>
      <x:c r="O483" s="10"/>
      <x:c r="P483" s="9"/>
      <x:c r="Q483" s="9"/>
      <x:c r="R483" s="7"/>
      <x:c r="S483" s="7"/>
      <x:c r="T483" s="7"/>
      <x:c r="U483" s="7"/>
      <x:c r="V483" s="7"/>
      <x:c r="W483" s="9"/>
      <x:c r="X483" s="7"/>
      <x:c r="Y483" s="9"/>
      <x:c r="Z483" s="8"/>
      <x:c r="AA483" s="8"/>
      <x:c r="AB483" s="7"/>
      <x:c r="AC483" s="7"/>
      <x:c r="AD483" s="13"/>
      <x:c r="AE483" s="7"/>
      <x:c r="AF483" s="7"/>
      <x:c r="AG483" s="7"/>
      <x:c r="AH483" s="7"/>
      <x:c r="AI483" s="7"/>
      <x:c r="AJ483" s="9" t="str">
        <x:f>IF($A483="","",SUMIF(Sales_Items!$A$2:$A$501,$A483,Sales_Items!$O$2:$O$501))</x:f>
      </x:c>
      <x:c r="AK483" s="9" t="str">
        <x:f>IF($A483="","",$AJ483*$L483/100)</x:f>
      </x:c>
      <x:c r="AL483" s="9" t="str">
        <x:f>IF($A483="","",MAX(0,$AJ483-$AK483))</x:f>
      </x:c>
      <x:c r="AM483" s="9" t="str">
        <x:f>IF($A483="","",MAX(0,$AL483*$M483/100))</x:f>
      </x:c>
      <x:c r="AN483" s="9" t="str">
        <x:f>IF($A483="","",MAX(0,$AL483*$N483/100))</x:f>
      </x:c>
      <x:c r="AO483" s="9" t="str">
        <x:f>IF($A483="","",MAX(0,$AL483*$O483/100))</x:f>
      </x:c>
      <x:c r="AP483" s="9" t="str">
        <x:f>IF($A483="","",MAX(0,$AL483+$AM483+$P483+$W483-$AN483-$AO483-$Q483))</x:f>
      </x:c>
    </x:row>
    <x:row r="484">
      <x:c r="A484" s="13"/>
      <x:c r="B484" s="7"/>
      <x:c r="C484" s="13"/>
      <x:c r="D484" s="14"/>
      <x:c r="E484" s="8"/>
      <x:c r="F484" s="13"/>
      <x:c r="G484" s="7"/>
      <x:c r="H484" s="7"/>
      <x:c r="I484" s="7"/>
      <x:c r="J484" s="13"/>
      <x:c r="K484" s="16"/>
      <x:c r="L484" s="10"/>
      <x:c r="M484" s="10"/>
      <x:c r="N484" s="10"/>
      <x:c r="O484" s="10"/>
      <x:c r="P484" s="9"/>
      <x:c r="Q484" s="9"/>
      <x:c r="R484" s="7"/>
      <x:c r="S484" s="7"/>
      <x:c r="T484" s="7"/>
      <x:c r="U484" s="7"/>
      <x:c r="V484" s="7"/>
      <x:c r="W484" s="9"/>
      <x:c r="X484" s="7"/>
      <x:c r="Y484" s="9"/>
      <x:c r="Z484" s="8"/>
      <x:c r="AA484" s="8"/>
      <x:c r="AB484" s="7"/>
      <x:c r="AC484" s="7"/>
      <x:c r="AD484" s="13"/>
      <x:c r="AE484" s="7"/>
      <x:c r="AF484" s="7"/>
      <x:c r="AG484" s="7"/>
      <x:c r="AH484" s="7"/>
      <x:c r="AI484" s="7"/>
      <x:c r="AJ484" s="9" t="str">
        <x:f>IF($A484="","",SUMIF(Sales_Items!$A$2:$A$501,$A484,Sales_Items!$O$2:$O$501))</x:f>
      </x:c>
      <x:c r="AK484" s="9" t="str">
        <x:f>IF($A484="","",$AJ484*$L484/100)</x:f>
      </x:c>
      <x:c r="AL484" s="9" t="str">
        <x:f>IF($A484="","",MAX(0,$AJ484-$AK484))</x:f>
      </x:c>
      <x:c r="AM484" s="9" t="str">
        <x:f>IF($A484="","",MAX(0,$AL484*$M484/100))</x:f>
      </x:c>
      <x:c r="AN484" s="9" t="str">
        <x:f>IF($A484="","",MAX(0,$AL484*$N484/100))</x:f>
      </x:c>
      <x:c r="AO484" s="9" t="str">
        <x:f>IF($A484="","",MAX(0,$AL484*$O484/100))</x:f>
      </x:c>
      <x:c r="AP484" s="9" t="str">
        <x:f>IF($A484="","",MAX(0,$AL484+$AM484+$P484+$W484-$AN484-$AO484-$Q484))</x:f>
      </x:c>
    </x:row>
    <x:row r="485">
      <x:c r="A485" s="13"/>
      <x:c r="B485" s="7"/>
      <x:c r="C485" s="13"/>
      <x:c r="D485" s="14"/>
      <x:c r="E485" s="8"/>
      <x:c r="F485" s="13"/>
      <x:c r="G485" s="7"/>
      <x:c r="H485" s="7"/>
      <x:c r="I485" s="7"/>
      <x:c r="J485" s="13"/>
      <x:c r="K485" s="16"/>
      <x:c r="L485" s="10"/>
      <x:c r="M485" s="10"/>
      <x:c r="N485" s="10"/>
      <x:c r="O485" s="10"/>
      <x:c r="P485" s="9"/>
      <x:c r="Q485" s="9"/>
      <x:c r="R485" s="7"/>
      <x:c r="S485" s="7"/>
      <x:c r="T485" s="7"/>
      <x:c r="U485" s="7"/>
      <x:c r="V485" s="7"/>
      <x:c r="W485" s="9"/>
      <x:c r="X485" s="7"/>
      <x:c r="Y485" s="9"/>
      <x:c r="Z485" s="8"/>
      <x:c r="AA485" s="8"/>
      <x:c r="AB485" s="7"/>
      <x:c r="AC485" s="7"/>
      <x:c r="AD485" s="13"/>
      <x:c r="AE485" s="7"/>
      <x:c r="AF485" s="7"/>
      <x:c r="AG485" s="7"/>
      <x:c r="AH485" s="7"/>
      <x:c r="AI485" s="7"/>
      <x:c r="AJ485" s="9" t="str">
        <x:f>IF($A485="","",SUMIF(Sales_Items!$A$2:$A$501,$A485,Sales_Items!$O$2:$O$501))</x:f>
      </x:c>
      <x:c r="AK485" s="9" t="str">
        <x:f>IF($A485="","",$AJ485*$L485/100)</x:f>
      </x:c>
      <x:c r="AL485" s="9" t="str">
        <x:f>IF($A485="","",MAX(0,$AJ485-$AK485))</x:f>
      </x:c>
      <x:c r="AM485" s="9" t="str">
        <x:f>IF($A485="","",MAX(0,$AL485*$M485/100))</x:f>
      </x:c>
      <x:c r="AN485" s="9" t="str">
        <x:f>IF($A485="","",MAX(0,$AL485*$N485/100))</x:f>
      </x:c>
      <x:c r="AO485" s="9" t="str">
        <x:f>IF($A485="","",MAX(0,$AL485*$O485/100))</x:f>
      </x:c>
      <x:c r="AP485" s="9" t="str">
        <x:f>IF($A485="","",MAX(0,$AL485+$AM485+$P485+$W485-$AN485-$AO485-$Q485))</x:f>
      </x:c>
    </x:row>
    <x:row r="486">
      <x:c r="A486" s="13"/>
      <x:c r="B486" s="7"/>
      <x:c r="C486" s="13"/>
      <x:c r="D486" s="14"/>
      <x:c r="E486" s="8"/>
      <x:c r="F486" s="13"/>
      <x:c r="G486" s="7"/>
      <x:c r="H486" s="7"/>
      <x:c r="I486" s="7"/>
      <x:c r="J486" s="13"/>
      <x:c r="K486" s="16"/>
      <x:c r="L486" s="10"/>
      <x:c r="M486" s="10"/>
      <x:c r="N486" s="10"/>
      <x:c r="O486" s="10"/>
      <x:c r="P486" s="9"/>
      <x:c r="Q486" s="9"/>
      <x:c r="R486" s="7"/>
      <x:c r="S486" s="7"/>
      <x:c r="T486" s="7"/>
      <x:c r="U486" s="7"/>
      <x:c r="V486" s="7"/>
      <x:c r="W486" s="9"/>
      <x:c r="X486" s="7"/>
      <x:c r="Y486" s="9"/>
      <x:c r="Z486" s="8"/>
      <x:c r="AA486" s="8"/>
      <x:c r="AB486" s="7"/>
      <x:c r="AC486" s="7"/>
      <x:c r="AD486" s="13"/>
      <x:c r="AE486" s="7"/>
      <x:c r="AF486" s="7"/>
      <x:c r="AG486" s="7"/>
      <x:c r="AH486" s="7"/>
      <x:c r="AI486" s="7"/>
      <x:c r="AJ486" s="9" t="str">
        <x:f>IF($A486="","",SUMIF(Sales_Items!$A$2:$A$501,$A486,Sales_Items!$O$2:$O$501))</x:f>
      </x:c>
      <x:c r="AK486" s="9" t="str">
        <x:f>IF($A486="","",$AJ486*$L486/100)</x:f>
      </x:c>
      <x:c r="AL486" s="9" t="str">
        <x:f>IF($A486="","",MAX(0,$AJ486-$AK486))</x:f>
      </x:c>
      <x:c r="AM486" s="9" t="str">
        <x:f>IF($A486="","",MAX(0,$AL486*$M486/100))</x:f>
      </x:c>
      <x:c r="AN486" s="9" t="str">
        <x:f>IF($A486="","",MAX(0,$AL486*$N486/100))</x:f>
      </x:c>
      <x:c r="AO486" s="9" t="str">
        <x:f>IF($A486="","",MAX(0,$AL486*$O486/100))</x:f>
      </x:c>
      <x:c r="AP486" s="9" t="str">
        <x:f>IF($A486="","",MAX(0,$AL486+$AM486+$P486+$W486-$AN486-$AO486-$Q486))</x:f>
      </x:c>
    </x:row>
    <x:row r="487">
      <x:c r="A487" s="13"/>
      <x:c r="B487" s="7"/>
      <x:c r="C487" s="13"/>
      <x:c r="D487" s="14"/>
      <x:c r="E487" s="8"/>
      <x:c r="F487" s="13"/>
      <x:c r="G487" s="7"/>
      <x:c r="H487" s="7"/>
      <x:c r="I487" s="7"/>
      <x:c r="J487" s="13"/>
      <x:c r="K487" s="16"/>
      <x:c r="L487" s="10"/>
      <x:c r="M487" s="10"/>
      <x:c r="N487" s="10"/>
      <x:c r="O487" s="10"/>
      <x:c r="P487" s="9"/>
      <x:c r="Q487" s="9"/>
      <x:c r="R487" s="7"/>
      <x:c r="S487" s="7"/>
      <x:c r="T487" s="7"/>
      <x:c r="U487" s="7"/>
      <x:c r="V487" s="7"/>
      <x:c r="W487" s="9"/>
      <x:c r="X487" s="7"/>
      <x:c r="Y487" s="9"/>
      <x:c r="Z487" s="8"/>
      <x:c r="AA487" s="8"/>
      <x:c r="AB487" s="7"/>
      <x:c r="AC487" s="7"/>
      <x:c r="AD487" s="13"/>
      <x:c r="AE487" s="7"/>
      <x:c r="AF487" s="7"/>
      <x:c r="AG487" s="7"/>
      <x:c r="AH487" s="7"/>
      <x:c r="AI487" s="7"/>
      <x:c r="AJ487" s="9" t="str">
        <x:f>IF($A487="","",SUMIF(Sales_Items!$A$2:$A$501,$A487,Sales_Items!$O$2:$O$501))</x:f>
      </x:c>
      <x:c r="AK487" s="9" t="str">
        <x:f>IF($A487="","",$AJ487*$L487/100)</x:f>
      </x:c>
      <x:c r="AL487" s="9" t="str">
        <x:f>IF($A487="","",MAX(0,$AJ487-$AK487))</x:f>
      </x:c>
      <x:c r="AM487" s="9" t="str">
        <x:f>IF($A487="","",MAX(0,$AL487*$M487/100))</x:f>
      </x:c>
      <x:c r="AN487" s="9" t="str">
        <x:f>IF($A487="","",MAX(0,$AL487*$N487/100))</x:f>
      </x:c>
      <x:c r="AO487" s="9" t="str">
        <x:f>IF($A487="","",MAX(0,$AL487*$O487/100))</x:f>
      </x:c>
      <x:c r="AP487" s="9" t="str">
        <x:f>IF($A487="","",MAX(0,$AL487+$AM487+$P487+$W487-$AN487-$AO487-$Q487))</x:f>
      </x:c>
    </x:row>
    <x:row r="488">
      <x:c r="A488" s="13"/>
      <x:c r="B488" s="7"/>
      <x:c r="C488" s="13"/>
      <x:c r="D488" s="14"/>
      <x:c r="E488" s="8"/>
      <x:c r="F488" s="13"/>
      <x:c r="G488" s="7"/>
      <x:c r="H488" s="7"/>
      <x:c r="I488" s="7"/>
      <x:c r="J488" s="13"/>
      <x:c r="K488" s="16"/>
      <x:c r="L488" s="10"/>
      <x:c r="M488" s="10"/>
      <x:c r="N488" s="10"/>
      <x:c r="O488" s="10"/>
      <x:c r="P488" s="9"/>
      <x:c r="Q488" s="9"/>
      <x:c r="R488" s="7"/>
      <x:c r="S488" s="7"/>
      <x:c r="T488" s="7"/>
      <x:c r="U488" s="7"/>
      <x:c r="V488" s="7"/>
      <x:c r="W488" s="9"/>
      <x:c r="X488" s="7"/>
      <x:c r="Y488" s="9"/>
      <x:c r="Z488" s="8"/>
      <x:c r="AA488" s="8"/>
      <x:c r="AB488" s="7"/>
      <x:c r="AC488" s="7"/>
      <x:c r="AD488" s="13"/>
      <x:c r="AE488" s="7"/>
      <x:c r="AF488" s="7"/>
      <x:c r="AG488" s="7"/>
      <x:c r="AH488" s="7"/>
      <x:c r="AI488" s="7"/>
      <x:c r="AJ488" s="9" t="str">
        <x:f>IF($A488="","",SUMIF(Sales_Items!$A$2:$A$501,$A488,Sales_Items!$O$2:$O$501))</x:f>
      </x:c>
      <x:c r="AK488" s="9" t="str">
        <x:f>IF($A488="","",$AJ488*$L488/100)</x:f>
      </x:c>
      <x:c r="AL488" s="9" t="str">
        <x:f>IF($A488="","",MAX(0,$AJ488-$AK488))</x:f>
      </x:c>
      <x:c r="AM488" s="9" t="str">
        <x:f>IF($A488="","",MAX(0,$AL488*$M488/100))</x:f>
      </x:c>
      <x:c r="AN488" s="9" t="str">
        <x:f>IF($A488="","",MAX(0,$AL488*$N488/100))</x:f>
      </x:c>
      <x:c r="AO488" s="9" t="str">
        <x:f>IF($A488="","",MAX(0,$AL488*$O488/100))</x:f>
      </x:c>
      <x:c r="AP488" s="9" t="str">
        <x:f>IF($A488="","",MAX(0,$AL488+$AM488+$P488+$W488-$AN488-$AO488-$Q488))</x:f>
      </x:c>
    </x:row>
    <x:row r="489">
      <x:c r="A489" s="13"/>
      <x:c r="B489" s="7"/>
      <x:c r="C489" s="13"/>
      <x:c r="D489" s="14"/>
      <x:c r="E489" s="8"/>
      <x:c r="F489" s="13"/>
      <x:c r="G489" s="7"/>
      <x:c r="H489" s="7"/>
      <x:c r="I489" s="7"/>
      <x:c r="J489" s="13"/>
      <x:c r="K489" s="16"/>
      <x:c r="L489" s="10"/>
      <x:c r="M489" s="10"/>
      <x:c r="N489" s="10"/>
      <x:c r="O489" s="10"/>
      <x:c r="P489" s="9"/>
      <x:c r="Q489" s="9"/>
      <x:c r="R489" s="7"/>
      <x:c r="S489" s="7"/>
      <x:c r="T489" s="7"/>
      <x:c r="U489" s="7"/>
      <x:c r="V489" s="7"/>
      <x:c r="W489" s="9"/>
      <x:c r="X489" s="7"/>
      <x:c r="Y489" s="9"/>
      <x:c r="Z489" s="8"/>
      <x:c r="AA489" s="8"/>
      <x:c r="AB489" s="7"/>
      <x:c r="AC489" s="7"/>
      <x:c r="AD489" s="13"/>
      <x:c r="AE489" s="7"/>
      <x:c r="AF489" s="7"/>
      <x:c r="AG489" s="7"/>
      <x:c r="AH489" s="7"/>
      <x:c r="AI489" s="7"/>
      <x:c r="AJ489" s="9" t="str">
        <x:f>IF($A489="","",SUMIF(Sales_Items!$A$2:$A$501,$A489,Sales_Items!$O$2:$O$501))</x:f>
      </x:c>
      <x:c r="AK489" s="9" t="str">
        <x:f>IF($A489="","",$AJ489*$L489/100)</x:f>
      </x:c>
      <x:c r="AL489" s="9" t="str">
        <x:f>IF($A489="","",MAX(0,$AJ489-$AK489))</x:f>
      </x:c>
      <x:c r="AM489" s="9" t="str">
        <x:f>IF($A489="","",MAX(0,$AL489*$M489/100))</x:f>
      </x:c>
      <x:c r="AN489" s="9" t="str">
        <x:f>IF($A489="","",MAX(0,$AL489*$N489/100))</x:f>
      </x:c>
      <x:c r="AO489" s="9" t="str">
        <x:f>IF($A489="","",MAX(0,$AL489*$O489/100))</x:f>
      </x:c>
      <x:c r="AP489" s="9" t="str">
        <x:f>IF($A489="","",MAX(0,$AL489+$AM489+$P489+$W489-$AN489-$AO489-$Q489))</x:f>
      </x:c>
    </x:row>
    <x:row r="490">
      <x:c r="A490" s="13"/>
      <x:c r="B490" s="7"/>
      <x:c r="C490" s="13"/>
      <x:c r="D490" s="14"/>
      <x:c r="E490" s="8"/>
      <x:c r="F490" s="13"/>
      <x:c r="G490" s="7"/>
      <x:c r="H490" s="7"/>
      <x:c r="I490" s="7"/>
      <x:c r="J490" s="13"/>
      <x:c r="K490" s="16"/>
      <x:c r="L490" s="10"/>
      <x:c r="M490" s="10"/>
      <x:c r="N490" s="10"/>
      <x:c r="O490" s="10"/>
      <x:c r="P490" s="9"/>
      <x:c r="Q490" s="9"/>
      <x:c r="R490" s="7"/>
      <x:c r="S490" s="7"/>
      <x:c r="T490" s="7"/>
      <x:c r="U490" s="7"/>
      <x:c r="V490" s="7"/>
      <x:c r="W490" s="9"/>
      <x:c r="X490" s="7"/>
      <x:c r="Y490" s="9"/>
      <x:c r="Z490" s="8"/>
      <x:c r="AA490" s="8"/>
      <x:c r="AB490" s="7"/>
      <x:c r="AC490" s="7"/>
      <x:c r="AD490" s="13"/>
      <x:c r="AE490" s="7"/>
      <x:c r="AF490" s="7"/>
      <x:c r="AG490" s="7"/>
      <x:c r="AH490" s="7"/>
      <x:c r="AI490" s="7"/>
      <x:c r="AJ490" s="9" t="str">
        <x:f>IF($A490="","",SUMIF(Sales_Items!$A$2:$A$501,$A490,Sales_Items!$O$2:$O$501))</x:f>
      </x:c>
      <x:c r="AK490" s="9" t="str">
        <x:f>IF($A490="","",$AJ490*$L490/100)</x:f>
      </x:c>
      <x:c r="AL490" s="9" t="str">
        <x:f>IF($A490="","",MAX(0,$AJ490-$AK490))</x:f>
      </x:c>
      <x:c r="AM490" s="9" t="str">
        <x:f>IF($A490="","",MAX(0,$AL490*$M490/100))</x:f>
      </x:c>
      <x:c r="AN490" s="9" t="str">
        <x:f>IF($A490="","",MAX(0,$AL490*$N490/100))</x:f>
      </x:c>
      <x:c r="AO490" s="9" t="str">
        <x:f>IF($A490="","",MAX(0,$AL490*$O490/100))</x:f>
      </x:c>
      <x:c r="AP490" s="9" t="str">
        <x:f>IF($A490="","",MAX(0,$AL490+$AM490+$P490+$W490-$AN490-$AO490-$Q490))</x:f>
      </x:c>
    </x:row>
    <x:row r="491">
      <x:c r="A491" s="13"/>
      <x:c r="B491" s="7"/>
      <x:c r="C491" s="13"/>
      <x:c r="D491" s="14"/>
      <x:c r="E491" s="8"/>
      <x:c r="F491" s="13"/>
      <x:c r="G491" s="7"/>
      <x:c r="H491" s="7"/>
      <x:c r="I491" s="7"/>
      <x:c r="J491" s="13"/>
      <x:c r="K491" s="16"/>
      <x:c r="L491" s="10"/>
      <x:c r="M491" s="10"/>
      <x:c r="N491" s="10"/>
      <x:c r="O491" s="10"/>
      <x:c r="P491" s="9"/>
      <x:c r="Q491" s="9"/>
      <x:c r="R491" s="7"/>
      <x:c r="S491" s="7"/>
      <x:c r="T491" s="7"/>
      <x:c r="U491" s="7"/>
      <x:c r="V491" s="7"/>
      <x:c r="W491" s="9"/>
      <x:c r="X491" s="7"/>
      <x:c r="Y491" s="9"/>
      <x:c r="Z491" s="8"/>
      <x:c r="AA491" s="8"/>
      <x:c r="AB491" s="7"/>
      <x:c r="AC491" s="7"/>
      <x:c r="AD491" s="13"/>
      <x:c r="AE491" s="7"/>
      <x:c r="AF491" s="7"/>
      <x:c r="AG491" s="7"/>
      <x:c r="AH491" s="7"/>
      <x:c r="AI491" s="7"/>
      <x:c r="AJ491" s="9" t="str">
        <x:f>IF($A491="","",SUMIF(Sales_Items!$A$2:$A$501,$A491,Sales_Items!$O$2:$O$501))</x:f>
      </x:c>
      <x:c r="AK491" s="9" t="str">
        <x:f>IF($A491="","",$AJ491*$L491/100)</x:f>
      </x:c>
      <x:c r="AL491" s="9" t="str">
        <x:f>IF($A491="","",MAX(0,$AJ491-$AK491))</x:f>
      </x:c>
      <x:c r="AM491" s="9" t="str">
        <x:f>IF($A491="","",MAX(0,$AL491*$M491/100))</x:f>
      </x:c>
      <x:c r="AN491" s="9" t="str">
        <x:f>IF($A491="","",MAX(0,$AL491*$N491/100))</x:f>
      </x:c>
      <x:c r="AO491" s="9" t="str">
        <x:f>IF($A491="","",MAX(0,$AL491*$O491/100))</x:f>
      </x:c>
      <x:c r="AP491" s="9" t="str">
        <x:f>IF($A491="","",MAX(0,$AL491+$AM491+$P491+$W491-$AN491-$AO491-$Q491))</x:f>
      </x:c>
    </x:row>
    <x:row r="492">
      <x:c r="A492" s="13"/>
      <x:c r="B492" s="7"/>
      <x:c r="C492" s="13"/>
      <x:c r="D492" s="14"/>
      <x:c r="E492" s="8"/>
      <x:c r="F492" s="13"/>
      <x:c r="G492" s="7"/>
      <x:c r="H492" s="7"/>
      <x:c r="I492" s="7"/>
      <x:c r="J492" s="13"/>
      <x:c r="K492" s="16"/>
      <x:c r="L492" s="10"/>
      <x:c r="M492" s="10"/>
      <x:c r="N492" s="10"/>
      <x:c r="O492" s="10"/>
      <x:c r="P492" s="9"/>
      <x:c r="Q492" s="9"/>
      <x:c r="R492" s="7"/>
      <x:c r="S492" s="7"/>
      <x:c r="T492" s="7"/>
      <x:c r="U492" s="7"/>
      <x:c r="V492" s="7"/>
      <x:c r="W492" s="9"/>
      <x:c r="X492" s="7"/>
      <x:c r="Y492" s="9"/>
      <x:c r="Z492" s="8"/>
      <x:c r="AA492" s="8"/>
      <x:c r="AB492" s="7"/>
      <x:c r="AC492" s="7"/>
      <x:c r="AD492" s="13"/>
      <x:c r="AE492" s="7"/>
      <x:c r="AF492" s="7"/>
      <x:c r="AG492" s="7"/>
      <x:c r="AH492" s="7"/>
      <x:c r="AI492" s="7"/>
      <x:c r="AJ492" s="9" t="str">
        <x:f>IF($A492="","",SUMIF(Sales_Items!$A$2:$A$501,$A492,Sales_Items!$O$2:$O$501))</x:f>
      </x:c>
      <x:c r="AK492" s="9" t="str">
        <x:f>IF($A492="","",$AJ492*$L492/100)</x:f>
      </x:c>
      <x:c r="AL492" s="9" t="str">
        <x:f>IF($A492="","",MAX(0,$AJ492-$AK492))</x:f>
      </x:c>
      <x:c r="AM492" s="9" t="str">
        <x:f>IF($A492="","",MAX(0,$AL492*$M492/100))</x:f>
      </x:c>
      <x:c r="AN492" s="9" t="str">
        <x:f>IF($A492="","",MAX(0,$AL492*$N492/100))</x:f>
      </x:c>
      <x:c r="AO492" s="9" t="str">
        <x:f>IF($A492="","",MAX(0,$AL492*$O492/100))</x:f>
      </x:c>
      <x:c r="AP492" s="9" t="str">
        <x:f>IF($A492="","",MAX(0,$AL492+$AM492+$P492+$W492-$AN492-$AO492-$Q492))</x:f>
      </x:c>
    </x:row>
    <x:row r="493">
      <x:c r="A493" s="13"/>
      <x:c r="B493" s="7"/>
      <x:c r="C493" s="13"/>
      <x:c r="D493" s="14"/>
      <x:c r="E493" s="8"/>
      <x:c r="F493" s="13"/>
      <x:c r="G493" s="7"/>
      <x:c r="H493" s="7"/>
      <x:c r="I493" s="7"/>
      <x:c r="J493" s="13"/>
      <x:c r="K493" s="16"/>
      <x:c r="L493" s="10"/>
      <x:c r="M493" s="10"/>
      <x:c r="N493" s="10"/>
      <x:c r="O493" s="10"/>
      <x:c r="P493" s="9"/>
      <x:c r="Q493" s="9"/>
      <x:c r="R493" s="7"/>
      <x:c r="S493" s="7"/>
      <x:c r="T493" s="7"/>
      <x:c r="U493" s="7"/>
      <x:c r="V493" s="7"/>
      <x:c r="W493" s="9"/>
      <x:c r="X493" s="7"/>
      <x:c r="Y493" s="9"/>
      <x:c r="Z493" s="8"/>
      <x:c r="AA493" s="8"/>
      <x:c r="AB493" s="7"/>
      <x:c r="AC493" s="7"/>
      <x:c r="AD493" s="13"/>
      <x:c r="AE493" s="7"/>
      <x:c r="AF493" s="7"/>
      <x:c r="AG493" s="7"/>
      <x:c r="AH493" s="7"/>
      <x:c r="AI493" s="7"/>
      <x:c r="AJ493" s="9" t="str">
        <x:f>IF($A493="","",SUMIF(Sales_Items!$A$2:$A$501,$A493,Sales_Items!$O$2:$O$501))</x:f>
      </x:c>
      <x:c r="AK493" s="9" t="str">
        <x:f>IF($A493="","",$AJ493*$L493/100)</x:f>
      </x:c>
      <x:c r="AL493" s="9" t="str">
        <x:f>IF($A493="","",MAX(0,$AJ493-$AK493))</x:f>
      </x:c>
      <x:c r="AM493" s="9" t="str">
        <x:f>IF($A493="","",MAX(0,$AL493*$M493/100))</x:f>
      </x:c>
      <x:c r="AN493" s="9" t="str">
        <x:f>IF($A493="","",MAX(0,$AL493*$N493/100))</x:f>
      </x:c>
      <x:c r="AO493" s="9" t="str">
        <x:f>IF($A493="","",MAX(0,$AL493*$O493/100))</x:f>
      </x:c>
      <x:c r="AP493" s="9" t="str">
        <x:f>IF($A493="","",MAX(0,$AL493+$AM493+$P493+$W493-$AN493-$AO493-$Q493))</x:f>
      </x:c>
    </x:row>
    <x:row r="494">
      <x:c r="A494" s="13"/>
      <x:c r="B494" s="7"/>
      <x:c r="C494" s="13"/>
      <x:c r="D494" s="14"/>
      <x:c r="E494" s="8"/>
      <x:c r="F494" s="13"/>
      <x:c r="G494" s="7"/>
      <x:c r="H494" s="7"/>
      <x:c r="I494" s="7"/>
      <x:c r="J494" s="13"/>
      <x:c r="K494" s="16"/>
      <x:c r="L494" s="10"/>
      <x:c r="M494" s="10"/>
      <x:c r="N494" s="10"/>
      <x:c r="O494" s="10"/>
      <x:c r="P494" s="9"/>
      <x:c r="Q494" s="9"/>
      <x:c r="R494" s="7"/>
      <x:c r="S494" s="7"/>
      <x:c r="T494" s="7"/>
      <x:c r="U494" s="7"/>
      <x:c r="V494" s="7"/>
      <x:c r="W494" s="9"/>
      <x:c r="X494" s="7"/>
      <x:c r="Y494" s="9"/>
      <x:c r="Z494" s="8"/>
      <x:c r="AA494" s="8"/>
      <x:c r="AB494" s="7"/>
      <x:c r="AC494" s="7"/>
      <x:c r="AD494" s="13"/>
      <x:c r="AE494" s="7"/>
      <x:c r="AF494" s="7"/>
      <x:c r="AG494" s="7"/>
      <x:c r="AH494" s="7"/>
      <x:c r="AI494" s="7"/>
      <x:c r="AJ494" s="9" t="str">
        <x:f>IF($A494="","",SUMIF(Sales_Items!$A$2:$A$501,$A494,Sales_Items!$O$2:$O$501))</x:f>
      </x:c>
      <x:c r="AK494" s="9" t="str">
        <x:f>IF($A494="","",$AJ494*$L494/100)</x:f>
      </x:c>
      <x:c r="AL494" s="9" t="str">
        <x:f>IF($A494="","",MAX(0,$AJ494-$AK494))</x:f>
      </x:c>
      <x:c r="AM494" s="9" t="str">
        <x:f>IF($A494="","",MAX(0,$AL494*$M494/100))</x:f>
      </x:c>
      <x:c r="AN494" s="9" t="str">
        <x:f>IF($A494="","",MAX(0,$AL494*$N494/100))</x:f>
      </x:c>
      <x:c r="AO494" s="9" t="str">
        <x:f>IF($A494="","",MAX(0,$AL494*$O494/100))</x:f>
      </x:c>
      <x:c r="AP494" s="9" t="str">
        <x:f>IF($A494="","",MAX(0,$AL494+$AM494+$P494+$W494-$AN494-$AO494-$Q494))</x:f>
      </x:c>
    </x:row>
    <x:row r="495">
      <x:c r="A495" s="13"/>
      <x:c r="B495" s="7"/>
      <x:c r="C495" s="13"/>
      <x:c r="D495" s="14"/>
      <x:c r="E495" s="8"/>
      <x:c r="F495" s="13"/>
      <x:c r="G495" s="7"/>
      <x:c r="H495" s="7"/>
      <x:c r="I495" s="7"/>
      <x:c r="J495" s="13"/>
      <x:c r="K495" s="16"/>
      <x:c r="L495" s="10"/>
      <x:c r="M495" s="10"/>
      <x:c r="N495" s="10"/>
      <x:c r="O495" s="10"/>
      <x:c r="P495" s="9"/>
      <x:c r="Q495" s="9"/>
      <x:c r="R495" s="7"/>
      <x:c r="S495" s="7"/>
      <x:c r="T495" s="7"/>
      <x:c r="U495" s="7"/>
      <x:c r="V495" s="7"/>
      <x:c r="W495" s="9"/>
      <x:c r="X495" s="7"/>
      <x:c r="Y495" s="9"/>
      <x:c r="Z495" s="8"/>
      <x:c r="AA495" s="8"/>
      <x:c r="AB495" s="7"/>
      <x:c r="AC495" s="7"/>
      <x:c r="AD495" s="13"/>
      <x:c r="AE495" s="7"/>
      <x:c r="AF495" s="7"/>
      <x:c r="AG495" s="7"/>
      <x:c r="AH495" s="7"/>
      <x:c r="AI495" s="7"/>
      <x:c r="AJ495" s="9" t="str">
        <x:f>IF($A495="","",SUMIF(Sales_Items!$A$2:$A$501,$A495,Sales_Items!$O$2:$O$501))</x:f>
      </x:c>
      <x:c r="AK495" s="9" t="str">
        <x:f>IF($A495="","",$AJ495*$L495/100)</x:f>
      </x:c>
      <x:c r="AL495" s="9" t="str">
        <x:f>IF($A495="","",MAX(0,$AJ495-$AK495))</x:f>
      </x:c>
      <x:c r="AM495" s="9" t="str">
        <x:f>IF($A495="","",MAX(0,$AL495*$M495/100))</x:f>
      </x:c>
      <x:c r="AN495" s="9" t="str">
        <x:f>IF($A495="","",MAX(0,$AL495*$N495/100))</x:f>
      </x:c>
      <x:c r="AO495" s="9" t="str">
        <x:f>IF($A495="","",MAX(0,$AL495*$O495/100))</x:f>
      </x:c>
      <x:c r="AP495" s="9" t="str">
        <x:f>IF($A495="","",MAX(0,$AL495+$AM495+$P495+$W495-$AN495-$AO495-$Q495))</x:f>
      </x:c>
    </x:row>
    <x:row r="496">
      <x:c r="A496" s="13"/>
      <x:c r="B496" s="7"/>
      <x:c r="C496" s="13"/>
      <x:c r="D496" s="14"/>
      <x:c r="E496" s="8"/>
      <x:c r="F496" s="13"/>
      <x:c r="G496" s="7"/>
      <x:c r="H496" s="7"/>
      <x:c r="I496" s="7"/>
      <x:c r="J496" s="13"/>
      <x:c r="K496" s="16"/>
      <x:c r="L496" s="10"/>
      <x:c r="M496" s="10"/>
      <x:c r="N496" s="10"/>
      <x:c r="O496" s="10"/>
      <x:c r="P496" s="9"/>
      <x:c r="Q496" s="9"/>
      <x:c r="R496" s="7"/>
      <x:c r="S496" s="7"/>
      <x:c r="T496" s="7"/>
      <x:c r="U496" s="7"/>
      <x:c r="V496" s="7"/>
      <x:c r="W496" s="9"/>
      <x:c r="X496" s="7"/>
      <x:c r="Y496" s="9"/>
      <x:c r="Z496" s="8"/>
      <x:c r="AA496" s="8"/>
      <x:c r="AB496" s="7"/>
      <x:c r="AC496" s="7"/>
      <x:c r="AD496" s="13"/>
      <x:c r="AE496" s="7"/>
      <x:c r="AF496" s="7"/>
      <x:c r="AG496" s="7"/>
      <x:c r="AH496" s="7"/>
      <x:c r="AI496" s="7"/>
      <x:c r="AJ496" s="9" t="str">
        <x:f>IF($A496="","",SUMIF(Sales_Items!$A$2:$A$501,$A496,Sales_Items!$O$2:$O$501))</x:f>
      </x:c>
      <x:c r="AK496" s="9" t="str">
        <x:f>IF($A496="","",$AJ496*$L496/100)</x:f>
      </x:c>
      <x:c r="AL496" s="9" t="str">
        <x:f>IF($A496="","",MAX(0,$AJ496-$AK496))</x:f>
      </x:c>
      <x:c r="AM496" s="9" t="str">
        <x:f>IF($A496="","",MAX(0,$AL496*$M496/100))</x:f>
      </x:c>
      <x:c r="AN496" s="9" t="str">
        <x:f>IF($A496="","",MAX(0,$AL496*$N496/100))</x:f>
      </x:c>
      <x:c r="AO496" s="9" t="str">
        <x:f>IF($A496="","",MAX(0,$AL496*$O496/100))</x:f>
      </x:c>
      <x:c r="AP496" s="9" t="str">
        <x:f>IF($A496="","",MAX(0,$AL496+$AM496+$P496+$W496-$AN496-$AO496-$Q496))</x:f>
      </x:c>
    </x:row>
    <x:row r="497">
      <x:c r="A497" s="13"/>
      <x:c r="B497" s="7"/>
      <x:c r="C497" s="13"/>
      <x:c r="D497" s="14"/>
      <x:c r="E497" s="8"/>
      <x:c r="F497" s="13"/>
      <x:c r="G497" s="7"/>
      <x:c r="H497" s="7"/>
      <x:c r="I497" s="7"/>
      <x:c r="J497" s="13"/>
      <x:c r="K497" s="16"/>
      <x:c r="L497" s="10"/>
      <x:c r="M497" s="10"/>
      <x:c r="N497" s="10"/>
      <x:c r="O497" s="10"/>
      <x:c r="P497" s="9"/>
      <x:c r="Q497" s="9"/>
      <x:c r="R497" s="7"/>
      <x:c r="S497" s="7"/>
      <x:c r="T497" s="7"/>
      <x:c r="U497" s="7"/>
      <x:c r="V497" s="7"/>
      <x:c r="W497" s="9"/>
      <x:c r="X497" s="7"/>
      <x:c r="Y497" s="9"/>
      <x:c r="Z497" s="8"/>
      <x:c r="AA497" s="8"/>
      <x:c r="AB497" s="7"/>
      <x:c r="AC497" s="7"/>
      <x:c r="AD497" s="13"/>
      <x:c r="AE497" s="7"/>
      <x:c r="AF497" s="7"/>
      <x:c r="AG497" s="7"/>
      <x:c r="AH497" s="7"/>
      <x:c r="AI497" s="7"/>
      <x:c r="AJ497" s="9" t="str">
        <x:f>IF($A497="","",SUMIF(Sales_Items!$A$2:$A$501,$A497,Sales_Items!$O$2:$O$501))</x:f>
      </x:c>
      <x:c r="AK497" s="9" t="str">
        <x:f>IF($A497="","",$AJ497*$L497/100)</x:f>
      </x:c>
      <x:c r="AL497" s="9" t="str">
        <x:f>IF($A497="","",MAX(0,$AJ497-$AK497))</x:f>
      </x:c>
      <x:c r="AM497" s="9" t="str">
        <x:f>IF($A497="","",MAX(0,$AL497*$M497/100))</x:f>
      </x:c>
      <x:c r="AN497" s="9" t="str">
        <x:f>IF($A497="","",MAX(0,$AL497*$N497/100))</x:f>
      </x:c>
      <x:c r="AO497" s="9" t="str">
        <x:f>IF($A497="","",MAX(0,$AL497*$O497/100))</x:f>
      </x:c>
      <x:c r="AP497" s="9" t="str">
        <x:f>IF($A497="","",MAX(0,$AL497+$AM497+$P497+$W497-$AN497-$AO497-$Q497))</x:f>
      </x:c>
    </x:row>
    <x:row r="498">
      <x:c r="A498" s="13"/>
      <x:c r="B498" s="7"/>
      <x:c r="C498" s="13"/>
      <x:c r="D498" s="14"/>
      <x:c r="E498" s="8"/>
      <x:c r="F498" s="13"/>
      <x:c r="G498" s="7"/>
      <x:c r="H498" s="7"/>
      <x:c r="I498" s="7"/>
      <x:c r="J498" s="13"/>
      <x:c r="K498" s="16"/>
      <x:c r="L498" s="10"/>
      <x:c r="M498" s="10"/>
      <x:c r="N498" s="10"/>
      <x:c r="O498" s="10"/>
      <x:c r="P498" s="9"/>
      <x:c r="Q498" s="9"/>
      <x:c r="R498" s="7"/>
      <x:c r="S498" s="7"/>
      <x:c r="T498" s="7"/>
      <x:c r="U498" s="7"/>
      <x:c r="V498" s="7"/>
      <x:c r="W498" s="9"/>
      <x:c r="X498" s="7"/>
      <x:c r="Y498" s="9"/>
      <x:c r="Z498" s="8"/>
      <x:c r="AA498" s="8"/>
      <x:c r="AB498" s="7"/>
      <x:c r="AC498" s="7"/>
      <x:c r="AD498" s="13"/>
      <x:c r="AE498" s="7"/>
      <x:c r="AF498" s="7"/>
      <x:c r="AG498" s="7"/>
      <x:c r="AH498" s="7"/>
      <x:c r="AI498" s="7"/>
      <x:c r="AJ498" s="9" t="str">
        <x:f>IF($A498="","",SUMIF(Sales_Items!$A$2:$A$501,$A498,Sales_Items!$O$2:$O$501))</x:f>
      </x:c>
      <x:c r="AK498" s="9" t="str">
        <x:f>IF($A498="","",$AJ498*$L498/100)</x:f>
      </x:c>
      <x:c r="AL498" s="9" t="str">
        <x:f>IF($A498="","",MAX(0,$AJ498-$AK498))</x:f>
      </x:c>
      <x:c r="AM498" s="9" t="str">
        <x:f>IF($A498="","",MAX(0,$AL498*$M498/100))</x:f>
      </x:c>
      <x:c r="AN498" s="9" t="str">
        <x:f>IF($A498="","",MAX(0,$AL498*$N498/100))</x:f>
      </x:c>
      <x:c r="AO498" s="9" t="str">
        <x:f>IF($A498="","",MAX(0,$AL498*$O498/100))</x:f>
      </x:c>
      <x:c r="AP498" s="9" t="str">
        <x:f>IF($A498="","",MAX(0,$AL498+$AM498+$P498+$W498-$AN498-$AO498-$Q498))</x:f>
      </x:c>
    </x:row>
    <x:row r="499">
      <x:c r="A499" s="13"/>
      <x:c r="B499" s="7"/>
      <x:c r="C499" s="13"/>
      <x:c r="D499" s="14"/>
      <x:c r="E499" s="8"/>
      <x:c r="F499" s="13"/>
      <x:c r="G499" s="7"/>
      <x:c r="H499" s="7"/>
      <x:c r="I499" s="7"/>
      <x:c r="J499" s="13"/>
      <x:c r="K499" s="16"/>
      <x:c r="L499" s="10"/>
      <x:c r="M499" s="10"/>
      <x:c r="N499" s="10"/>
      <x:c r="O499" s="10"/>
      <x:c r="P499" s="9"/>
      <x:c r="Q499" s="9"/>
      <x:c r="R499" s="7"/>
      <x:c r="S499" s="7"/>
      <x:c r="T499" s="7"/>
      <x:c r="U499" s="7"/>
      <x:c r="V499" s="7"/>
      <x:c r="W499" s="9"/>
      <x:c r="X499" s="7"/>
      <x:c r="Y499" s="9"/>
      <x:c r="Z499" s="8"/>
      <x:c r="AA499" s="8"/>
      <x:c r="AB499" s="7"/>
      <x:c r="AC499" s="7"/>
      <x:c r="AD499" s="13"/>
      <x:c r="AE499" s="7"/>
      <x:c r="AF499" s="7"/>
      <x:c r="AG499" s="7"/>
      <x:c r="AH499" s="7"/>
      <x:c r="AI499" s="7"/>
      <x:c r="AJ499" s="9" t="str">
        <x:f>IF($A499="","",SUMIF(Sales_Items!$A$2:$A$501,$A499,Sales_Items!$O$2:$O$501))</x:f>
      </x:c>
      <x:c r="AK499" s="9" t="str">
        <x:f>IF($A499="","",$AJ499*$L499/100)</x:f>
      </x:c>
      <x:c r="AL499" s="9" t="str">
        <x:f>IF($A499="","",MAX(0,$AJ499-$AK499))</x:f>
      </x:c>
      <x:c r="AM499" s="9" t="str">
        <x:f>IF($A499="","",MAX(0,$AL499*$M499/100))</x:f>
      </x:c>
      <x:c r="AN499" s="9" t="str">
        <x:f>IF($A499="","",MAX(0,$AL499*$N499/100))</x:f>
      </x:c>
      <x:c r="AO499" s="9" t="str">
        <x:f>IF($A499="","",MAX(0,$AL499*$O499/100))</x:f>
      </x:c>
      <x:c r="AP499" s="9" t="str">
        <x:f>IF($A499="","",MAX(0,$AL499+$AM499+$P499+$W499-$AN499-$AO499-$Q499))</x:f>
      </x:c>
    </x:row>
    <x:row r="500">
      <x:c r="A500" s="13"/>
      <x:c r="B500" s="7"/>
      <x:c r="C500" s="13"/>
      <x:c r="D500" s="14"/>
      <x:c r="E500" s="8"/>
      <x:c r="F500" s="13"/>
      <x:c r="G500" s="7"/>
      <x:c r="H500" s="7"/>
      <x:c r="I500" s="7"/>
      <x:c r="J500" s="13"/>
      <x:c r="K500" s="16"/>
      <x:c r="L500" s="10"/>
      <x:c r="M500" s="10"/>
      <x:c r="N500" s="10"/>
      <x:c r="O500" s="10"/>
      <x:c r="P500" s="9"/>
      <x:c r="Q500" s="9"/>
      <x:c r="R500" s="7"/>
      <x:c r="S500" s="7"/>
      <x:c r="T500" s="7"/>
      <x:c r="U500" s="7"/>
      <x:c r="V500" s="7"/>
      <x:c r="W500" s="9"/>
      <x:c r="X500" s="7"/>
      <x:c r="Y500" s="9"/>
      <x:c r="Z500" s="8"/>
      <x:c r="AA500" s="8"/>
      <x:c r="AB500" s="7"/>
      <x:c r="AC500" s="7"/>
      <x:c r="AD500" s="13"/>
      <x:c r="AE500" s="7"/>
      <x:c r="AF500" s="7"/>
      <x:c r="AG500" s="7"/>
      <x:c r="AH500" s="7"/>
      <x:c r="AI500" s="7"/>
      <x:c r="AJ500" s="9" t="str">
        <x:f>IF($A500="","",SUMIF(Sales_Items!$A$2:$A$501,$A500,Sales_Items!$O$2:$O$501))</x:f>
      </x:c>
      <x:c r="AK500" s="9" t="str">
        <x:f>IF($A500="","",$AJ500*$L500/100)</x:f>
      </x:c>
      <x:c r="AL500" s="9" t="str">
        <x:f>IF($A500="","",MAX(0,$AJ500-$AK500))</x:f>
      </x:c>
      <x:c r="AM500" s="9" t="str">
        <x:f>IF($A500="","",MAX(0,$AL500*$M500/100))</x:f>
      </x:c>
      <x:c r="AN500" s="9" t="str">
        <x:f>IF($A500="","",MAX(0,$AL500*$N500/100))</x:f>
      </x:c>
      <x:c r="AO500" s="9" t="str">
        <x:f>IF($A500="","",MAX(0,$AL500*$O500/100))</x:f>
      </x:c>
      <x:c r="AP500" s="9" t="str">
        <x:f>IF($A500="","",MAX(0,$AL500+$AM500+$P500+$W500-$AN500-$AO500-$Q500))</x:f>
      </x:c>
    </x:row>
    <x:row r="501">
      <x:c r="A501" s="13"/>
      <x:c r="B501" s="7"/>
      <x:c r="C501" s="13"/>
      <x:c r="D501" s="14"/>
      <x:c r="E501" s="8"/>
      <x:c r="F501" s="13"/>
      <x:c r="G501" s="7"/>
      <x:c r="H501" s="7"/>
      <x:c r="I501" s="7"/>
      <x:c r="J501" s="13"/>
      <x:c r="K501" s="16"/>
      <x:c r="L501" s="10"/>
      <x:c r="M501" s="10"/>
      <x:c r="N501" s="10"/>
      <x:c r="O501" s="10"/>
      <x:c r="P501" s="9"/>
      <x:c r="Q501" s="9"/>
      <x:c r="R501" s="7"/>
      <x:c r="S501" s="7"/>
      <x:c r="T501" s="7"/>
      <x:c r="U501" s="7"/>
      <x:c r="V501" s="7"/>
      <x:c r="W501" s="9"/>
      <x:c r="X501" s="7"/>
      <x:c r="Y501" s="9"/>
      <x:c r="Z501" s="8"/>
      <x:c r="AA501" s="8"/>
      <x:c r="AB501" s="7"/>
      <x:c r="AC501" s="7"/>
      <x:c r="AD501" s="13"/>
      <x:c r="AE501" s="7"/>
      <x:c r="AF501" s="7"/>
      <x:c r="AG501" s="7"/>
      <x:c r="AH501" s="7"/>
      <x:c r="AI501" s="7"/>
      <x:c r="AJ501" s="9" t="str">
        <x:f>IF($A501="","",SUMIF(Sales_Items!$A$2:$A$501,$A501,Sales_Items!$O$2:$O$501))</x:f>
      </x:c>
      <x:c r="AK501" s="9" t="str">
        <x:f>IF($A501="","",$AJ501*$L501/100)</x:f>
      </x:c>
      <x:c r="AL501" s="9" t="str">
        <x:f>IF($A501="","",MAX(0,$AJ501-$AK501))</x:f>
      </x:c>
      <x:c r="AM501" s="9" t="str">
        <x:f>IF($A501="","",MAX(0,$AL501*$M501/100))</x:f>
      </x:c>
      <x:c r="AN501" s="9" t="str">
        <x:f>IF($A501="","",MAX(0,$AL501*$N501/100))</x:f>
      </x:c>
      <x:c r="AO501" s="9" t="str">
        <x:f>IF($A501="","",MAX(0,$AL501*$O501/100))</x:f>
      </x:c>
      <x:c r="AP501" s="9" t="str">
        <x:f>IF($A501="","",MAX(0,$AL501+$AM501+$P501+$W501-$AN501-$AO501-$Q501))</x:f>
      </x:c>
    </x:row>
  </x:sheetData>
  <x:dataValidations count="7">
    <x:dataValidation type="list" sqref="C2:C501">
      <x:formula1>"INVOICE,ORDER,QUOTATION"</x:formula1>
    </x:dataValidation>
    <x:dataValidation type="list" sqref="J2:J501">
      <x:formula1>"IDR,USD"</x:formula1>
    </x:dataValidation>
    <x:dataValidation type="list" sqref="S2:S501">
      <x:formula1>"CREDIT,CASH,BANK"</x:formula1>
    </x:dataValidation>
    <x:dataValidation type="list" sqref="X2:X501">
      <x:formula1>"TRUE,FALSE"</x:formula1>
    </x:dataValidation>
    <x:dataValidation type="list" sqref="AB2:AB501">
      <x:formula1>"YES,NO"</x:formula1>
    </x:dataValidation>
    <x:dataValidation type="list" sqref="AD2:AD501">
      <x:formula1>"DRAFT,INVOICED,PARTIALLY_PAID,PAID"</x:formula1>
    </x:dataValidation>
    <x:dataValidation type="list" sqref="AE2:AE5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ec38476f4e47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.75" hidden="0" customWidth="1"/>
    <x:col min="3" max="3" width="16.25" hidden="0" customWidth="1"/>
    <x:col min="4" max="4" width="21.25" hidden="0" customWidth="1"/>
    <x:col min="5" max="5" width="31.25" hidden="0" customWidth="1"/>
    <x:col min="6" max="6" width="15" hidden="0" customWidth="1"/>
    <x:col min="7" max="7" width="10.630000114440918" hidden="0" customWidth="1"/>
    <x:col min="8" max="8" width="14.380000114440918" hidden="0" customWidth="1"/>
    <x:col min="9" max="9" width="15.630000114440918" hidden="0" customWidth="1"/>
    <x:col min="10" max="10" width="14.380000114440918" hidden="0" customWidth="1"/>
    <x:col min="11" max="11" width="11.25" hidden="0" customWidth="1"/>
    <x:col min="12" max="12" width="18.75" hidden="0" customWidth="1"/>
    <x:col min="13" max="13" width="16.8799991607666" hidden="0" customWidth="1"/>
    <x:col min="14" max="14" width="31.25" hidden="0" customWidth="1"/>
    <x:col min="15" max="15" width="15.630000114440918" hidden="0" customWidth="1"/>
  </x:cols>
  <x:sheetData>
    <x:row r="1">
      <x:c r="A1" s="5" t="str">
        <x:v>external_sale_code</x:v>
      </x:c>
      <x:c r="B1" s="5" t="str">
        <x:v>line_no</x:v>
      </x:c>
      <x:c r="C1" s="5" t="str">
        <x:v>product_code</x:v>
      </x:c>
      <x:c r="D1" s="5" t="str">
        <x:v>product_name_override</x:v>
      </x:c>
      <x:c r="E1" s="5" t="str">
        <x:v>description</x:v>
      </x:c>
      <x:c r="F1" s="5" t="str">
        <x:v>location</x:v>
      </x:c>
      <x:c r="G1" s="5" t="str">
        <x:v>quantity</x:v>
      </x:c>
      <x:c r="H1" s="5" t="str">
        <x:v>unit_price</x:v>
      </x:c>
      <x:c r="I1" s="5" t="str">
        <x:v>estimated_unit_cost</x:v>
      </x:c>
      <x:c r="J1" s="5" t="str">
        <x:v>discount_percent</x:v>
      </x:c>
      <x:c r="K1" s="5" t="str">
        <x:v>taxable</x:v>
      </x:c>
      <x:c r="L1" s="5" t="str">
        <x:v>revenue_account_code</x:v>
      </x:c>
      <x:c r="M1" s="5" t="str">
        <x:v>tax_account_code</x:v>
      </x:c>
      <x:c r="N1" s="5" t="str">
        <x:v>notes</x:v>
      </x:c>
      <x:c r="O1" s="5" t="str">
        <x:v>check_line_net</x:v>
      </x:c>
    </x:row>
    <x:row r="2">
      <x:c r="A2" s="13" t="str">
        <x:v>CONTOH-SAL-2026-01-0001</x:v>
      </x:c>
      <x:c r="B2" s="15" t="n">
        <x:v>1</x:v>
      </x:c>
      <x:c r="C2" s="7" t="str">
        <x:v>PRD-0001</x:v>
      </x:c>
      <x:c r="D2" s="7" t="str"/>
      <x:c r="E2" s="7" t="str">
        <x:v>Laptop Dell XPS 13</x:v>
      </x:c>
      <x:c r="F2" s="7" t="str">
        <x:v>Gudang Utama</x:v>
      </x:c>
      <x:c r="G2" s="16" t="n">
        <x:v>1</x:v>
      </x:c>
      <x:c r="H2" s="16" t="n">
        <x:v>15900000</x:v>
      </x:c>
      <x:c r="I2" s="9" t="n">
        <x:v>12500000</x:v>
      </x:c>
      <x:c r="J2" s="10" t="n">
        <x:v>0</x:v>
      </x:c>
      <x:c r="K2" s="7" t="str">
        <x:v>TRUE</x:v>
      </x:c>
      <x:c r="L2" s="7" t="str">
        <x:v>4101-001</x:v>
      </x:c>
      <x:c r="M2" s="7" t="str">
        <x:v>2102-001</x:v>
      </x:c>
      <x:c r="N2" s="7" t="str">
        <x:v>CONTOH SAJA - item sales 1</x:v>
      </x:c>
      <x:c r="O2" s="9" t="n">
        <x:f>IF($A2="","",MAX(0,$G2*$H2*(1-$J2/100)))</x:f>
        <x:v>15900000</x:v>
      </x:c>
    </x:row>
    <x:row r="3">
      <x:c r="A3" s="13" t="str">
        <x:v>CONTOH-SAL-2026-01-0001</x:v>
      </x:c>
      <x:c r="B3" s="15" t="n">
        <x:v>2</x:v>
      </x:c>
      <x:c r="C3" s="7" t="str">
        <x:v>PRD-0002</x:v>
      </x:c>
      <x:c r="D3" s="7" t="str"/>
      <x:c r="E3" s="7" t="str">
        <x:v>Mouse Wireless</x:v>
      </x:c>
      <x:c r="F3" s="7" t="str">
        <x:v>Gudang Utama</x:v>
      </x:c>
      <x:c r="G3" s="16" t="n">
        <x:v>2</x:v>
      </x:c>
      <x:c r="H3" s="16" t="n">
        <x:v>250000</x:v>
      </x:c>
      <x:c r="I3" s="9" t="n">
        <x:v>150000</x:v>
      </x:c>
      <x:c r="J3" s="10" t="n">
        <x:v>0</x:v>
      </x:c>
      <x:c r="K3" s="7" t="str">
        <x:v>TRUE</x:v>
      </x:c>
      <x:c r="L3" s="7" t="str">
        <x:v>4101-001</x:v>
      </x:c>
      <x:c r="M3" s="7" t="str">
        <x:v>2102-001</x:v>
      </x:c>
      <x:c r="N3" s="7" t="str">
        <x:v>CONTOH SAJA - item sales 2</x:v>
      </x:c>
      <x:c r="O3" s="9" t="n">
        <x:f>IF($A3="","",MAX(0,$G3*$H3*(1-$J3/100)))</x:f>
        <x:v>500000</x:v>
      </x:c>
    </x:row>
    <x:row r="4">
      <x:c r="A4" s="13"/>
      <x:c r="B4" s="15"/>
      <x:c r="C4" s="7"/>
      <x:c r="D4" s="7"/>
      <x:c r="E4" s="7"/>
      <x:c r="F4" s="7"/>
      <x:c r="G4" s="16"/>
      <x:c r="H4" s="16"/>
      <x:c r="I4" s="9"/>
      <x:c r="J4" s="10"/>
      <x:c r="K4" s="7"/>
      <x:c r="L4" s="7"/>
      <x:c r="M4" s="7"/>
      <x:c r="N4" s="7"/>
      <x:c r="O4" s="9" t="str">
        <x:f>IF($A4="","",MAX(0,$G4*$H4*(1-$J4/100)))</x:f>
      </x:c>
    </x:row>
    <x:row r="5">
      <x:c r="A5" s="13"/>
      <x:c r="B5" s="15"/>
      <x:c r="C5" s="7"/>
      <x:c r="D5" s="7"/>
      <x:c r="E5" s="7"/>
      <x:c r="F5" s="7"/>
      <x:c r="G5" s="16"/>
      <x:c r="H5" s="16"/>
      <x:c r="I5" s="9"/>
      <x:c r="J5" s="10"/>
      <x:c r="K5" s="7"/>
      <x:c r="L5" s="7"/>
      <x:c r="M5" s="7"/>
      <x:c r="N5" s="7"/>
      <x:c r="O5" s="9" t="str">
        <x:f>IF($A5="","",MAX(0,$G5*$H5*(1-$J5/100)))</x:f>
      </x:c>
    </x:row>
    <x:row r="6">
      <x:c r="A6" s="13"/>
      <x:c r="B6" s="15"/>
      <x:c r="C6" s="7"/>
      <x:c r="D6" s="7"/>
      <x:c r="E6" s="7"/>
      <x:c r="F6" s="7"/>
      <x:c r="G6" s="16"/>
      <x:c r="H6" s="16"/>
      <x:c r="I6" s="9"/>
      <x:c r="J6" s="10"/>
      <x:c r="K6" s="7"/>
      <x:c r="L6" s="7"/>
      <x:c r="M6" s="7"/>
      <x:c r="N6" s="7"/>
      <x:c r="O6" s="9" t="str">
        <x:f>IF($A6="","",MAX(0,$G6*$H6*(1-$J6/100)))</x:f>
      </x:c>
    </x:row>
    <x:row r="7">
      <x:c r="A7" s="13"/>
      <x:c r="B7" s="15"/>
      <x:c r="C7" s="7"/>
      <x:c r="D7" s="7"/>
      <x:c r="E7" s="7"/>
      <x:c r="F7" s="7"/>
      <x:c r="G7" s="16"/>
      <x:c r="H7" s="16"/>
      <x:c r="I7" s="9"/>
      <x:c r="J7" s="10"/>
      <x:c r="K7" s="7"/>
      <x:c r="L7" s="7"/>
      <x:c r="M7" s="7"/>
      <x:c r="N7" s="7"/>
      <x:c r="O7" s="9" t="str">
        <x:f>IF($A7="","",MAX(0,$G7*$H7*(1-$J7/100)))</x:f>
      </x:c>
    </x:row>
    <x:row r="8">
      <x:c r="A8" s="13"/>
      <x:c r="B8" s="15"/>
      <x:c r="C8" s="7"/>
      <x:c r="D8" s="7"/>
      <x:c r="E8" s="7"/>
      <x:c r="F8" s="7"/>
      <x:c r="G8" s="16"/>
      <x:c r="H8" s="16"/>
      <x:c r="I8" s="9"/>
      <x:c r="J8" s="10"/>
      <x:c r="K8" s="7"/>
      <x:c r="L8" s="7"/>
      <x:c r="M8" s="7"/>
      <x:c r="N8" s="7"/>
      <x:c r="O8" s="9" t="str">
        <x:f>IF($A8="","",MAX(0,$G8*$H8*(1-$J8/100)))</x:f>
      </x:c>
    </x:row>
    <x:row r="9">
      <x:c r="A9" s="13"/>
      <x:c r="B9" s="15"/>
      <x:c r="C9" s="7"/>
      <x:c r="D9" s="7"/>
      <x:c r="E9" s="7"/>
      <x:c r="F9" s="7"/>
      <x:c r="G9" s="16"/>
      <x:c r="H9" s="16"/>
      <x:c r="I9" s="9"/>
      <x:c r="J9" s="10"/>
      <x:c r="K9" s="7"/>
      <x:c r="L9" s="7"/>
      <x:c r="M9" s="7"/>
      <x:c r="N9" s="7"/>
      <x:c r="O9" s="9" t="str">
        <x:f>IF($A9="","",MAX(0,$G9*$H9*(1-$J9/100)))</x:f>
      </x:c>
    </x:row>
    <x:row r="10">
      <x:c r="A10" s="13"/>
      <x:c r="B10" s="15"/>
      <x:c r="C10" s="7"/>
      <x:c r="D10" s="7"/>
      <x:c r="E10" s="7"/>
      <x:c r="F10" s="7"/>
      <x:c r="G10" s="16"/>
      <x:c r="H10" s="16"/>
      <x:c r="I10" s="9"/>
      <x:c r="J10" s="10"/>
      <x:c r="K10" s="7"/>
      <x:c r="L10" s="7"/>
      <x:c r="M10" s="7"/>
      <x:c r="N10" s="7"/>
      <x:c r="O10" s="9" t="str">
        <x:f>IF($A10="","",MAX(0,$G10*$H10*(1-$J10/100)))</x:f>
      </x:c>
    </x:row>
    <x:row r="11">
      <x:c r="A11" s="13"/>
      <x:c r="B11" s="15"/>
      <x:c r="C11" s="7"/>
      <x:c r="D11" s="7"/>
      <x:c r="E11" s="7"/>
      <x:c r="F11" s="7"/>
      <x:c r="G11" s="16"/>
      <x:c r="H11" s="16"/>
      <x:c r="I11" s="9"/>
      <x:c r="J11" s="10"/>
      <x:c r="K11" s="7"/>
      <x:c r="L11" s="7"/>
      <x:c r="M11" s="7"/>
      <x:c r="N11" s="7"/>
      <x:c r="O11" s="9" t="str">
        <x:f>IF($A11="","",MAX(0,$G11*$H11*(1-$J11/100)))</x:f>
      </x:c>
    </x:row>
    <x:row r="12">
      <x:c r="A12" s="13"/>
      <x:c r="B12" s="15"/>
      <x:c r="C12" s="7"/>
      <x:c r="D12" s="7"/>
      <x:c r="E12" s="7"/>
      <x:c r="F12" s="7"/>
      <x:c r="G12" s="16"/>
      <x:c r="H12" s="16"/>
      <x:c r="I12" s="9"/>
      <x:c r="J12" s="10"/>
      <x:c r="K12" s="7"/>
      <x:c r="L12" s="7"/>
      <x:c r="M12" s="7"/>
      <x:c r="N12" s="7"/>
      <x:c r="O12" s="9" t="str">
        <x:f>IF($A12="","",MAX(0,$G12*$H12*(1-$J12/100)))</x:f>
      </x:c>
    </x:row>
    <x:row r="13">
      <x:c r="A13" s="13"/>
      <x:c r="B13" s="15"/>
      <x:c r="C13" s="7"/>
      <x:c r="D13" s="7"/>
      <x:c r="E13" s="7"/>
      <x:c r="F13" s="7"/>
      <x:c r="G13" s="16"/>
      <x:c r="H13" s="16"/>
      <x:c r="I13" s="9"/>
      <x:c r="J13" s="10"/>
      <x:c r="K13" s="7"/>
      <x:c r="L13" s="7"/>
      <x:c r="M13" s="7"/>
      <x:c r="N13" s="7"/>
      <x:c r="O13" s="9" t="str">
        <x:f>IF($A13="","",MAX(0,$G13*$H13*(1-$J13/100)))</x:f>
      </x:c>
    </x:row>
    <x:row r="14">
      <x:c r="A14" s="13"/>
      <x:c r="B14" s="15"/>
      <x:c r="C14" s="7"/>
      <x:c r="D14" s="7"/>
      <x:c r="E14" s="7"/>
      <x:c r="F14" s="7"/>
      <x:c r="G14" s="16"/>
      <x:c r="H14" s="16"/>
      <x:c r="I14" s="9"/>
      <x:c r="J14" s="10"/>
      <x:c r="K14" s="7"/>
      <x:c r="L14" s="7"/>
      <x:c r="M14" s="7"/>
      <x:c r="N14" s="7"/>
      <x:c r="O14" s="9" t="str">
        <x:f>IF($A14="","",MAX(0,$G14*$H14*(1-$J14/100)))</x:f>
      </x:c>
    </x:row>
    <x:row r="15">
      <x:c r="A15" s="13"/>
      <x:c r="B15" s="15"/>
      <x:c r="C15" s="7"/>
      <x:c r="D15" s="7"/>
      <x:c r="E15" s="7"/>
      <x:c r="F15" s="7"/>
      <x:c r="G15" s="16"/>
      <x:c r="H15" s="16"/>
      <x:c r="I15" s="9"/>
      <x:c r="J15" s="10"/>
      <x:c r="K15" s="7"/>
      <x:c r="L15" s="7"/>
      <x:c r="M15" s="7"/>
      <x:c r="N15" s="7"/>
      <x:c r="O15" s="9" t="str">
        <x:f>IF($A15="","",MAX(0,$G15*$H15*(1-$J15/100)))</x:f>
      </x:c>
    </x:row>
    <x:row r="16">
      <x:c r="A16" s="13"/>
      <x:c r="B16" s="15"/>
      <x:c r="C16" s="7"/>
      <x:c r="D16" s="7"/>
      <x:c r="E16" s="7"/>
      <x:c r="F16" s="7"/>
      <x:c r="G16" s="16"/>
      <x:c r="H16" s="16"/>
      <x:c r="I16" s="9"/>
      <x:c r="J16" s="10"/>
      <x:c r="K16" s="7"/>
      <x:c r="L16" s="7"/>
      <x:c r="M16" s="7"/>
      <x:c r="N16" s="7"/>
      <x:c r="O16" s="9" t="str">
        <x:f>IF($A16="","",MAX(0,$G16*$H16*(1-$J16/100)))</x:f>
      </x:c>
    </x:row>
    <x:row r="17">
      <x:c r="A17" s="13"/>
      <x:c r="B17" s="15"/>
      <x:c r="C17" s="7"/>
      <x:c r="D17" s="7"/>
      <x:c r="E17" s="7"/>
      <x:c r="F17" s="7"/>
      <x:c r="G17" s="16"/>
      <x:c r="H17" s="16"/>
      <x:c r="I17" s="9"/>
      <x:c r="J17" s="10"/>
      <x:c r="K17" s="7"/>
      <x:c r="L17" s="7"/>
      <x:c r="M17" s="7"/>
      <x:c r="N17" s="7"/>
      <x:c r="O17" s="9" t="str">
        <x:f>IF($A17="","",MAX(0,$G17*$H17*(1-$J17/100)))</x:f>
      </x:c>
    </x:row>
    <x:row r="18">
      <x:c r="A18" s="13"/>
      <x:c r="B18" s="15"/>
      <x:c r="C18" s="7"/>
      <x:c r="D18" s="7"/>
      <x:c r="E18" s="7"/>
      <x:c r="F18" s="7"/>
      <x:c r="G18" s="16"/>
      <x:c r="H18" s="16"/>
      <x:c r="I18" s="9"/>
      <x:c r="J18" s="10"/>
      <x:c r="K18" s="7"/>
      <x:c r="L18" s="7"/>
      <x:c r="M18" s="7"/>
      <x:c r="N18" s="7"/>
      <x:c r="O18" s="9" t="str">
        <x:f>IF($A18="","",MAX(0,$G18*$H18*(1-$J18/100)))</x:f>
      </x:c>
    </x:row>
    <x:row r="19">
      <x:c r="A19" s="13"/>
      <x:c r="B19" s="15"/>
      <x:c r="C19" s="7"/>
      <x:c r="D19" s="7"/>
      <x:c r="E19" s="7"/>
      <x:c r="F19" s="7"/>
      <x:c r="G19" s="16"/>
      <x:c r="H19" s="16"/>
      <x:c r="I19" s="9"/>
      <x:c r="J19" s="10"/>
      <x:c r="K19" s="7"/>
      <x:c r="L19" s="7"/>
      <x:c r="M19" s="7"/>
      <x:c r="N19" s="7"/>
      <x:c r="O19" s="9" t="str">
        <x:f>IF($A19="","",MAX(0,$G19*$H19*(1-$J19/100)))</x:f>
      </x:c>
    </x:row>
    <x:row r="20">
      <x:c r="A20" s="13"/>
      <x:c r="B20" s="15"/>
      <x:c r="C20" s="7"/>
      <x:c r="D20" s="7"/>
      <x:c r="E20" s="7"/>
      <x:c r="F20" s="7"/>
      <x:c r="G20" s="16"/>
      <x:c r="H20" s="16"/>
      <x:c r="I20" s="9"/>
      <x:c r="J20" s="10"/>
      <x:c r="K20" s="7"/>
      <x:c r="L20" s="7"/>
      <x:c r="M20" s="7"/>
      <x:c r="N20" s="7"/>
      <x:c r="O20" s="9" t="str">
        <x:f>IF($A20="","",MAX(0,$G20*$H20*(1-$J20/100)))</x:f>
      </x:c>
    </x:row>
    <x:row r="21">
      <x:c r="A21" s="13"/>
      <x:c r="B21" s="15"/>
      <x:c r="C21" s="7"/>
      <x:c r="D21" s="7"/>
      <x:c r="E21" s="7"/>
      <x:c r="F21" s="7"/>
      <x:c r="G21" s="16"/>
      <x:c r="H21" s="16"/>
      <x:c r="I21" s="9"/>
      <x:c r="J21" s="10"/>
      <x:c r="K21" s="7"/>
      <x:c r="L21" s="7"/>
      <x:c r="M21" s="7"/>
      <x:c r="N21" s="7"/>
      <x:c r="O21" s="9" t="str">
        <x:f>IF($A21="","",MAX(0,$G21*$H21*(1-$J21/100)))</x:f>
      </x:c>
    </x:row>
    <x:row r="22">
      <x:c r="A22" s="13"/>
      <x:c r="B22" s="15"/>
      <x:c r="C22" s="7"/>
      <x:c r="D22" s="7"/>
      <x:c r="E22" s="7"/>
      <x:c r="F22" s="7"/>
      <x:c r="G22" s="16"/>
      <x:c r="H22" s="16"/>
      <x:c r="I22" s="9"/>
      <x:c r="J22" s="10"/>
      <x:c r="K22" s="7"/>
      <x:c r="L22" s="7"/>
      <x:c r="M22" s="7"/>
      <x:c r="N22" s="7"/>
      <x:c r="O22" s="9" t="str">
        <x:f>IF($A22="","",MAX(0,$G22*$H22*(1-$J22/100)))</x:f>
      </x:c>
    </x:row>
    <x:row r="23">
      <x:c r="A23" s="13"/>
      <x:c r="B23" s="15"/>
      <x:c r="C23" s="7"/>
      <x:c r="D23" s="7"/>
      <x:c r="E23" s="7"/>
      <x:c r="F23" s="7"/>
      <x:c r="G23" s="16"/>
      <x:c r="H23" s="16"/>
      <x:c r="I23" s="9"/>
      <x:c r="J23" s="10"/>
      <x:c r="K23" s="7"/>
      <x:c r="L23" s="7"/>
      <x:c r="M23" s="7"/>
      <x:c r="N23" s="7"/>
      <x:c r="O23" s="9" t="str">
        <x:f>IF($A23="","",MAX(0,$G23*$H23*(1-$J23/100)))</x:f>
      </x:c>
    </x:row>
    <x:row r="24">
      <x:c r="A24" s="13"/>
      <x:c r="B24" s="15"/>
      <x:c r="C24" s="7"/>
      <x:c r="D24" s="7"/>
      <x:c r="E24" s="7"/>
      <x:c r="F24" s="7"/>
      <x:c r="G24" s="16"/>
      <x:c r="H24" s="16"/>
      <x:c r="I24" s="9"/>
      <x:c r="J24" s="10"/>
      <x:c r="K24" s="7"/>
      <x:c r="L24" s="7"/>
      <x:c r="M24" s="7"/>
      <x:c r="N24" s="7"/>
      <x:c r="O24" s="9" t="str">
        <x:f>IF($A24="","",MAX(0,$G24*$H24*(1-$J24/100)))</x:f>
      </x:c>
    </x:row>
    <x:row r="25">
      <x:c r="A25" s="13"/>
      <x:c r="B25" s="15"/>
      <x:c r="C25" s="7"/>
      <x:c r="D25" s="7"/>
      <x:c r="E25" s="7"/>
      <x:c r="F25" s="7"/>
      <x:c r="G25" s="16"/>
      <x:c r="H25" s="16"/>
      <x:c r="I25" s="9"/>
      <x:c r="J25" s="10"/>
      <x:c r="K25" s="7"/>
      <x:c r="L25" s="7"/>
      <x:c r="M25" s="7"/>
      <x:c r="N25" s="7"/>
      <x:c r="O25" s="9" t="str">
        <x:f>IF($A25="","",MAX(0,$G25*$H25*(1-$J25/100)))</x:f>
      </x:c>
    </x:row>
    <x:row r="26">
      <x:c r="A26" s="13"/>
      <x:c r="B26" s="15"/>
      <x:c r="C26" s="7"/>
      <x:c r="D26" s="7"/>
      <x:c r="E26" s="7"/>
      <x:c r="F26" s="7"/>
      <x:c r="G26" s="16"/>
      <x:c r="H26" s="16"/>
      <x:c r="I26" s="9"/>
      <x:c r="J26" s="10"/>
      <x:c r="K26" s="7"/>
      <x:c r="L26" s="7"/>
      <x:c r="M26" s="7"/>
      <x:c r="N26" s="7"/>
      <x:c r="O26" s="9" t="str">
        <x:f>IF($A26="","",MAX(0,$G26*$H26*(1-$J26/100)))</x:f>
      </x:c>
    </x:row>
    <x:row r="27">
      <x:c r="A27" s="13"/>
      <x:c r="B27" s="15"/>
      <x:c r="C27" s="7"/>
      <x:c r="D27" s="7"/>
      <x:c r="E27" s="7"/>
      <x:c r="F27" s="7"/>
      <x:c r="G27" s="16"/>
      <x:c r="H27" s="16"/>
      <x:c r="I27" s="9"/>
      <x:c r="J27" s="10"/>
      <x:c r="K27" s="7"/>
      <x:c r="L27" s="7"/>
      <x:c r="M27" s="7"/>
      <x:c r="N27" s="7"/>
      <x:c r="O27" s="9" t="str">
        <x:f>IF($A27="","",MAX(0,$G27*$H27*(1-$J27/100)))</x:f>
      </x:c>
    </x:row>
    <x:row r="28">
      <x:c r="A28" s="13"/>
      <x:c r="B28" s="15"/>
      <x:c r="C28" s="7"/>
      <x:c r="D28" s="7"/>
      <x:c r="E28" s="7"/>
      <x:c r="F28" s="7"/>
      <x:c r="G28" s="16"/>
      <x:c r="H28" s="16"/>
      <x:c r="I28" s="9"/>
      <x:c r="J28" s="10"/>
      <x:c r="K28" s="7"/>
      <x:c r="L28" s="7"/>
      <x:c r="M28" s="7"/>
      <x:c r="N28" s="7"/>
      <x:c r="O28" s="9" t="str">
        <x:f>IF($A28="","",MAX(0,$G28*$H28*(1-$J28/100)))</x:f>
      </x:c>
    </x:row>
    <x:row r="29">
      <x:c r="A29" s="13"/>
      <x:c r="B29" s="15"/>
      <x:c r="C29" s="7"/>
      <x:c r="D29" s="7"/>
      <x:c r="E29" s="7"/>
      <x:c r="F29" s="7"/>
      <x:c r="G29" s="16"/>
      <x:c r="H29" s="16"/>
      <x:c r="I29" s="9"/>
      <x:c r="J29" s="10"/>
      <x:c r="K29" s="7"/>
      <x:c r="L29" s="7"/>
      <x:c r="M29" s="7"/>
      <x:c r="N29" s="7"/>
      <x:c r="O29" s="9" t="str">
        <x:f>IF($A29="","",MAX(0,$G29*$H29*(1-$J29/100)))</x:f>
      </x:c>
    </x:row>
    <x:row r="30">
      <x:c r="A30" s="13"/>
      <x:c r="B30" s="15"/>
      <x:c r="C30" s="7"/>
      <x:c r="D30" s="7"/>
      <x:c r="E30" s="7"/>
      <x:c r="F30" s="7"/>
      <x:c r="G30" s="16"/>
      <x:c r="H30" s="16"/>
      <x:c r="I30" s="9"/>
      <x:c r="J30" s="10"/>
      <x:c r="K30" s="7"/>
      <x:c r="L30" s="7"/>
      <x:c r="M30" s="7"/>
      <x:c r="N30" s="7"/>
      <x:c r="O30" s="9" t="str">
        <x:f>IF($A30="","",MAX(0,$G30*$H30*(1-$J30/100)))</x:f>
      </x:c>
    </x:row>
    <x:row r="31">
      <x:c r="A31" s="13"/>
      <x:c r="B31" s="15"/>
      <x:c r="C31" s="7"/>
      <x:c r="D31" s="7"/>
      <x:c r="E31" s="7"/>
      <x:c r="F31" s="7"/>
      <x:c r="G31" s="16"/>
      <x:c r="H31" s="16"/>
      <x:c r="I31" s="9"/>
      <x:c r="J31" s="10"/>
      <x:c r="K31" s="7"/>
      <x:c r="L31" s="7"/>
      <x:c r="M31" s="7"/>
      <x:c r="N31" s="7"/>
      <x:c r="O31" s="9" t="str">
        <x:f>IF($A31="","",MAX(0,$G31*$H31*(1-$J31/100)))</x:f>
      </x:c>
    </x:row>
    <x:row r="32">
      <x:c r="A32" s="13"/>
      <x:c r="B32" s="15"/>
      <x:c r="C32" s="7"/>
      <x:c r="D32" s="7"/>
      <x:c r="E32" s="7"/>
      <x:c r="F32" s="7"/>
      <x:c r="G32" s="16"/>
      <x:c r="H32" s="16"/>
      <x:c r="I32" s="9"/>
      <x:c r="J32" s="10"/>
      <x:c r="K32" s="7"/>
      <x:c r="L32" s="7"/>
      <x:c r="M32" s="7"/>
      <x:c r="N32" s="7"/>
      <x:c r="O32" s="9" t="str">
        <x:f>IF($A32="","",MAX(0,$G32*$H32*(1-$J32/100)))</x:f>
      </x:c>
    </x:row>
    <x:row r="33">
      <x:c r="A33" s="13"/>
      <x:c r="B33" s="15"/>
      <x:c r="C33" s="7"/>
      <x:c r="D33" s="7"/>
      <x:c r="E33" s="7"/>
      <x:c r="F33" s="7"/>
      <x:c r="G33" s="16"/>
      <x:c r="H33" s="16"/>
      <x:c r="I33" s="9"/>
      <x:c r="J33" s="10"/>
      <x:c r="K33" s="7"/>
      <x:c r="L33" s="7"/>
      <x:c r="M33" s="7"/>
      <x:c r="N33" s="7"/>
      <x:c r="O33" s="9" t="str">
        <x:f>IF($A33="","",MAX(0,$G33*$H33*(1-$J33/100)))</x:f>
      </x:c>
    </x:row>
    <x:row r="34">
      <x:c r="A34" s="13"/>
      <x:c r="B34" s="15"/>
      <x:c r="C34" s="7"/>
      <x:c r="D34" s="7"/>
      <x:c r="E34" s="7"/>
      <x:c r="F34" s="7"/>
      <x:c r="G34" s="16"/>
      <x:c r="H34" s="16"/>
      <x:c r="I34" s="9"/>
      <x:c r="J34" s="10"/>
      <x:c r="K34" s="7"/>
      <x:c r="L34" s="7"/>
      <x:c r="M34" s="7"/>
      <x:c r="N34" s="7"/>
      <x:c r="O34" s="9" t="str">
        <x:f>IF($A34="","",MAX(0,$G34*$H34*(1-$J34/100)))</x:f>
      </x:c>
    </x:row>
    <x:row r="35">
      <x:c r="A35" s="13"/>
      <x:c r="B35" s="15"/>
      <x:c r="C35" s="7"/>
      <x:c r="D35" s="7"/>
      <x:c r="E35" s="7"/>
      <x:c r="F35" s="7"/>
      <x:c r="G35" s="16"/>
      <x:c r="H35" s="16"/>
      <x:c r="I35" s="9"/>
      <x:c r="J35" s="10"/>
      <x:c r="K35" s="7"/>
      <x:c r="L35" s="7"/>
      <x:c r="M35" s="7"/>
      <x:c r="N35" s="7"/>
      <x:c r="O35" s="9" t="str">
        <x:f>IF($A35="","",MAX(0,$G35*$H35*(1-$J35/100)))</x:f>
      </x:c>
    </x:row>
    <x:row r="36">
      <x:c r="A36" s="13"/>
      <x:c r="B36" s="15"/>
      <x:c r="C36" s="7"/>
      <x:c r="D36" s="7"/>
      <x:c r="E36" s="7"/>
      <x:c r="F36" s="7"/>
      <x:c r="G36" s="16"/>
      <x:c r="H36" s="16"/>
      <x:c r="I36" s="9"/>
      <x:c r="J36" s="10"/>
      <x:c r="K36" s="7"/>
      <x:c r="L36" s="7"/>
      <x:c r="M36" s="7"/>
      <x:c r="N36" s="7"/>
      <x:c r="O36" s="9" t="str">
        <x:f>IF($A36="","",MAX(0,$G36*$H36*(1-$J36/100)))</x:f>
      </x:c>
    </x:row>
    <x:row r="37">
      <x:c r="A37" s="13"/>
      <x:c r="B37" s="15"/>
      <x:c r="C37" s="7"/>
      <x:c r="D37" s="7"/>
      <x:c r="E37" s="7"/>
      <x:c r="F37" s="7"/>
      <x:c r="G37" s="16"/>
      <x:c r="H37" s="16"/>
      <x:c r="I37" s="9"/>
      <x:c r="J37" s="10"/>
      <x:c r="K37" s="7"/>
      <x:c r="L37" s="7"/>
      <x:c r="M37" s="7"/>
      <x:c r="N37" s="7"/>
      <x:c r="O37" s="9" t="str">
        <x:f>IF($A37="","",MAX(0,$G37*$H37*(1-$J37/100)))</x:f>
      </x:c>
    </x:row>
    <x:row r="38">
      <x:c r="A38" s="13"/>
      <x:c r="B38" s="15"/>
      <x:c r="C38" s="7"/>
      <x:c r="D38" s="7"/>
      <x:c r="E38" s="7"/>
      <x:c r="F38" s="7"/>
      <x:c r="G38" s="16"/>
      <x:c r="H38" s="16"/>
      <x:c r="I38" s="9"/>
      <x:c r="J38" s="10"/>
      <x:c r="K38" s="7"/>
      <x:c r="L38" s="7"/>
      <x:c r="M38" s="7"/>
      <x:c r="N38" s="7"/>
      <x:c r="O38" s="9" t="str">
        <x:f>IF($A38="","",MAX(0,$G38*$H38*(1-$J38/100)))</x:f>
      </x:c>
    </x:row>
    <x:row r="39">
      <x:c r="A39" s="13"/>
      <x:c r="B39" s="15"/>
      <x:c r="C39" s="7"/>
      <x:c r="D39" s="7"/>
      <x:c r="E39" s="7"/>
      <x:c r="F39" s="7"/>
      <x:c r="G39" s="16"/>
      <x:c r="H39" s="16"/>
      <x:c r="I39" s="9"/>
      <x:c r="J39" s="10"/>
      <x:c r="K39" s="7"/>
      <x:c r="L39" s="7"/>
      <x:c r="M39" s="7"/>
      <x:c r="N39" s="7"/>
      <x:c r="O39" s="9" t="str">
        <x:f>IF($A39="","",MAX(0,$G39*$H39*(1-$J39/100)))</x:f>
      </x:c>
    </x:row>
    <x:row r="40">
      <x:c r="A40" s="13"/>
      <x:c r="B40" s="15"/>
      <x:c r="C40" s="7"/>
      <x:c r="D40" s="7"/>
      <x:c r="E40" s="7"/>
      <x:c r="F40" s="7"/>
      <x:c r="G40" s="16"/>
      <x:c r="H40" s="16"/>
      <x:c r="I40" s="9"/>
      <x:c r="J40" s="10"/>
      <x:c r="K40" s="7"/>
      <x:c r="L40" s="7"/>
      <x:c r="M40" s="7"/>
      <x:c r="N40" s="7"/>
      <x:c r="O40" s="9" t="str">
        <x:f>IF($A40="","",MAX(0,$G40*$H40*(1-$J40/100)))</x:f>
      </x:c>
    </x:row>
    <x:row r="41">
      <x:c r="A41" s="13"/>
      <x:c r="B41" s="15"/>
      <x:c r="C41" s="7"/>
      <x:c r="D41" s="7"/>
      <x:c r="E41" s="7"/>
      <x:c r="F41" s="7"/>
      <x:c r="G41" s="16"/>
      <x:c r="H41" s="16"/>
      <x:c r="I41" s="9"/>
      <x:c r="J41" s="10"/>
      <x:c r="K41" s="7"/>
      <x:c r="L41" s="7"/>
      <x:c r="M41" s="7"/>
      <x:c r="N41" s="7"/>
      <x:c r="O41" s="9" t="str">
        <x:f>IF($A41="","",MAX(0,$G41*$H41*(1-$J41/100)))</x:f>
      </x:c>
    </x:row>
    <x:row r="42">
      <x:c r="A42" s="13"/>
      <x:c r="B42" s="15"/>
      <x:c r="C42" s="7"/>
      <x:c r="D42" s="7"/>
      <x:c r="E42" s="7"/>
      <x:c r="F42" s="7"/>
      <x:c r="G42" s="16"/>
      <x:c r="H42" s="16"/>
      <x:c r="I42" s="9"/>
      <x:c r="J42" s="10"/>
      <x:c r="K42" s="7"/>
      <x:c r="L42" s="7"/>
      <x:c r="M42" s="7"/>
      <x:c r="N42" s="7"/>
      <x:c r="O42" s="9" t="str">
        <x:f>IF($A42="","",MAX(0,$G42*$H42*(1-$J42/100)))</x:f>
      </x:c>
    </x:row>
    <x:row r="43">
      <x:c r="A43" s="13"/>
      <x:c r="B43" s="15"/>
      <x:c r="C43" s="7"/>
      <x:c r="D43" s="7"/>
      <x:c r="E43" s="7"/>
      <x:c r="F43" s="7"/>
      <x:c r="G43" s="16"/>
      <x:c r="H43" s="16"/>
      <x:c r="I43" s="9"/>
      <x:c r="J43" s="10"/>
      <x:c r="K43" s="7"/>
      <x:c r="L43" s="7"/>
      <x:c r="M43" s="7"/>
      <x:c r="N43" s="7"/>
      <x:c r="O43" s="9" t="str">
        <x:f>IF($A43="","",MAX(0,$G43*$H43*(1-$J43/100)))</x:f>
      </x:c>
    </x:row>
    <x:row r="44">
      <x:c r="A44" s="13"/>
      <x:c r="B44" s="15"/>
      <x:c r="C44" s="7"/>
      <x:c r="D44" s="7"/>
      <x:c r="E44" s="7"/>
      <x:c r="F44" s="7"/>
      <x:c r="G44" s="16"/>
      <x:c r="H44" s="16"/>
      <x:c r="I44" s="9"/>
      <x:c r="J44" s="10"/>
      <x:c r="K44" s="7"/>
      <x:c r="L44" s="7"/>
      <x:c r="M44" s="7"/>
      <x:c r="N44" s="7"/>
      <x:c r="O44" s="9" t="str">
        <x:f>IF($A44="","",MAX(0,$G44*$H44*(1-$J44/100)))</x:f>
      </x:c>
    </x:row>
    <x:row r="45">
      <x:c r="A45" s="13"/>
      <x:c r="B45" s="15"/>
      <x:c r="C45" s="7"/>
      <x:c r="D45" s="7"/>
      <x:c r="E45" s="7"/>
      <x:c r="F45" s="7"/>
      <x:c r="G45" s="16"/>
      <x:c r="H45" s="16"/>
      <x:c r="I45" s="9"/>
      <x:c r="J45" s="10"/>
      <x:c r="K45" s="7"/>
      <x:c r="L45" s="7"/>
      <x:c r="M45" s="7"/>
      <x:c r="N45" s="7"/>
      <x:c r="O45" s="9" t="str">
        <x:f>IF($A45="","",MAX(0,$G45*$H45*(1-$J45/100)))</x:f>
      </x:c>
    </x:row>
    <x:row r="46">
      <x:c r="A46" s="13"/>
      <x:c r="B46" s="15"/>
      <x:c r="C46" s="7"/>
      <x:c r="D46" s="7"/>
      <x:c r="E46" s="7"/>
      <x:c r="F46" s="7"/>
      <x:c r="G46" s="16"/>
      <x:c r="H46" s="16"/>
      <x:c r="I46" s="9"/>
      <x:c r="J46" s="10"/>
      <x:c r="K46" s="7"/>
      <x:c r="L46" s="7"/>
      <x:c r="M46" s="7"/>
      <x:c r="N46" s="7"/>
      <x:c r="O46" s="9" t="str">
        <x:f>IF($A46="","",MAX(0,$G46*$H46*(1-$J46/100)))</x:f>
      </x:c>
    </x:row>
    <x:row r="47">
      <x:c r="A47" s="13"/>
      <x:c r="B47" s="15"/>
      <x:c r="C47" s="7"/>
      <x:c r="D47" s="7"/>
      <x:c r="E47" s="7"/>
      <x:c r="F47" s="7"/>
      <x:c r="G47" s="16"/>
      <x:c r="H47" s="16"/>
      <x:c r="I47" s="9"/>
      <x:c r="J47" s="10"/>
      <x:c r="K47" s="7"/>
      <x:c r="L47" s="7"/>
      <x:c r="M47" s="7"/>
      <x:c r="N47" s="7"/>
      <x:c r="O47" s="9" t="str">
        <x:f>IF($A47="","",MAX(0,$G47*$H47*(1-$J47/100)))</x:f>
      </x:c>
    </x:row>
    <x:row r="48">
      <x:c r="A48" s="13"/>
      <x:c r="B48" s="15"/>
      <x:c r="C48" s="7"/>
      <x:c r="D48" s="7"/>
      <x:c r="E48" s="7"/>
      <x:c r="F48" s="7"/>
      <x:c r="G48" s="16"/>
      <x:c r="H48" s="16"/>
      <x:c r="I48" s="9"/>
      <x:c r="J48" s="10"/>
      <x:c r="K48" s="7"/>
      <x:c r="L48" s="7"/>
      <x:c r="M48" s="7"/>
      <x:c r="N48" s="7"/>
      <x:c r="O48" s="9" t="str">
        <x:f>IF($A48="","",MAX(0,$G48*$H48*(1-$J48/100)))</x:f>
      </x:c>
    </x:row>
    <x:row r="49">
      <x:c r="A49" s="13"/>
      <x:c r="B49" s="15"/>
      <x:c r="C49" s="7"/>
      <x:c r="D49" s="7"/>
      <x:c r="E49" s="7"/>
      <x:c r="F49" s="7"/>
      <x:c r="G49" s="16"/>
      <x:c r="H49" s="16"/>
      <x:c r="I49" s="9"/>
      <x:c r="J49" s="10"/>
      <x:c r="K49" s="7"/>
      <x:c r="L49" s="7"/>
      <x:c r="M49" s="7"/>
      <x:c r="N49" s="7"/>
      <x:c r="O49" s="9" t="str">
        <x:f>IF($A49="","",MAX(0,$G49*$H49*(1-$J49/100)))</x:f>
      </x:c>
    </x:row>
    <x:row r="50">
      <x:c r="A50" s="13"/>
      <x:c r="B50" s="15"/>
      <x:c r="C50" s="7"/>
      <x:c r="D50" s="7"/>
      <x:c r="E50" s="7"/>
      <x:c r="F50" s="7"/>
      <x:c r="G50" s="16"/>
      <x:c r="H50" s="16"/>
      <x:c r="I50" s="9"/>
      <x:c r="J50" s="10"/>
      <x:c r="K50" s="7"/>
      <x:c r="L50" s="7"/>
      <x:c r="M50" s="7"/>
      <x:c r="N50" s="7"/>
      <x:c r="O50" s="9" t="str">
        <x:f>IF($A50="","",MAX(0,$G50*$H50*(1-$J50/100)))</x:f>
      </x:c>
    </x:row>
    <x:row r="51">
      <x:c r="A51" s="13"/>
      <x:c r="B51" s="15"/>
      <x:c r="C51" s="7"/>
      <x:c r="D51" s="7"/>
      <x:c r="E51" s="7"/>
      <x:c r="F51" s="7"/>
      <x:c r="G51" s="16"/>
      <x:c r="H51" s="16"/>
      <x:c r="I51" s="9"/>
      <x:c r="J51" s="10"/>
      <x:c r="K51" s="7"/>
      <x:c r="L51" s="7"/>
      <x:c r="M51" s="7"/>
      <x:c r="N51" s="7"/>
      <x:c r="O51" s="9" t="str">
        <x:f>IF($A51="","",MAX(0,$G51*$H51*(1-$J51/100)))</x:f>
      </x:c>
    </x:row>
    <x:row r="52">
      <x:c r="A52" s="13"/>
      <x:c r="B52" s="15"/>
      <x:c r="C52" s="7"/>
      <x:c r="D52" s="7"/>
      <x:c r="E52" s="7"/>
      <x:c r="F52" s="7"/>
      <x:c r="G52" s="16"/>
      <x:c r="H52" s="16"/>
      <x:c r="I52" s="9"/>
      <x:c r="J52" s="10"/>
      <x:c r="K52" s="7"/>
      <x:c r="L52" s="7"/>
      <x:c r="M52" s="7"/>
      <x:c r="N52" s="7"/>
      <x:c r="O52" s="9" t="str">
        <x:f>IF($A52="","",MAX(0,$G52*$H52*(1-$J52/100)))</x:f>
      </x:c>
    </x:row>
    <x:row r="53">
      <x:c r="A53" s="13"/>
      <x:c r="B53" s="15"/>
      <x:c r="C53" s="7"/>
      <x:c r="D53" s="7"/>
      <x:c r="E53" s="7"/>
      <x:c r="F53" s="7"/>
      <x:c r="G53" s="16"/>
      <x:c r="H53" s="16"/>
      <x:c r="I53" s="9"/>
      <x:c r="J53" s="10"/>
      <x:c r="K53" s="7"/>
      <x:c r="L53" s="7"/>
      <x:c r="M53" s="7"/>
      <x:c r="N53" s="7"/>
      <x:c r="O53" s="9" t="str">
        <x:f>IF($A53="","",MAX(0,$G53*$H53*(1-$J53/100)))</x:f>
      </x:c>
    </x:row>
    <x:row r="54">
      <x:c r="A54" s="13"/>
      <x:c r="B54" s="15"/>
      <x:c r="C54" s="7"/>
      <x:c r="D54" s="7"/>
      <x:c r="E54" s="7"/>
      <x:c r="F54" s="7"/>
      <x:c r="G54" s="16"/>
      <x:c r="H54" s="16"/>
      <x:c r="I54" s="9"/>
      <x:c r="J54" s="10"/>
      <x:c r="K54" s="7"/>
      <x:c r="L54" s="7"/>
      <x:c r="M54" s="7"/>
      <x:c r="N54" s="7"/>
      <x:c r="O54" s="9" t="str">
        <x:f>IF($A54="","",MAX(0,$G54*$H54*(1-$J54/100)))</x:f>
      </x:c>
    </x:row>
    <x:row r="55">
      <x:c r="A55" s="13"/>
      <x:c r="B55" s="15"/>
      <x:c r="C55" s="7"/>
      <x:c r="D55" s="7"/>
      <x:c r="E55" s="7"/>
      <x:c r="F55" s="7"/>
      <x:c r="G55" s="16"/>
      <x:c r="H55" s="16"/>
      <x:c r="I55" s="9"/>
      <x:c r="J55" s="10"/>
      <x:c r="K55" s="7"/>
      <x:c r="L55" s="7"/>
      <x:c r="M55" s="7"/>
      <x:c r="N55" s="7"/>
      <x:c r="O55" s="9" t="str">
        <x:f>IF($A55="","",MAX(0,$G55*$H55*(1-$J55/100)))</x:f>
      </x:c>
    </x:row>
    <x:row r="56">
      <x:c r="A56" s="13"/>
      <x:c r="B56" s="15"/>
      <x:c r="C56" s="7"/>
      <x:c r="D56" s="7"/>
      <x:c r="E56" s="7"/>
      <x:c r="F56" s="7"/>
      <x:c r="G56" s="16"/>
      <x:c r="H56" s="16"/>
      <x:c r="I56" s="9"/>
      <x:c r="J56" s="10"/>
      <x:c r="K56" s="7"/>
      <x:c r="L56" s="7"/>
      <x:c r="M56" s="7"/>
      <x:c r="N56" s="7"/>
      <x:c r="O56" s="9" t="str">
        <x:f>IF($A56="","",MAX(0,$G56*$H56*(1-$J56/100)))</x:f>
      </x:c>
    </x:row>
    <x:row r="57">
      <x:c r="A57" s="13"/>
      <x:c r="B57" s="15"/>
      <x:c r="C57" s="7"/>
      <x:c r="D57" s="7"/>
      <x:c r="E57" s="7"/>
      <x:c r="F57" s="7"/>
      <x:c r="G57" s="16"/>
      <x:c r="H57" s="16"/>
      <x:c r="I57" s="9"/>
      <x:c r="J57" s="10"/>
      <x:c r="K57" s="7"/>
      <x:c r="L57" s="7"/>
      <x:c r="M57" s="7"/>
      <x:c r="N57" s="7"/>
      <x:c r="O57" s="9" t="str">
        <x:f>IF($A57="","",MAX(0,$G57*$H57*(1-$J57/100)))</x:f>
      </x:c>
    </x:row>
    <x:row r="58">
      <x:c r="A58" s="13"/>
      <x:c r="B58" s="15"/>
      <x:c r="C58" s="7"/>
      <x:c r="D58" s="7"/>
      <x:c r="E58" s="7"/>
      <x:c r="F58" s="7"/>
      <x:c r="G58" s="16"/>
      <x:c r="H58" s="16"/>
      <x:c r="I58" s="9"/>
      <x:c r="J58" s="10"/>
      <x:c r="K58" s="7"/>
      <x:c r="L58" s="7"/>
      <x:c r="M58" s="7"/>
      <x:c r="N58" s="7"/>
      <x:c r="O58" s="9" t="str">
        <x:f>IF($A58="","",MAX(0,$G58*$H58*(1-$J58/100)))</x:f>
      </x:c>
    </x:row>
    <x:row r="59">
      <x:c r="A59" s="13"/>
      <x:c r="B59" s="15"/>
      <x:c r="C59" s="7"/>
      <x:c r="D59" s="7"/>
      <x:c r="E59" s="7"/>
      <x:c r="F59" s="7"/>
      <x:c r="G59" s="16"/>
      <x:c r="H59" s="16"/>
      <x:c r="I59" s="9"/>
      <x:c r="J59" s="10"/>
      <x:c r="K59" s="7"/>
      <x:c r="L59" s="7"/>
      <x:c r="M59" s="7"/>
      <x:c r="N59" s="7"/>
      <x:c r="O59" s="9" t="str">
        <x:f>IF($A59="","",MAX(0,$G59*$H59*(1-$J59/100)))</x:f>
      </x:c>
    </x:row>
    <x:row r="60">
      <x:c r="A60" s="13"/>
      <x:c r="B60" s="15"/>
      <x:c r="C60" s="7"/>
      <x:c r="D60" s="7"/>
      <x:c r="E60" s="7"/>
      <x:c r="F60" s="7"/>
      <x:c r="G60" s="16"/>
      <x:c r="H60" s="16"/>
      <x:c r="I60" s="9"/>
      <x:c r="J60" s="10"/>
      <x:c r="K60" s="7"/>
      <x:c r="L60" s="7"/>
      <x:c r="M60" s="7"/>
      <x:c r="N60" s="7"/>
      <x:c r="O60" s="9" t="str">
        <x:f>IF($A60="","",MAX(0,$G60*$H60*(1-$J60/100)))</x:f>
      </x:c>
    </x:row>
    <x:row r="61">
      <x:c r="A61" s="13"/>
      <x:c r="B61" s="15"/>
      <x:c r="C61" s="7"/>
      <x:c r="D61" s="7"/>
      <x:c r="E61" s="7"/>
      <x:c r="F61" s="7"/>
      <x:c r="G61" s="16"/>
      <x:c r="H61" s="16"/>
      <x:c r="I61" s="9"/>
      <x:c r="J61" s="10"/>
      <x:c r="K61" s="7"/>
      <x:c r="L61" s="7"/>
      <x:c r="M61" s="7"/>
      <x:c r="N61" s="7"/>
      <x:c r="O61" s="9" t="str">
        <x:f>IF($A61="","",MAX(0,$G61*$H61*(1-$J61/100)))</x:f>
      </x:c>
    </x:row>
    <x:row r="62">
      <x:c r="A62" s="13"/>
      <x:c r="B62" s="15"/>
      <x:c r="C62" s="7"/>
      <x:c r="D62" s="7"/>
      <x:c r="E62" s="7"/>
      <x:c r="F62" s="7"/>
      <x:c r="G62" s="16"/>
      <x:c r="H62" s="16"/>
      <x:c r="I62" s="9"/>
      <x:c r="J62" s="10"/>
      <x:c r="K62" s="7"/>
      <x:c r="L62" s="7"/>
      <x:c r="M62" s="7"/>
      <x:c r="N62" s="7"/>
      <x:c r="O62" s="9" t="str">
        <x:f>IF($A62="","",MAX(0,$G62*$H62*(1-$J62/100)))</x:f>
      </x:c>
    </x:row>
    <x:row r="63">
      <x:c r="A63" s="13"/>
      <x:c r="B63" s="15"/>
      <x:c r="C63" s="7"/>
      <x:c r="D63" s="7"/>
      <x:c r="E63" s="7"/>
      <x:c r="F63" s="7"/>
      <x:c r="G63" s="16"/>
      <x:c r="H63" s="16"/>
      <x:c r="I63" s="9"/>
      <x:c r="J63" s="10"/>
      <x:c r="K63" s="7"/>
      <x:c r="L63" s="7"/>
      <x:c r="M63" s="7"/>
      <x:c r="N63" s="7"/>
      <x:c r="O63" s="9" t="str">
        <x:f>IF($A63="","",MAX(0,$G63*$H63*(1-$J63/100)))</x:f>
      </x:c>
    </x:row>
    <x:row r="64">
      <x:c r="A64" s="13"/>
      <x:c r="B64" s="15"/>
      <x:c r="C64" s="7"/>
      <x:c r="D64" s="7"/>
      <x:c r="E64" s="7"/>
      <x:c r="F64" s="7"/>
      <x:c r="G64" s="16"/>
      <x:c r="H64" s="16"/>
      <x:c r="I64" s="9"/>
      <x:c r="J64" s="10"/>
      <x:c r="K64" s="7"/>
      <x:c r="L64" s="7"/>
      <x:c r="M64" s="7"/>
      <x:c r="N64" s="7"/>
      <x:c r="O64" s="9" t="str">
        <x:f>IF($A64="","",MAX(0,$G64*$H64*(1-$J64/100)))</x:f>
      </x:c>
    </x:row>
    <x:row r="65">
      <x:c r="A65" s="13"/>
      <x:c r="B65" s="15"/>
      <x:c r="C65" s="7"/>
      <x:c r="D65" s="7"/>
      <x:c r="E65" s="7"/>
      <x:c r="F65" s="7"/>
      <x:c r="G65" s="16"/>
      <x:c r="H65" s="16"/>
      <x:c r="I65" s="9"/>
      <x:c r="J65" s="10"/>
      <x:c r="K65" s="7"/>
      <x:c r="L65" s="7"/>
      <x:c r="M65" s="7"/>
      <x:c r="N65" s="7"/>
      <x:c r="O65" s="9" t="str">
        <x:f>IF($A65="","",MAX(0,$G65*$H65*(1-$J65/100)))</x:f>
      </x:c>
    </x:row>
    <x:row r="66">
      <x:c r="A66" s="13"/>
      <x:c r="B66" s="15"/>
      <x:c r="C66" s="7"/>
      <x:c r="D66" s="7"/>
      <x:c r="E66" s="7"/>
      <x:c r="F66" s="7"/>
      <x:c r="G66" s="16"/>
      <x:c r="H66" s="16"/>
      <x:c r="I66" s="9"/>
      <x:c r="J66" s="10"/>
      <x:c r="K66" s="7"/>
      <x:c r="L66" s="7"/>
      <x:c r="M66" s="7"/>
      <x:c r="N66" s="7"/>
      <x:c r="O66" s="9" t="str">
        <x:f>IF($A66="","",MAX(0,$G66*$H66*(1-$J66/100)))</x:f>
      </x:c>
    </x:row>
    <x:row r="67">
      <x:c r="A67" s="13"/>
      <x:c r="B67" s="15"/>
      <x:c r="C67" s="7"/>
      <x:c r="D67" s="7"/>
      <x:c r="E67" s="7"/>
      <x:c r="F67" s="7"/>
      <x:c r="G67" s="16"/>
      <x:c r="H67" s="16"/>
      <x:c r="I67" s="9"/>
      <x:c r="J67" s="10"/>
      <x:c r="K67" s="7"/>
      <x:c r="L67" s="7"/>
      <x:c r="M67" s="7"/>
      <x:c r="N67" s="7"/>
      <x:c r="O67" s="9" t="str">
        <x:f>IF($A67="","",MAX(0,$G67*$H67*(1-$J67/100)))</x:f>
      </x:c>
    </x:row>
    <x:row r="68">
      <x:c r="A68" s="13"/>
      <x:c r="B68" s="15"/>
      <x:c r="C68" s="7"/>
      <x:c r="D68" s="7"/>
      <x:c r="E68" s="7"/>
      <x:c r="F68" s="7"/>
      <x:c r="G68" s="16"/>
      <x:c r="H68" s="16"/>
      <x:c r="I68" s="9"/>
      <x:c r="J68" s="10"/>
      <x:c r="K68" s="7"/>
      <x:c r="L68" s="7"/>
      <x:c r="M68" s="7"/>
      <x:c r="N68" s="7"/>
      <x:c r="O68" s="9" t="str">
        <x:f>IF($A68="","",MAX(0,$G68*$H68*(1-$J68/100)))</x:f>
      </x:c>
    </x:row>
    <x:row r="69">
      <x:c r="A69" s="13"/>
      <x:c r="B69" s="15"/>
      <x:c r="C69" s="7"/>
      <x:c r="D69" s="7"/>
      <x:c r="E69" s="7"/>
      <x:c r="F69" s="7"/>
      <x:c r="G69" s="16"/>
      <x:c r="H69" s="16"/>
      <x:c r="I69" s="9"/>
      <x:c r="J69" s="10"/>
      <x:c r="K69" s="7"/>
      <x:c r="L69" s="7"/>
      <x:c r="M69" s="7"/>
      <x:c r="N69" s="7"/>
      <x:c r="O69" s="9" t="str">
        <x:f>IF($A69="","",MAX(0,$G69*$H69*(1-$J69/100)))</x:f>
      </x:c>
    </x:row>
    <x:row r="70">
      <x:c r="A70" s="13"/>
      <x:c r="B70" s="15"/>
      <x:c r="C70" s="7"/>
      <x:c r="D70" s="7"/>
      <x:c r="E70" s="7"/>
      <x:c r="F70" s="7"/>
      <x:c r="G70" s="16"/>
      <x:c r="H70" s="16"/>
      <x:c r="I70" s="9"/>
      <x:c r="J70" s="10"/>
      <x:c r="K70" s="7"/>
      <x:c r="L70" s="7"/>
      <x:c r="M70" s="7"/>
      <x:c r="N70" s="7"/>
      <x:c r="O70" s="9" t="str">
        <x:f>IF($A70="","",MAX(0,$G70*$H70*(1-$J70/100)))</x:f>
      </x:c>
    </x:row>
    <x:row r="71">
      <x:c r="A71" s="13"/>
      <x:c r="B71" s="15"/>
      <x:c r="C71" s="7"/>
      <x:c r="D71" s="7"/>
      <x:c r="E71" s="7"/>
      <x:c r="F71" s="7"/>
      <x:c r="G71" s="16"/>
      <x:c r="H71" s="16"/>
      <x:c r="I71" s="9"/>
      <x:c r="J71" s="10"/>
      <x:c r="K71" s="7"/>
      <x:c r="L71" s="7"/>
      <x:c r="M71" s="7"/>
      <x:c r="N71" s="7"/>
      <x:c r="O71" s="9" t="str">
        <x:f>IF($A71="","",MAX(0,$G71*$H71*(1-$J71/100)))</x:f>
      </x:c>
    </x:row>
    <x:row r="72">
      <x:c r="A72" s="13"/>
      <x:c r="B72" s="15"/>
      <x:c r="C72" s="7"/>
      <x:c r="D72" s="7"/>
      <x:c r="E72" s="7"/>
      <x:c r="F72" s="7"/>
      <x:c r="G72" s="16"/>
      <x:c r="H72" s="16"/>
      <x:c r="I72" s="9"/>
      <x:c r="J72" s="10"/>
      <x:c r="K72" s="7"/>
      <x:c r="L72" s="7"/>
      <x:c r="M72" s="7"/>
      <x:c r="N72" s="7"/>
      <x:c r="O72" s="9" t="str">
        <x:f>IF($A72="","",MAX(0,$G72*$H72*(1-$J72/100)))</x:f>
      </x:c>
    </x:row>
    <x:row r="73">
      <x:c r="A73" s="13"/>
      <x:c r="B73" s="15"/>
      <x:c r="C73" s="7"/>
      <x:c r="D73" s="7"/>
      <x:c r="E73" s="7"/>
      <x:c r="F73" s="7"/>
      <x:c r="G73" s="16"/>
      <x:c r="H73" s="16"/>
      <x:c r="I73" s="9"/>
      <x:c r="J73" s="10"/>
      <x:c r="K73" s="7"/>
      <x:c r="L73" s="7"/>
      <x:c r="M73" s="7"/>
      <x:c r="N73" s="7"/>
      <x:c r="O73" s="9" t="str">
        <x:f>IF($A73="","",MAX(0,$G73*$H73*(1-$J73/100)))</x:f>
      </x:c>
    </x:row>
    <x:row r="74">
      <x:c r="A74" s="13"/>
      <x:c r="B74" s="15"/>
      <x:c r="C74" s="7"/>
      <x:c r="D74" s="7"/>
      <x:c r="E74" s="7"/>
      <x:c r="F74" s="7"/>
      <x:c r="G74" s="16"/>
      <x:c r="H74" s="16"/>
      <x:c r="I74" s="9"/>
      <x:c r="J74" s="10"/>
      <x:c r="K74" s="7"/>
      <x:c r="L74" s="7"/>
      <x:c r="M74" s="7"/>
      <x:c r="N74" s="7"/>
      <x:c r="O74" s="9" t="str">
        <x:f>IF($A74="","",MAX(0,$G74*$H74*(1-$J74/100)))</x:f>
      </x:c>
    </x:row>
    <x:row r="75">
      <x:c r="A75" s="13"/>
      <x:c r="B75" s="15"/>
      <x:c r="C75" s="7"/>
      <x:c r="D75" s="7"/>
      <x:c r="E75" s="7"/>
      <x:c r="F75" s="7"/>
      <x:c r="G75" s="16"/>
      <x:c r="H75" s="16"/>
      <x:c r="I75" s="9"/>
      <x:c r="J75" s="10"/>
      <x:c r="K75" s="7"/>
      <x:c r="L75" s="7"/>
      <x:c r="M75" s="7"/>
      <x:c r="N75" s="7"/>
      <x:c r="O75" s="9" t="str">
        <x:f>IF($A75="","",MAX(0,$G75*$H75*(1-$J75/100)))</x:f>
      </x:c>
    </x:row>
    <x:row r="76">
      <x:c r="A76" s="13"/>
      <x:c r="B76" s="15"/>
      <x:c r="C76" s="7"/>
      <x:c r="D76" s="7"/>
      <x:c r="E76" s="7"/>
      <x:c r="F76" s="7"/>
      <x:c r="G76" s="16"/>
      <x:c r="H76" s="16"/>
      <x:c r="I76" s="9"/>
      <x:c r="J76" s="10"/>
      <x:c r="K76" s="7"/>
      <x:c r="L76" s="7"/>
      <x:c r="M76" s="7"/>
      <x:c r="N76" s="7"/>
      <x:c r="O76" s="9" t="str">
        <x:f>IF($A76="","",MAX(0,$G76*$H76*(1-$J76/100)))</x:f>
      </x:c>
    </x:row>
    <x:row r="77">
      <x:c r="A77" s="13"/>
      <x:c r="B77" s="15"/>
      <x:c r="C77" s="7"/>
      <x:c r="D77" s="7"/>
      <x:c r="E77" s="7"/>
      <x:c r="F77" s="7"/>
      <x:c r="G77" s="16"/>
      <x:c r="H77" s="16"/>
      <x:c r="I77" s="9"/>
      <x:c r="J77" s="10"/>
      <x:c r="K77" s="7"/>
      <x:c r="L77" s="7"/>
      <x:c r="M77" s="7"/>
      <x:c r="N77" s="7"/>
      <x:c r="O77" s="9" t="str">
        <x:f>IF($A77="","",MAX(0,$G77*$H77*(1-$J77/100)))</x:f>
      </x:c>
    </x:row>
    <x:row r="78">
      <x:c r="A78" s="13"/>
      <x:c r="B78" s="15"/>
      <x:c r="C78" s="7"/>
      <x:c r="D78" s="7"/>
      <x:c r="E78" s="7"/>
      <x:c r="F78" s="7"/>
      <x:c r="G78" s="16"/>
      <x:c r="H78" s="16"/>
      <x:c r="I78" s="9"/>
      <x:c r="J78" s="10"/>
      <x:c r="K78" s="7"/>
      <x:c r="L78" s="7"/>
      <x:c r="M78" s="7"/>
      <x:c r="N78" s="7"/>
      <x:c r="O78" s="9" t="str">
        <x:f>IF($A78="","",MAX(0,$G78*$H78*(1-$J78/100)))</x:f>
      </x:c>
    </x:row>
    <x:row r="79">
      <x:c r="A79" s="13"/>
      <x:c r="B79" s="15"/>
      <x:c r="C79" s="7"/>
      <x:c r="D79" s="7"/>
      <x:c r="E79" s="7"/>
      <x:c r="F79" s="7"/>
      <x:c r="G79" s="16"/>
      <x:c r="H79" s="16"/>
      <x:c r="I79" s="9"/>
      <x:c r="J79" s="10"/>
      <x:c r="K79" s="7"/>
      <x:c r="L79" s="7"/>
      <x:c r="M79" s="7"/>
      <x:c r="N79" s="7"/>
      <x:c r="O79" s="9" t="str">
        <x:f>IF($A79="","",MAX(0,$G79*$H79*(1-$J79/100)))</x:f>
      </x:c>
    </x:row>
    <x:row r="80">
      <x:c r="A80" s="13"/>
      <x:c r="B80" s="15"/>
      <x:c r="C80" s="7"/>
      <x:c r="D80" s="7"/>
      <x:c r="E80" s="7"/>
      <x:c r="F80" s="7"/>
      <x:c r="G80" s="16"/>
      <x:c r="H80" s="16"/>
      <x:c r="I80" s="9"/>
      <x:c r="J80" s="10"/>
      <x:c r="K80" s="7"/>
      <x:c r="L80" s="7"/>
      <x:c r="M80" s="7"/>
      <x:c r="N80" s="7"/>
      <x:c r="O80" s="9" t="str">
        <x:f>IF($A80="","",MAX(0,$G80*$H80*(1-$J80/100)))</x:f>
      </x:c>
    </x:row>
    <x:row r="81">
      <x:c r="A81" s="13"/>
      <x:c r="B81" s="15"/>
      <x:c r="C81" s="7"/>
      <x:c r="D81" s="7"/>
      <x:c r="E81" s="7"/>
      <x:c r="F81" s="7"/>
      <x:c r="G81" s="16"/>
      <x:c r="H81" s="16"/>
      <x:c r="I81" s="9"/>
      <x:c r="J81" s="10"/>
      <x:c r="K81" s="7"/>
      <x:c r="L81" s="7"/>
      <x:c r="M81" s="7"/>
      <x:c r="N81" s="7"/>
      <x:c r="O81" s="9" t="str">
        <x:f>IF($A81="","",MAX(0,$G81*$H81*(1-$J81/100)))</x:f>
      </x:c>
    </x:row>
    <x:row r="82">
      <x:c r="A82" s="13"/>
      <x:c r="B82" s="15"/>
      <x:c r="C82" s="7"/>
      <x:c r="D82" s="7"/>
      <x:c r="E82" s="7"/>
      <x:c r="F82" s="7"/>
      <x:c r="G82" s="16"/>
      <x:c r="H82" s="16"/>
      <x:c r="I82" s="9"/>
      <x:c r="J82" s="10"/>
      <x:c r="K82" s="7"/>
      <x:c r="L82" s="7"/>
      <x:c r="M82" s="7"/>
      <x:c r="N82" s="7"/>
      <x:c r="O82" s="9" t="str">
        <x:f>IF($A82="","",MAX(0,$G82*$H82*(1-$J82/100)))</x:f>
      </x:c>
    </x:row>
    <x:row r="83">
      <x:c r="A83" s="13"/>
      <x:c r="B83" s="15"/>
      <x:c r="C83" s="7"/>
      <x:c r="D83" s="7"/>
      <x:c r="E83" s="7"/>
      <x:c r="F83" s="7"/>
      <x:c r="G83" s="16"/>
      <x:c r="H83" s="16"/>
      <x:c r="I83" s="9"/>
      <x:c r="J83" s="10"/>
      <x:c r="K83" s="7"/>
      <x:c r="L83" s="7"/>
      <x:c r="M83" s="7"/>
      <x:c r="N83" s="7"/>
      <x:c r="O83" s="9" t="str">
        <x:f>IF($A83="","",MAX(0,$G83*$H83*(1-$J83/100)))</x:f>
      </x:c>
    </x:row>
    <x:row r="84">
      <x:c r="A84" s="13"/>
      <x:c r="B84" s="15"/>
      <x:c r="C84" s="7"/>
      <x:c r="D84" s="7"/>
      <x:c r="E84" s="7"/>
      <x:c r="F84" s="7"/>
      <x:c r="G84" s="16"/>
      <x:c r="H84" s="16"/>
      <x:c r="I84" s="9"/>
      <x:c r="J84" s="10"/>
      <x:c r="K84" s="7"/>
      <x:c r="L84" s="7"/>
      <x:c r="M84" s="7"/>
      <x:c r="N84" s="7"/>
      <x:c r="O84" s="9" t="str">
        <x:f>IF($A84="","",MAX(0,$G84*$H84*(1-$J84/100)))</x:f>
      </x:c>
    </x:row>
    <x:row r="85">
      <x:c r="A85" s="13"/>
      <x:c r="B85" s="15"/>
      <x:c r="C85" s="7"/>
      <x:c r="D85" s="7"/>
      <x:c r="E85" s="7"/>
      <x:c r="F85" s="7"/>
      <x:c r="G85" s="16"/>
      <x:c r="H85" s="16"/>
      <x:c r="I85" s="9"/>
      <x:c r="J85" s="10"/>
      <x:c r="K85" s="7"/>
      <x:c r="L85" s="7"/>
      <x:c r="M85" s="7"/>
      <x:c r="N85" s="7"/>
      <x:c r="O85" s="9" t="str">
        <x:f>IF($A85="","",MAX(0,$G85*$H85*(1-$J85/100)))</x:f>
      </x:c>
    </x:row>
    <x:row r="86">
      <x:c r="A86" s="13"/>
      <x:c r="B86" s="15"/>
      <x:c r="C86" s="7"/>
      <x:c r="D86" s="7"/>
      <x:c r="E86" s="7"/>
      <x:c r="F86" s="7"/>
      <x:c r="G86" s="16"/>
      <x:c r="H86" s="16"/>
      <x:c r="I86" s="9"/>
      <x:c r="J86" s="10"/>
      <x:c r="K86" s="7"/>
      <x:c r="L86" s="7"/>
      <x:c r="M86" s="7"/>
      <x:c r="N86" s="7"/>
      <x:c r="O86" s="9" t="str">
        <x:f>IF($A86="","",MAX(0,$G86*$H86*(1-$J86/100)))</x:f>
      </x:c>
    </x:row>
    <x:row r="87">
      <x:c r="A87" s="13"/>
      <x:c r="B87" s="15"/>
      <x:c r="C87" s="7"/>
      <x:c r="D87" s="7"/>
      <x:c r="E87" s="7"/>
      <x:c r="F87" s="7"/>
      <x:c r="G87" s="16"/>
      <x:c r="H87" s="16"/>
      <x:c r="I87" s="9"/>
      <x:c r="J87" s="10"/>
      <x:c r="K87" s="7"/>
      <x:c r="L87" s="7"/>
      <x:c r="M87" s="7"/>
      <x:c r="N87" s="7"/>
      <x:c r="O87" s="9" t="str">
        <x:f>IF($A87="","",MAX(0,$G87*$H87*(1-$J87/100)))</x:f>
      </x:c>
    </x:row>
    <x:row r="88">
      <x:c r="A88" s="13"/>
      <x:c r="B88" s="15"/>
      <x:c r="C88" s="7"/>
      <x:c r="D88" s="7"/>
      <x:c r="E88" s="7"/>
      <x:c r="F88" s="7"/>
      <x:c r="G88" s="16"/>
      <x:c r="H88" s="16"/>
      <x:c r="I88" s="9"/>
      <x:c r="J88" s="10"/>
      <x:c r="K88" s="7"/>
      <x:c r="L88" s="7"/>
      <x:c r="M88" s="7"/>
      <x:c r="N88" s="7"/>
      <x:c r="O88" s="9" t="str">
        <x:f>IF($A88="","",MAX(0,$G88*$H88*(1-$J88/100)))</x:f>
      </x:c>
    </x:row>
    <x:row r="89">
      <x:c r="A89" s="13"/>
      <x:c r="B89" s="15"/>
      <x:c r="C89" s="7"/>
      <x:c r="D89" s="7"/>
      <x:c r="E89" s="7"/>
      <x:c r="F89" s="7"/>
      <x:c r="G89" s="16"/>
      <x:c r="H89" s="16"/>
      <x:c r="I89" s="9"/>
      <x:c r="J89" s="10"/>
      <x:c r="K89" s="7"/>
      <x:c r="L89" s="7"/>
      <x:c r="M89" s="7"/>
      <x:c r="N89" s="7"/>
      <x:c r="O89" s="9" t="str">
        <x:f>IF($A89="","",MAX(0,$G89*$H89*(1-$J89/100)))</x:f>
      </x:c>
    </x:row>
    <x:row r="90">
      <x:c r="A90" s="13"/>
      <x:c r="B90" s="15"/>
      <x:c r="C90" s="7"/>
      <x:c r="D90" s="7"/>
      <x:c r="E90" s="7"/>
      <x:c r="F90" s="7"/>
      <x:c r="G90" s="16"/>
      <x:c r="H90" s="16"/>
      <x:c r="I90" s="9"/>
      <x:c r="J90" s="10"/>
      <x:c r="K90" s="7"/>
      <x:c r="L90" s="7"/>
      <x:c r="M90" s="7"/>
      <x:c r="N90" s="7"/>
      <x:c r="O90" s="9" t="str">
        <x:f>IF($A90="","",MAX(0,$G90*$H90*(1-$J90/100)))</x:f>
      </x:c>
    </x:row>
    <x:row r="91">
      <x:c r="A91" s="13"/>
      <x:c r="B91" s="15"/>
      <x:c r="C91" s="7"/>
      <x:c r="D91" s="7"/>
      <x:c r="E91" s="7"/>
      <x:c r="F91" s="7"/>
      <x:c r="G91" s="16"/>
      <x:c r="H91" s="16"/>
      <x:c r="I91" s="9"/>
      <x:c r="J91" s="10"/>
      <x:c r="K91" s="7"/>
      <x:c r="L91" s="7"/>
      <x:c r="M91" s="7"/>
      <x:c r="N91" s="7"/>
      <x:c r="O91" s="9" t="str">
        <x:f>IF($A91="","",MAX(0,$G91*$H91*(1-$J91/100)))</x:f>
      </x:c>
    </x:row>
    <x:row r="92">
      <x:c r="A92" s="13"/>
      <x:c r="B92" s="15"/>
      <x:c r="C92" s="7"/>
      <x:c r="D92" s="7"/>
      <x:c r="E92" s="7"/>
      <x:c r="F92" s="7"/>
      <x:c r="G92" s="16"/>
      <x:c r="H92" s="16"/>
      <x:c r="I92" s="9"/>
      <x:c r="J92" s="10"/>
      <x:c r="K92" s="7"/>
      <x:c r="L92" s="7"/>
      <x:c r="M92" s="7"/>
      <x:c r="N92" s="7"/>
      <x:c r="O92" s="9" t="str">
        <x:f>IF($A92="","",MAX(0,$G92*$H92*(1-$J92/100)))</x:f>
      </x:c>
    </x:row>
    <x:row r="93">
      <x:c r="A93" s="13"/>
      <x:c r="B93" s="15"/>
      <x:c r="C93" s="7"/>
      <x:c r="D93" s="7"/>
      <x:c r="E93" s="7"/>
      <x:c r="F93" s="7"/>
      <x:c r="G93" s="16"/>
      <x:c r="H93" s="16"/>
      <x:c r="I93" s="9"/>
      <x:c r="J93" s="10"/>
      <x:c r="K93" s="7"/>
      <x:c r="L93" s="7"/>
      <x:c r="M93" s="7"/>
      <x:c r="N93" s="7"/>
      <x:c r="O93" s="9" t="str">
        <x:f>IF($A93="","",MAX(0,$G93*$H93*(1-$J93/100)))</x:f>
      </x:c>
    </x:row>
    <x:row r="94">
      <x:c r="A94" s="13"/>
      <x:c r="B94" s="15"/>
      <x:c r="C94" s="7"/>
      <x:c r="D94" s="7"/>
      <x:c r="E94" s="7"/>
      <x:c r="F94" s="7"/>
      <x:c r="G94" s="16"/>
      <x:c r="H94" s="16"/>
      <x:c r="I94" s="9"/>
      <x:c r="J94" s="10"/>
      <x:c r="K94" s="7"/>
      <x:c r="L94" s="7"/>
      <x:c r="M94" s="7"/>
      <x:c r="N94" s="7"/>
      <x:c r="O94" s="9" t="str">
        <x:f>IF($A94="","",MAX(0,$G94*$H94*(1-$J94/100)))</x:f>
      </x:c>
    </x:row>
    <x:row r="95">
      <x:c r="A95" s="13"/>
      <x:c r="B95" s="15"/>
      <x:c r="C95" s="7"/>
      <x:c r="D95" s="7"/>
      <x:c r="E95" s="7"/>
      <x:c r="F95" s="7"/>
      <x:c r="G95" s="16"/>
      <x:c r="H95" s="16"/>
      <x:c r="I95" s="9"/>
      <x:c r="J95" s="10"/>
      <x:c r="K95" s="7"/>
      <x:c r="L95" s="7"/>
      <x:c r="M95" s="7"/>
      <x:c r="N95" s="7"/>
      <x:c r="O95" s="9" t="str">
        <x:f>IF($A95="","",MAX(0,$G95*$H95*(1-$J95/100)))</x:f>
      </x:c>
    </x:row>
    <x:row r="96">
      <x:c r="A96" s="13"/>
      <x:c r="B96" s="15"/>
      <x:c r="C96" s="7"/>
      <x:c r="D96" s="7"/>
      <x:c r="E96" s="7"/>
      <x:c r="F96" s="7"/>
      <x:c r="G96" s="16"/>
      <x:c r="H96" s="16"/>
      <x:c r="I96" s="9"/>
      <x:c r="J96" s="10"/>
      <x:c r="K96" s="7"/>
      <x:c r="L96" s="7"/>
      <x:c r="M96" s="7"/>
      <x:c r="N96" s="7"/>
      <x:c r="O96" s="9" t="str">
        <x:f>IF($A96="","",MAX(0,$G96*$H96*(1-$J96/100)))</x:f>
      </x:c>
    </x:row>
    <x:row r="97">
      <x:c r="A97" s="13"/>
      <x:c r="B97" s="15"/>
      <x:c r="C97" s="7"/>
      <x:c r="D97" s="7"/>
      <x:c r="E97" s="7"/>
      <x:c r="F97" s="7"/>
      <x:c r="G97" s="16"/>
      <x:c r="H97" s="16"/>
      <x:c r="I97" s="9"/>
      <x:c r="J97" s="10"/>
      <x:c r="K97" s="7"/>
      <x:c r="L97" s="7"/>
      <x:c r="M97" s="7"/>
      <x:c r="N97" s="7"/>
      <x:c r="O97" s="9" t="str">
        <x:f>IF($A97="","",MAX(0,$G97*$H97*(1-$J97/100)))</x:f>
      </x:c>
    </x:row>
    <x:row r="98">
      <x:c r="A98" s="13"/>
      <x:c r="B98" s="15"/>
      <x:c r="C98" s="7"/>
      <x:c r="D98" s="7"/>
      <x:c r="E98" s="7"/>
      <x:c r="F98" s="7"/>
      <x:c r="G98" s="16"/>
      <x:c r="H98" s="16"/>
      <x:c r="I98" s="9"/>
      <x:c r="J98" s="10"/>
      <x:c r="K98" s="7"/>
      <x:c r="L98" s="7"/>
      <x:c r="M98" s="7"/>
      <x:c r="N98" s="7"/>
      <x:c r="O98" s="9" t="str">
        <x:f>IF($A98="","",MAX(0,$G98*$H98*(1-$J98/100)))</x:f>
      </x:c>
    </x:row>
    <x:row r="99">
      <x:c r="A99" s="13"/>
      <x:c r="B99" s="15"/>
      <x:c r="C99" s="7"/>
      <x:c r="D99" s="7"/>
      <x:c r="E99" s="7"/>
      <x:c r="F99" s="7"/>
      <x:c r="G99" s="16"/>
      <x:c r="H99" s="16"/>
      <x:c r="I99" s="9"/>
      <x:c r="J99" s="10"/>
      <x:c r="K99" s="7"/>
      <x:c r="L99" s="7"/>
      <x:c r="M99" s="7"/>
      <x:c r="N99" s="7"/>
      <x:c r="O99" s="9" t="str">
        <x:f>IF($A99="","",MAX(0,$G99*$H99*(1-$J99/100)))</x:f>
      </x:c>
    </x:row>
    <x:row r="100">
      <x:c r="A100" s="13"/>
      <x:c r="B100" s="15"/>
      <x:c r="C100" s="7"/>
      <x:c r="D100" s="7"/>
      <x:c r="E100" s="7"/>
      <x:c r="F100" s="7"/>
      <x:c r="G100" s="16"/>
      <x:c r="H100" s="16"/>
      <x:c r="I100" s="9"/>
      <x:c r="J100" s="10"/>
      <x:c r="K100" s="7"/>
      <x:c r="L100" s="7"/>
      <x:c r="M100" s="7"/>
      <x:c r="N100" s="7"/>
      <x:c r="O100" s="9" t="str">
        <x:f>IF($A100="","",MAX(0,$G100*$H100*(1-$J100/100)))</x:f>
      </x:c>
    </x:row>
    <x:row r="101">
      <x:c r="A101" s="13"/>
      <x:c r="B101" s="15"/>
      <x:c r="C101" s="7"/>
      <x:c r="D101" s="7"/>
      <x:c r="E101" s="7"/>
      <x:c r="F101" s="7"/>
      <x:c r="G101" s="16"/>
      <x:c r="H101" s="16"/>
      <x:c r="I101" s="9"/>
      <x:c r="J101" s="10"/>
      <x:c r="K101" s="7"/>
      <x:c r="L101" s="7"/>
      <x:c r="M101" s="7"/>
      <x:c r="N101" s="7"/>
      <x:c r="O101" s="9" t="str">
        <x:f>IF($A101="","",MAX(0,$G101*$H101*(1-$J101/100)))</x:f>
      </x:c>
    </x:row>
    <x:row r="102">
      <x:c r="A102" s="13"/>
      <x:c r="B102" s="15"/>
      <x:c r="C102" s="7"/>
      <x:c r="D102" s="7"/>
      <x:c r="E102" s="7"/>
      <x:c r="F102" s="7"/>
      <x:c r="G102" s="16"/>
      <x:c r="H102" s="16"/>
      <x:c r="I102" s="9"/>
      <x:c r="J102" s="10"/>
      <x:c r="K102" s="7"/>
      <x:c r="L102" s="7"/>
      <x:c r="M102" s="7"/>
      <x:c r="N102" s="7"/>
      <x:c r="O102" s="9" t="str">
        <x:f>IF($A102="","",MAX(0,$G102*$H102*(1-$J102/100)))</x:f>
      </x:c>
    </x:row>
    <x:row r="103">
      <x:c r="A103" s="13"/>
      <x:c r="B103" s="15"/>
      <x:c r="C103" s="7"/>
      <x:c r="D103" s="7"/>
      <x:c r="E103" s="7"/>
      <x:c r="F103" s="7"/>
      <x:c r="G103" s="16"/>
      <x:c r="H103" s="16"/>
      <x:c r="I103" s="9"/>
      <x:c r="J103" s="10"/>
      <x:c r="K103" s="7"/>
      <x:c r="L103" s="7"/>
      <x:c r="M103" s="7"/>
      <x:c r="N103" s="7"/>
      <x:c r="O103" s="9" t="str">
        <x:f>IF($A103="","",MAX(0,$G103*$H103*(1-$J103/100)))</x:f>
      </x:c>
    </x:row>
    <x:row r="104">
      <x:c r="A104" s="13"/>
      <x:c r="B104" s="15"/>
      <x:c r="C104" s="7"/>
      <x:c r="D104" s="7"/>
      <x:c r="E104" s="7"/>
      <x:c r="F104" s="7"/>
      <x:c r="G104" s="16"/>
      <x:c r="H104" s="16"/>
      <x:c r="I104" s="9"/>
      <x:c r="J104" s="10"/>
      <x:c r="K104" s="7"/>
      <x:c r="L104" s="7"/>
      <x:c r="M104" s="7"/>
      <x:c r="N104" s="7"/>
      <x:c r="O104" s="9" t="str">
        <x:f>IF($A104="","",MAX(0,$G104*$H104*(1-$J104/100)))</x:f>
      </x:c>
    </x:row>
    <x:row r="105">
      <x:c r="A105" s="13"/>
      <x:c r="B105" s="15"/>
      <x:c r="C105" s="7"/>
      <x:c r="D105" s="7"/>
      <x:c r="E105" s="7"/>
      <x:c r="F105" s="7"/>
      <x:c r="G105" s="16"/>
      <x:c r="H105" s="16"/>
      <x:c r="I105" s="9"/>
      <x:c r="J105" s="10"/>
      <x:c r="K105" s="7"/>
      <x:c r="L105" s="7"/>
      <x:c r="M105" s="7"/>
      <x:c r="N105" s="7"/>
      <x:c r="O105" s="9" t="str">
        <x:f>IF($A105="","",MAX(0,$G105*$H105*(1-$J105/100)))</x:f>
      </x:c>
    </x:row>
    <x:row r="106">
      <x:c r="A106" s="13"/>
      <x:c r="B106" s="15"/>
      <x:c r="C106" s="7"/>
      <x:c r="D106" s="7"/>
      <x:c r="E106" s="7"/>
      <x:c r="F106" s="7"/>
      <x:c r="G106" s="16"/>
      <x:c r="H106" s="16"/>
      <x:c r="I106" s="9"/>
      <x:c r="J106" s="10"/>
      <x:c r="K106" s="7"/>
      <x:c r="L106" s="7"/>
      <x:c r="M106" s="7"/>
      <x:c r="N106" s="7"/>
      <x:c r="O106" s="9" t="str">
        <x:f>IF($A106="","",MAX(0,$G106*$H106*(1-$J106/100)))</x:f>
      </x:c>
    </x:row>
    <x:row r="107">
      <x:c r="A107" s="13"/>
      <x:c r="B107" s="15"/>
      <x:c r="C107" s="7"/>
      <x:c r="D107" s="7"/>
      <x:c r="E107" s="7"/>
      <x:c r="F107" s="7"/>
      <x:c r="G107" s="16"/>
      <x:c r="H107" s="16"/>
      <x:c r="I107" s="9"/>
      <x:c r="J107" s="10"/>
      <x:c r="K107" s="7"/>
      <x:c r="L107" s="7"/>
      <x:c r="M107" s="7"/>
      <x:c r="N107" s="7"/>
      <x:c r="O107" s="9" t="str">
        <x:f>IF($A107="","",MAX(0,$G107*$H107*(1-$J107/100)))</x:f>
      </x:c>
    </x:row>
    <x:row r="108">
      <x:c r="A108" s="13"/>
      <x:c r="B108" s="15"/>
      <x:c r="C108" s="7"/>
      <x:c r="D108" s="7"/>
      <x:c r="E108" s="7"/>
      <x:c r="F108" s="7"/>
      <x:c r="G108" s="16"/>
      <x:c r="H108" s="16"/>
      <x:c r="I108" s="9"/>
      <x:c r="J108" s="10"/>
      <x:c r="K108" s="7"/>
      <x:c r="L108" s="7"/>
      <x:c r="M108" s="7"/>
      <x:c r="N108" s="7"/>
      <x:c r="O108" s="9" t="str">
        <x:f>IF($A108="","",MAX(0,$G108*$H108*(1-$J108/100)))</x:f>
      </x:c>
    </x:row>
    <x:row r="109">
      <x:c r="A109" s="13"/>
      <x:c r="B109" s="15"/>
      <x:c r="C109" s="7"/>
      <x:c r="D109" s="7"/>
      <x:c r="E109" s="7"/>
      <x:c r="F109" s="7"/>
      <x:c r="G109" s="16"/>
      <x:c r="H109" s="16"/>
      <x:c r="I109" s="9"/>
      <x:c r="J109" s="10"/>
      <x:c r="K109" s="7"/>
      <x:c r="L109" s="7"/>
      <x:c r="M109" s="7"/>
      <x:c r="N109" s="7"/>
      <x:c r="O109" s="9" t="str">
        <x:f>IF($A109="","",MAX(0,$G109*$H109*(1-$J109/100)))</x:f>
      </x:c>
    </x:row>
    <x:row r="110">
      <x:c r="A110" s="13"/>
      <x:c r="B110" s="15"/>
      <x:c r="C110" s="7"/>
      <x:c r="D110" s="7"/>
      <x:c r="E110" s="7"/>
      <x:c r="F110" s="7"/>
      <x:c r="G110" s="16"/>
      <x:c r="H110" s="16"/>
      <x:c r="I110" s="9"/>
      <x:c r="J110" s="10"/>
      <x:c r="K110" s="7"/>
      <x:c r="L110" s="7"/>
      <x:c r="M110" s="7"/>
      <x:c r="N110" s="7"/>
      <x:c r="O110" s="9" t="str">
        <x:f>IF($A110="","",MAX(0,$G110*$H110*(1-$J110/100)))</x:f>
      </x:c>
    </x:row>
    <x:row r="111">
      <x:c r="A111" s="13"/>
      <x:c r="B111" s="15"/>
      <x:c r="C111" s="7"/>
      <x:c r="D111" s="7"/>
      <x:c r="E111" s="7"/>
      <x:c r="F111" s="7"/>
      <x:c r="G111" s="16"/>
      <x:c r="H111" s="16"/>
      <x:c r="I111" s="9"/>
      <x:c r="J111" s="10"/>
      <x:c r="K111" s="7"/>
      <x:c r="L111" s="7"/>
      <x:c r="M111" s="7"/>
      <x:c r="N111" s="7"/>
      <x:c r="O111" s="9" t="str">
        <x:f>IF($A111="","",MAX(0,$G111*$H111*(1-$J111/100)))</x:f>
      </x:c>
    </x:row>
    <x:row r="112">
      <x:c r="A112" s="13"/>
      <x:c r="B112" s="15"/>
      <x:c r="C112" s="7"/>
      <x:c r="D112" s="7"/>
      <x:c r="E112" s="7"/>
      <x:c r="F112" s="7"/>
      <x:c r="G112" s="16"/>
      <x:c r="H112" s="16"/>
      <x:c r="I112" s="9"/>
      <x:c r="J112" s="10"/>
      <x:c r="K112" s="7"/>
      <x:c r="L112" s="7"/>
      <x:c r="M112" s="7"/>
      <x:c r="N112" s="7"/>
      <x:c r="O112" s="9" t="str">
        <x:f>IF($A112="","",MAX(0,$G112*$H112*(1-$J112/100)))</x:f>
      </x:c>
    </x:row>
    <x:row r="113">
      <x:c r="A113" s="13"/>
      <x:c r="B113" s="15"/>
      <x:c r="C113" s="7"/>
      <x:c r="D113" s="7"/>
      <x:c r="E113" s="7"/>
      <x:c r="F113" s="7"/>
      <x:c r="G113" s="16"/>
      <x:c r="H113" s="16"/>
      <x:c r="I113" s="9"/>
      <x:c r="J113" s="10"/>
      <x:c r="K113" s="7"/>
      <x:c r="L113" s="7"/>
      <x:c r="M113" s="7"/>
      <x:c r="N113" s="7"/>
      <x:c r="O113" s="9" t="str">
        <x:f>IF($A113="","",MAX(0,$G113*$H113*(1-$J113/100)))</x:f>
      </x:c>
    </x:row>
    <x:row r="114">
      <x:c r="A114" s="13"/>
      <x:c r="B114" s="15"/>
      <x:c r="C114" s="7"/>
      <x:c r="D114" s="7"/>
      <x:c r="E114" s="7"/>
      <x:c r="F114" s="7"/>
      <x:c r="G114" s="16"/>
      <x:c r="H114" s="16"/>
      <x:c r="I114" s="9"/>
      <x:c r="J114" s="10"/>
      <x:c r="K114" s="7"/>
      <x:c r="L114" s="7"/>
      <x:c r="M114" s="7"/>
      <x:c r="N114" s="7"/>
      <x:c r="O114" s="9" t="str">
        <x:f>IF($A114="","",MAX(0,$G114*$H114*(1-$J114/100)))</x:f>
      </x:c>
    </x:row>
    <x:row r="115">
      <x:c r="A115" s="13"/>
      <x:c r="B115" s="15"/>
      <x:c r="C115" s="7"/>
      <x:c r="D115" s="7"/>
      <x:c r="E115" s="7"/>
      <x:c r="F115" s="7"/>
      <x:c r="G115" s="16"/>
      <x:c r="H115" s="16"/>
      <x:c r="I115" s="9"/>
      <x:c r="J115" s="10"/>
      <x:c r="K115" s="7"/>
      <x:c r="L115" s="7"/>
      <x:c r="M115" s="7"/>
      <x:c r="N115" s="7"/>
      <x:c r="O115" s="9" t="str">
        <x:f>IF($A115="","",MAX(0,$G115*$H115*(1-$J115/100)))</x:f>
      </x:c>
    </x:row>
    <x:row r="116">
      <x:c r="A116" s="13"/>
      <x:c r="B116" s="15"/>
      <x:c r="C116" s="7"/>
      <x:c r="D116" s="7"/>
      <x:c r="E116" s="7"/>
      <x:c r="F116" s="7"/>
      <x:c r="G116" s="16"/>
      <x:c r="H116" s="16"/>
      <x:c r="I116" s="9"/>
      <x:c r="J116" s="10"/>
      <x:c r="K116" s="7"/>
      <x:c r="L116" s="7"/>
      <x:c r="M116" s="7"/>
      <x:c r="N116" s="7"/>
      <x:c r="O116" s="9" t="str">
        <x:f>IF($A116="","",MAX(0,$G116*$H116*(1-$J116/100)))</x:f>
      </x:c>
    </x:row>
    <x:row r="117">
      <x:c r="A117" s="13"/>
      <x:c r="B117" s="15"/>
      <x:c r="C117" s="7"/>
      <x:c r="D117" s="7"/>
      <x:c r="E117" s="7"/>
      <x:c r="F117" s="7"/>
      <x:c r="G117" s="16"/>
      <x:c r="H117" s="16"/>
      <x:c r="I117" s="9"/>
      <x:c r="J117" s="10"/>
      <x:c r="K117" s="7"/>
      <x:c r="L117" s="7"/>
      <x:c r="M117" s="7"/>
      <x:c r="N117" s="7"/>
      <x:c r="O117" s="9" t="str">
        <x:f>IF($A117="","",MAX(0,$G117*$H117*(1-$J117/100)))</x:f>
      </x:c>
    </x:row>
    <x:row r="118">
      <x:c r="A118" s="13"/>
      <x:c r="B118" s="15"/>
      <x:c r="C118" s="7"/>
      <x:c r="D118" s="7"/>
      <x:c r="E118" s="7"/>
      <x:c r="F118" s="7"/>
      <x:c r="G118" s="16"/>
      <x:c r="H118" s="16"/>
      <x:c r="I118" s="9"/>
      <x:c r="J118" s="10"/>
      <x:c r="K118" s="7"/>
      <x:c r="L118" s="7"/>
      <x:c r="M118" s="7"/>
      <x:c r="N118" s="7"/>
      <x:c r="O118" s="9" t="str">
        <x:f>IF($A118="","",MAX(0,$G118*$H118*(1-$J118/100)))</x:f>
      </x:c>
    </x:row>
    <x:row r="119">
      <x:c r="A119" s="13"/>
      <x:c r="B119" s="15"/>
      <x:c r="C119" s="7"/>
      <x:c r="D119" s="7"/>
      <x:c r="E119" s="7"/>
      <x:c r="F119" s="7"/>
      <x:c r="G119" s="16"/>
      <x:c r="H119" s="16"/>
      <x:c r="I119" s="9"/>
      <x:c r="J119" s="10"/>
      <x:c r="K119" s="7"/>
      <x:c r="L119" s="7"/>
      <x:c r="M119" s="7"/>
      <x:c r="N119" s="7"/>
      <x:c r="O119" s="9" t="str">
        <x:f>IF($A119="","",MAX(0,$G119*$H119*(1-$J119/100)))</x:f>
      </x:c>
    </x:row>
    <x:row r="120">
      <x:c r="A120" s="13"/>
      <x:c r="B120" s="15"/>
      <x:c r="C120" s="7"/>
      <x:c r="D120" s="7"/>
      <x:c r="E120" s="7"/>
      <x:c r="F120" s="7"/>
      <x:c r="G120" s="16"/>
      <x:c r="H120" s="16"/>
      <x:c r="I120" s="9"/>
      <x:c r="J120" s="10"/>
      <x:c r="K120" s="7"/>
      <x:c r="L120" s="7"/>
      <x:c r="M120" s="7"/>
      <x:c r="N120" s="7"/>
      <x:c r="O120" s="9" t="str">
        <x:f>IF($A120="","",MAX(0,$G120*$H120*(1-$J120/100)))</x:f>
      </x:c>
    </x:row>
    <x:row r="121">
      <x:c r="A121" s="13"/>
      <x:c r="B121" s="15"/>
      <x:c r="C121" s="7"/>
      <x:c r="D121" s="7"/>
      <x:c r="E121" s="7"/>
      <x:c r="F121" s="7"/>
      <x:c r="G121" s="16"/>
      <x:c r="H121" s="16"/>
      <x:c r="I121" s="9"/>
      <x:c r="J121" s="10"/>
      <x:c r="K121" s="7"/>
      <x:c r="L121" s="7"/>
      <x:c r="M121" s="7"/>
      <x:c r="N121" s="7"/>
      <x:c r="O121" s="9" t="str">
        <x:f>IF($A121="","",MAX(0,$G121*$H121*(1-$J121/100)))</x:f>
      </x:c>
    </x:row>
    <x:row r="122">
      <x:c r="A122" s="13"/>
      <x:c r="B122" s="15"/>
      <x:c r="C122" s="7"/>
      <x:c r="D122" s="7"/>
      <x:c r="E122" s="7"/>
      <x:c r="F122" s="7"/>
      <x:c r="G122" s="16"/>
      <x:c r="H122" s="16"/>
      <x:c r="I122" s="9"/>
      <x:c r="J122" s="10"/>
      <x:c r="K122" s="7"/>
      <x:c r="L122" s="7"/>
      <x:c r="M122" s="7"/>
      <x:c r="N122" s="7"/>
      <x:c r="O122" s="9" t="str">
        <x:f>IF($A122="","",MAX(0,$G122*$H122*(1-$J122/100)))</x:f>
      </x:c>
    </x:row>
    <x:row r="123">
      <x:c r="A123" s="13"/>
      <x:c r="B123" s="15"/>
      <x:c r="C123" s="7"/>
      <x:c r="D123" s="7"/>
      <x:c r="E123" s="7"/>
      <x:c r="F123" s="7"/>
      <x:c r="G123" s="16"/>
      <x:c r="H123" s="16"/>
      <x:c r="I123" s="9"/>
      <x:c r="J123" s="10"/>
      <x:c r="K123" s="7"/>
      <x:c r="L123" s="7"/>
      <x:c r="M123" s="7"/>
      <x:c r="N123" s="7"/>
      <x:c r="O123" s="9" t="str">
        <x:f>IF($A123="","",MAX(0,$G123*$H123*(1-$J123/100)))</x:f>
      </x:c>
    </x:row>
    <x:row r="124">
      <x:c r="A124" s="13"/>
      <x:c r="B124" s="15"/>
      <x:c r="C124" s="7"/>
      <x:c r="D124" s="7"/>
      <x:c r="E124" s="7"/>
      <x:c r="F124" s="7"/>
      <x:c r="G124" s="16"/>
      <x:c r="H124" s="16"/>
      <x:c r="I124" s="9"/>
      <x:c r="J124" s="10"/>
      <x:c r="K124" s="7"/>
      <x:c r="L124" s="7"/>
      <x:c r="M124" s="7"/>
      <x:c r="N124" s="7"/>
      <x:c r="O124" s="9" t="str">
        <x:f>IF($A124="","",MAX(0,$G124*$H124*(1-$J124/100)))</x:f>
      </x:c>
    </x:row>
    <x:row r="125">
      <x:c r="A125" s="13"/>
      <x:c r="B125" s="15"/>
      <x:c r="C125" s="7"/>
      <x:c r="D125" s="7"/>
      <x:c r="E125" s="7"/>
      <x:c r="F125" s="7"/>
      <x:c r="G125" s="16"/>
      <x:c r="H125" s="16"/>
      <x:c r="I125" s="9"/>
      <x:c r="J125" s="10"/>
      <x:c r="K125" s="7"/>
      <x:c r="L125" s="7"/>
      <x:c r="M125" s="7"/>
      <x:c r="N125" s="7"/>
      <x:c r="O125" s="9" t="str">
        <x:f>IF($A125="","",MAX(0,$G125*$H125*(1-$J125/100)))</x:f>
      </x:c>
    </x:row>
    <x:row r="126">
      <x:c r="A126" s="13"/>
      <x:c r="B126" s="15"/>
      <x:c r="C126" s="7"/>
      <x:c r="D126" s="7"/>
      <x:c r="E126" s="7"/>
      <x:c r="F126" s="7"/>
      <x:c r="G126" s="16"/>
      <x:c r="H126" s="16"/>
      <x:c r="I126" s="9"/>
      <x:c r="J126" s="10"/>
      <x:c r="K126" s="7"/>
      <x:c r="L126" s="7"/>
      <x:c r="M126" s="7"/>
      <x:c r="N126" s="7"/>
      <x:c r="O126" s="9" t="str">
        <x:f>IF($A126="","",MAX(0,$G126*$H126*(1-$J126/100)))</x:f>
      </x:c>
    </x:row>
    <x:row r="127">
      <x:c r="A127" s="13"/>
      <x:c r="B127" s="15"/>
      <x:c r="C127" s="7"/>
      <x:c r="D127" s="7"/>
      <x:c r="E127" s="7"/>
      <x:c r="F127" s="7"/>
      <x:c r="G127" s="16"/>
      <x:c r="H127" s="16"/>
      <x:c r="I127" s="9"/>
      <x:c r="J127" s="10"/>
      <x:c r="K127" s="7"/>
      <x:c r="L127" s="7"/>
      <x:c r="M127" s="7"/>
      <x:c r="N127" s="7"/>
      <x:c r="O127" s="9" t="str">
        <x:f>IF($A127="","",MAX(0,$G127*$H127*(1-$J127/100)))</x:f>
      </x:c>
    </x:row>
    <x:row r="128">
      <x:c r="A128" s="13"/>
      <x:c r="B128" s="15"/>
      <x:c r="C128" s="7"/>
      <x:c r="D128" s="7"/>
      <x:c r="E128" s="7"/>
      <x:c r="F128" s="7"/>
      <x:c r="G128" s="16"/>
      <x:c r="H128" s="16"/>
      <x:c r="I128" s="9"/>
      <x:c r="J128" s="10"/>
      <x:c r="K128" s="7"/>
      <x:c r="L128" s="7"/>
      <x:c r="M128" s="7"/>
      <x:c r="N128" s="7"/>
      <x:c r="O128" s="9" t="str">
        <x:f>IF($A128="","",MAX(0,$G128*$H128*(1-$J128/100)))</x:f>
      </x:c>
    </x:row>
    <x:row r="129">
      <x:c r="A129" s="13"/>
      <x:c r="B129" s="15"/>
      <x:c r="C129" s="7"/>
      <x:c r="D129" s="7"/>
      <x:c r="E129" s="7"/>
      <x:c r="F129" s="7"/>
      <x:c r="G129" s="16"/>
      <x:c r="H129" s="16"/>
      <x:c r="I129" s="9"/>
      <x:c r="J129" s="10"/>
      <x:c r="K129" s="7"/>
      <x:c r="L129" s="7"/>
      <x:c r="M129" s="7"/>
      <x:c r="N129" s="7"/>
      <x:c r="O129" s="9" t="str">
        <x:f>IF($A129="","",MAX(0,$G129*$H129*(1-$J129/100)))</x:f>
      </x:c>
    </x:row>
    <x:row r="130">
      <x:c r="A130" s="13"/>
      <x:c r="B130" s="15"/>
      <x:c r="C130" s="7"/>
      <x:c r="D130" s="7"/>
      <x:c r="E130" s="7"/>
      <x:c r="F130" s="7"/>
      <x:c r="G130" s="16"/>
      <x:c r="H130" s="16"/>
      <x:c r="I130" s="9"/>
      <x:c r="J130" s="10"/>
      <x:c r="K130" s="7"/>
      <x:c r="L130" s="7"/>
      <x:c r="M130" s="7"/>
      <x:c r="N130" s="7"/>
      <x:c r="O130" s="9" t="str">
        <x:f>IF($A130="","",MAX(0,$G130*$H130*(1-$J130/100)))</x:f>
      </x:c>
    </x:row>
    <x:row r="131">
      <x:c r="A131" s="13"/>
      <x:c r="B131" s="15"/>
      <x:c r="C131" s="7"/>
      <x:c r="D131" s="7"/>
      <x:c r="E131" s="7"/>
      <x:c r="F131" s="7"/>
      <x:c r="G131" s="16"/>
      <x:c r="H131" s="16"/>
      <x:c r="I131" s="9"/>
      <x:c r="J131" s="10"/>
      <x:c r="K131" s="7"/>
      <x:c r="L131" s="7"/>
      <x:c r="M131" s="7"/>
      <x:c r="N131" s="7"/>
      <x:c r="O131" s="9" t="str">
        <x:f>IF($A131="","",MAX(0,$G131*$H131*(1-$J131/100)))</x:f>
      </x:c>
    </x:row>
    <x:row r="132">
      <x:c r="A132" s="13"/>
      <x:c r="B132" s="15"/>
      <x:c r="C132" s="7"/>
      <x:c r="D132" s="7"/>
      <x:c r="E132" s="7"/>
      <x:c r="F132" s="7"/>
      <x:c r="G132" s="16"/>
      <x:c r="H132" s="16"/>
      <x:c r="I132" s="9"/>
      <x:c r="J132" s="10"/>
      <x:c r="K132" s="7"/>
      <x:c r="L132" s="7"/>
      <x:c r="M132" s="7"/>
      <x:c r="N132" s="7"/>
      <x:c r="O132" s="9" t="str">
        <x:f>IF($A132="","",MAX(0,$G132*$H132*(1-$J132/100)))</x:f>
      </x:c>
    </x:row>
    <x:row r="133">
      <x:c r="A133" s="13"/>
      <x:c r="B133" s="15"/>
      <x:c r="C133" s="7"/>
      <x:c r="D133" s="7"/>
      <x:c r="E133" s="7"/>
      <x:c r="F133" s="7"/>
      <x:c r="G133" s="16"/>
      <x:c r="H133" s="16"/>
      <x:c r="I133" s="9"/>
      <x:c r="J133" s="10"/>
      <x:c r="K133" s="7"/>
      <x:c r="L133" s="7"/>
      <x:c r="M133" s="7"/>
      <x:c r="N133" s="7"/>
      <x:c r="O133" s="9" t="str">
        <x:f>IF($A133="","",MAX(0,$G133*$H133*(1-$J133/100)))</x:f>
      </x:c>
    </x:row>
    <x:row r="134">
      <x:c r="A134" s="13"/>
      <x:c r="B134" s="15"/>
      <x:c r="C134" s="7"/>
      <x:c r="D134" s="7"/>
      <x:c r="E134" s="7"/>
      <x:c r="F134" s="7"/>
      <x:c r="G134" s="16"/>
      <x:c r="H134" s="16"/>
      <x:c r="I134" s="9"/>
      <x:c r="J134" s="10"/>
      <x:c r="K134" s="7"/>
      <x:c r="L134" s="7"/>
      <x:c r="M134" s="7"/>
      <x:c r="N134" s="7"/>
      <x:c r="O134" s="9" t="str">
        <x:f>IF($A134="","",MAX(0,$G134*$H134*(1-$J134/100)))</x:f>
      </x:c>
    </x:row>
    <x:row r="135">
      <x:c r="A135" s="13"/>
      <x:c r="B135" s="15"/>
      <x:c r="C135" s="7"/>
      <x:c r="D135" s="7"/>
      <x:c r="E135" s="7"/>
      <x:c r="F135" s="7"/>
      <x:c r="G135" s="16"/>
      <x:c r="H135" s="16"/>
      <x:c r="I135" s="9"/>
      <x:c r="J135" s="10"/>
      <x:c r="K135" s="7"/>
      <x:c r="L135" s="7"/>
      <x:c r="M135" s="7"/>
      <x:c r="N135" s="7"/>
      <x:c r="O135" s="9" t="str">
        <x:f>IF($A135="","",MAX(0,$G135*$H135*(1-$J135/100)))</x:f>
      </x:c>
    </x:row>
    <x:row r="136">
      <x:c r="A136" s="13"/>
      <x:c r="B136" s="15"/>
      <x:c r="C136" s="7"/>
      <x:c r="D136" s="7"/>
      <x:c r="E136" s="7"/>
      <x:c r="F136" s="7"/>
      <x:c r="G136" s="16"/>
      <x:c r="H136" s="16"/>
      <x:c r="I136" s="9"/>
      <x:c r="J136" s="10"/>
      <x:c r="K136" s="7"/>
      <x:c r="L136" s="7"/>
      <x:c r="M136" s="7"/>
      <x:c r="N136" s="7"/>
      <x:c r="O136" s="9" t="str">
        <x:f>IF($A136="","",MAX(0,$G136*$H136*(1-$J136/100)))</x:f>
      </x:c>
    </x:row>
    <x:row r="137">
      <x:c r="A137" s="13"/>
      <x:c r="B137" s="15"/>
      <x:c r="C137" s="7"/>
      <x:c r="D137" s="7"/>
      <x:c r="E137" s="7"/>
      <x:c r="F137" s="7"/>
      <x:c r="G137" s="16"/>
      <x:c r="H137" s="16"/>
      <x:c r="I137" s="9"/>
      <x:c r="J137" s="10"/>
      <x:c r="K137" s="7"/>
      <x:c r="L137" s="7"/>
      <x:c r="M137" s="7"/>
      <x:c r="N137" s="7"/>
      <x:c r="O137" s="9" t="str">
        <x:f>IF($A137="","",MAX(0,$G137*$H137*(1-$J137/100)))</x:f>
      </x:c>
    </x:row>
    <x:row r="138">
      <x:c r="A138" s="13"/>
      <x:c r="B138" s="15"/>
      <x:c r="C138" s="7"/>
      <x:c r="D138" s="7"/>
      <x:c r="E138" s="7"/>
      <x:c r="F138" s="7"/>
      <x:c r="G138" s="16"/>
      <x:c r="H138" s="16"/>
      <x:c r="I138" s="9"/>
      <x:c r="J138" s="10"/>
      <x:c r="K138" s="7"/>
      <x:c r="L138" s="7"/>
      <x:c r="M138" s="7"/>
      <x:c r="N138" s="7"/>
      <x:c r="O138" s="9" t="str">
        <x:f>IF($A138="","",MAX(0,$G138*$H138*(1-$J138/100)))</x:f>
      </x:c>
    </x:row>
    <x:row r="139">
      <x:c r="A139" s="13"/>
      <x:c r="B139" s="15"/>
      <x:c r="C139" s="7"/>
      <x:c r="D139" s="7"/>
      <x:c r="E139" s="7"/>
      <x:c r="F139" s="7"/>
      <x:c r="G139" s="16"/>
      <x:c r="H139" s="16"/>
      <x:c r="I139" s="9"/>
      <x:c r="J139" s="10"/>
      <x:c r="K139" s="7"/>
      <x:c r="L139" s="7"/>
      <x:c r="M139" s="7"/>
      <x:c r="N139" s="7"/>
      <x:c r="O139" s="9" t="str">
        <x:f>IF($A139="","",MAX(0,$G139*$H139*(1-$J139/100)))</x:f>
      </x:c>
    </x:row>
    <x:row r="140">
      <x:c r="A140" s="13"/>
      <x:c r="B140" s="15"/>
      <x:c r="C140" s="7"/>
      <x:c r="D140" s="7"/>
      <x:c r="E140" s="7"/>
      <x:c r="F140" s="7"/>
      <x:c r="G140" s="16"/>
      <x:c r="H140" s="16"/>
      <x:c r="I140" s="9"/>
      <x:c r="J140" s="10"/>
      <x:c r="K140" s="7"/>
      <x:c r="L140" s="7"/>
      <x:c r="M140" s="7"/>
      <x:c r="N140" s="7"/>
      <x:c r="O140" s="9" t="str">
        <x:f>IF($A140="","",MAX(0,$G140*$H140*(1-$J140/100)))</x:f>
      </x:c>
    </x:row>
    <x:row r="141">
      <x:c r="A141" s="13"/>
      <x:c r="B141" s="15"/>
      <x:c r="C141" s="7"/>
      <x:c r="D141" s="7"/>
      <x:c r="E141" s="7"/>
      <x:c r="F141" s="7"/>
      <x:c r="G141" s="16"/>
      <x:c r="H141" s="16"/>
      <x:c r="I141" s="9"/>
      <x:c r="J141" s="10"/>
      <x:c r="K141" s="7"/>
      <x:c r="L141" s="7"/>
      <x:c r="M141" s="7"/>
      <x:c r="N141" s="7"/>
      <x:c r="O141" s="9" t="str">
        <x:f>IF($A141="","",MAX(0,$G141*$H141*(1-$J141/100)))</x:f>
      </x:c>
    </x:row>
    <x:row r="142">
      <x:c r="A142" s="13"/>
      <x:c r="B142" s="15"/>
      <x:c r="C142" s="7"/>
      <x:c r="D142" s="7"/>
      <x:c r="E142" s="7"/>
      <x:c r="F142" s="7"/>
      <x:c r="G142" s="16"/>
      <x:c r="H142" s="16"/>
      <x:c r="I142" s="9"/>
      <x:c r="J142" s="10"/>
      <x:c r="K142" s="7"/>
      <x:c r="L142" s="7"/>
      <x:c r="M142" s="7"/>
      <x:c r="N142" s="7"/>
      <x:c r="O142" s="9" t="str">
        <x:f>IF($A142="","",MAX(0,$G142*$H142*(1-$J142/100)))</x:f>
      </x:c>
    </x:row>
    <x:row r="143">
      <x:c r="A143" s="13"/>
      <x:c r="B143" s="15"/>
      <x:c r="C143" s="7"/>
      <x:c r="D143" s="7"/>
      <x:c r="E143" s="7"/>
      <x:c r="F143" s="7"/>
      <x:c r="G143" s="16"/>
      <x:c r="H143" s="16"/>
      <x:c r="I143" s="9"/>
      <x:c r="J143" s="10"/>
      <x:c r="K143" s="7"/>
      <x:c r="L143" s="7"/>
      <x:c r="M143" s="7"/>
      <x:c r="N143" s="7"/>
      <x:c r="O143" s="9" t="str">
        <x:f>IF($A143="","",MAX(0,$G143*$H143*(1-$J143/100)))</x:f>
      </x:c>
    </x:row>
    <x:row r="144">
      <x:c r="A144" s="13"/>
      <x:c r="B144" s="15"/>
      <x:c r="C144" s="7"/>
      <x:c r="D144" s="7"/>
      <x:c r="E144" s="7"/>
      <x:c r="F144" s="7"/>
      <x:c r="G144" s="16"/>
      <x:c r="H144" s="16"/>
      <x:c r="I144" s="9"/>
      <x:c r="J144" s="10"/>
      <x:c r="K144" s="7"/>
      <x:c r="L144" s="7"/>
      <x:c r="M144" s="7"/>
      <x:c r="N144" s="7"/>
      <x:c r="O144" s="9" t="str">
        <x:f>IF($A144="","",MAX(0,$G144*$H144*(1-$J144/100)))</x:f>
      </x:c>
    </x:row>
    <x:row r="145">
      <x:c r="A145" s="13"/>
      <x:c r="B145" s="15"/>
      <x:c r="C145" s="7"/>
      <x:c r="D145" s="7"/>
      <x:c r="E145" s="7"/>
      <x:c r="F145" s="7"/>
      <x:c r="G145" s="16"/>
      <x:c r="H145" s="16"/>
      <x:c r="I145" s="9"/>
      <x:c r="J145" s="10"/>
      <x:c r="K145" s="7"/>
      <x:c r="L145" s="7"/>
      <x:c r="M145" s="7"/>
      <x:c r="N145" s="7"/>
      <x:c r="O145" s="9" t="str">
        <x:f>IF($A145="","",MAX(0,$G145*$H145*(1-$J145/100)))</x:f>
      </x:c>
    </x:row>
    <x:row r="146">
      <x:c r="A146" s="13"/>
      <x:c r="B146" s="15"/>
      <x:c r="C146" s="7"/>
      <x:c r="D146" s="7"/>
      <x:c r="E146" s="7"/>
      <x:c r="F146" s="7"/>
      <x:c r="G146" s="16"/>
      <x:c r="H146" s="16"/>
      <x:c r="I146" s="9"/>
      <x:c r="J146" s="10"/>
      <x:c r="K146" s="7"/>
      <x:c r="L146" s="7"/>
      <x:c r="M146" s="7"/>
      <x:c r="N146" s="7"/>
      <x:c r="O146" s="9" t="str">
        <x:f>IF($A146="","",MAX(0,$G146*$H146*(1-$J146/100)))</x:f>
      </x:c>
    </x:row>
    <x:row r="147">
      <x:c r="A147" s="13"/>
      <x:c r="B147" s="15"/>
      <x:c r="C147" s="7"/>
      <x:c r="D147" s="7"/>
      <x:c r="E147" s="7"/>
      <x:c r="F147" s="7"/>
      <x:c r="G147" s="16"/>
      <x:c r="H147" s="16"/>
      <x:c r="I147" s="9"/>
      <x:c r="J147" s="10"/>
      <x:c r="K147" s="7"/>
      <x:c r="L147" s="7"/>
      <x:c r="M147" s="7"/>
      <x:c r="N147" s="7"/>
      <x:c r="O147" s="9" t="str">
        <x:f>IF($A147="","",MAX(0,$G147*$H147*(1-$J147/100)))</x:f>
      </x:c>
    </x:row>
    <x:row r="148">
      <x:c r="A148" s="13"/>
      <x:c r="B148" s="15"/>
      <x:c r="C148" s="7"/>
      <x:c r="D148" s="7"/>
      <x:c r="E148" s="7"/>
      <x:c r="F148" s="7"/>
      <x:c r="G148" s="16"/>
      <x:c r="H148" s="16"/>
      <x:c r="I148" s="9"/>
      <x:c r="J148" s="10"/>
      <x:c r="K148" s="7"/>
      <x:c r="L148" s="7"/>
      <x:c r="M148" s="7"/>
      <x:c r="N148" s="7"/>
      <x:c r="O148" s="9" t="str">
        <x:f>IF($A148="","",MAX(0,$G148*$H148*(1-$J148/100)))</x:f>
      </x:c>
    </x:row>
    <x:row r="149">
      <x:c r="A149" s="13"/>
      <x:c r="B149" s="15"/>
      <x:c r="C149" s="7"/>
      <x:c r="D149" s="7"/>
      <x:c r="E149" s="7"/>
      <x:c r="F149" s="7"/>
      <x:c r="G149" s="16"/>
      <x:c r="H149" s="16"/>
      <x:c r="I149" s="9"/>
      <x:c r="J149" s="10"/>
      <x:c r="K149" s="7"/>
      <x:c r="L149" s="7"/>
      <x:c r="M149" s="7"/>
      <x:c r="N149" s="7"/>
      <x:c r="O149" s="9" t="str">
        <x:f>IF($A149="","",MAX(0,$G149*$H149*(1-$J149/100)))</x:f>
      </x:c>
    </x:row>
    <x:row r="150">
      <x:c r="A150" s="13"/>
      <x:c r="B150" s="15"/>
      <x:c r="C150" s="7"/>
      <x:c r="D150" s="7"/>
      <x:c r="E150" s="7"/>
      <x:c r="F150" s="7"/>
      <x:c r="G150" s="16"/>
      <x:c r="H150" s="16"/>
      <x:c r="I150" s="9"/>
      <x:c r="J150" s="10"/>
      <x:c r="K150" s="7"/>
      <x:c r="L150" s="7"/>
      <x:c r="M150" s="7"/>
      <x:c r="N150" s="7"/>
      <x:c r="O150" s="9" t="str">
        <x:f>IF($A150="","",MAX(0,$G150*$H150*(1-$J150/100)))</x:f>
      </x:c>
    </x:row>
    <x:row r="151">
      <x:c r="A151" s="13"/>
      <x:c r="B151" s="15"/>
      <x:c r="C151" s="7"/>
      <x:c r="D151" s="7"/>
      <x:c r="E151" s="7"/>
      <x:c r="F151" s="7"/>
      <x:c r="G151" s="16"/>
      <x:c r="H151" s="16"/>
      <x:c r="I151" s="9"/>
      <x:c r="J151" s="10"/>
      <x:c r="K151" s="7"/>
      <x:c r="L151" s="7"/>
      <x:c r="M151" s="7"/>
      <x:c r="N151" s="7"/>
      <x:c r="O151" s="9" t="str">
        <x:f>IF($A151="","",MAX(0,$G151*$H151*(1-$J151/100)))</x:f>
      </x:c>
    </x:row>
    <x:row r="152">
      <x:c r="A152" s="13"/>
      <x:c r="B152" s="15"/>
      <x:c r="C152" s="7"/>
      <x:c r="D152" s="7"/>
      <x:c r="E152" s="7"/>
      <x:c r="F152" s="7"/>
      <x:c r="G152" s="16"/>
      <x:c r="H152" s="16"/>
      <x:c r="I152" s="9"/>
      <x:c r="J152" s="10"/>
      <x:c r="K152" s="7"/>
      <x:c r="L152" s="7"/>
      <x:c r="M152" s="7"/>
      <x:c r="N152" s="7"/>
      <x:c r="O152" s="9" t="str">
        <x:f>IF($A152="","",MAX(0,$G152*$H152*(1-$J152/100)))</x:f>
      </x:c>
    </x:row>
    <x:row r="153">
      <x:c r="A153" s="13"/>
      <x:c r="B153" s="15"/>
      <x:c r="C153" s="7"/>
      <x:c r="D153" s="7"/>
      <x:c r="E153" s="7"/>
      <x:c r="F153" s="7"/>
      <x:c r="G153" s="16"/>
      <x:c r="H153" s="16"/>
      <x:c r="I153" s="9"/>
      <x:c r="J153" s="10"/>
      <x:c r="K153" s="7"/>
      <x:c r="L153" s="7"/>
      <x:c r="M153" s="7"/>
      <x:c r="N153" s="7"/>
      <x:c r="O153" s="9" t="str">
        <x:f>IF($A153="","",MAX(0,$G153*$H153*(1-$J153/100)))</x:f>
      </x:c>
    </x:row>
    <x:row r="154">
      <x:c r="A154" s="13"/>
      <x:c r="B154" s="15"/>
      <x:c r="C154" s="7"/>
      <x:c r="D154" s="7"/>
      <x:c r="E154" s="7"/>
      <x:c r="F154" s="7"/>
      <x:c r="G154" s="16"/>
      <x:c r="H154" s="16"/>
      <x:c r="I154" s="9"/>
      <x:c r="J154" s="10"/>
      <x:c r="K154" s="7"/>
      <x:c r="L154" s="7"/>
      <x:c r="M154" s="7"/>
      <x:c r="N154" s="7"/>
      <x:c r="O154" s="9" t="str">
        <x:f>IF($A154="","",MAX(0,$G154*$H154*(1-$J154/100)))</x:f>
      </x:c>
    </x:row>
    <x:row r="155">
      <x:c r="A155" s="13"/>
      <x:c r="B155" s="15"/>
      <x:c r="C155" s="7"/>
      <x:c r="D155" s="7"/>
      <x:c r="E155" s="7"/>
      <x:c r="F155" s="7"/>
      <x:c r="G155" s="16"/>
      <x:c r="H155" s="16"/>
      <x:c r="I155" s="9"/>
      <x:c r="J155" s="10"/>
      <x:c r="K155" s="7"/>
      <x:c r="L155" s="7"/>
      <x:c r="M155" s="7"/>
      <x:c r="N155" s="7"/>
      <x:c r="O155" s="9" t="str">
        <x:f>IF($A155="","",MAX(0,$G155*$H155*(1-$J155/100)))</x:f>
      </x:c>
    </x:row>
    <x:row r="156">
      <x:c r="A156" s="13"/>
      <x:c r="B156" s="15"/>
      <x:c r="C156" s="7"/>
      <x:c r="D156" s="7"/>
      <x:c r="E156" s="7"/>
      <x:c r="F156" s="7"/>
      <x:c r="G156" s="16"/>
      <x:c r="H156" s="16"/>
      <x:c r="I156" s="9"/>
      <x:c r="J156" s="10"/>
      <x:c r="K156" s="7"/>
      <x:c r="L156" s="7"/>
      <x:c r="M156" s="7"/>
      <x:c r="N156" s="7"/>
      <x:c r="O156" s="9" t="str">
        <x:f>IF($A156="","",MAX(0,$G156*$H156*(1-$J156/100)))</x:f>
      </x:c>
    </x:row>
    <x:row r="157">
      <x:c r="A157" s="13"/>
      <x:c r="B157" s="15"/>
      <x:c r="C157" s="7"/>
      <x:c r="D157" s="7"/>
      <x:c r="E157" s="7"/>
      <x:c r="F157" s="7"/>
      <x:c r="G157" s="16"/>
      <x:c r="H157" s="16"/>
      <x:c r="I157" s="9"/>
      <x:c r="J157" s="10"/>
      <x:c r="K157" s="7"/>
      <x:c r="L157" s="7"/>
      <x:c r="M157" s="7"/>
      <x:c r="N157" s="7"/>
      <x:c r="O157" s="9" t="str">
        <x:f>IF($A157="","",MAX(0,$G157*$H157*(1-$J157/100)))</x:f>
      </x:c>
    </x:row>
    <x:row r="158">
      <x:c r="A158" s="13"/>
      <x:c r="B158" s="15"/>
      <x:c r="C158" s="7"/>
      <x:c r="D158" s="7"/>
      <x:c r="E158" s="7"/>
      <x:c r="F158" s="7"/>
      <x:c r="G158" s="16"/>
      <x:c r="H158" s="16"/>
      <x:c r="I158" s="9"/>
      <x:c r="J158" s="10"/>
      <x:c r="K158" s="7"/>
      <x:c r="L158" s="7"/>
      <x:c r="M158" s="7"/>
      <x:c r="N158" s="7"/>
      <x:c r="O158" s="9" t="str">
        <x:f>IF($A158="","",MAX(0,$G158*$H158*(1-$J158/100)))</x:f>
      </x:c>
    </x:row>
    <x:row r="159">
      <x:c r="A159" s="13"/>
      <x:c r="B159" s="15"/>
      <x:c r="C159" s="7"/>
      <x:c r="D159" s="7"/>
      <x:c r="E159" s="7"/>
      <x:c r="F159" s="7"/>
      <x:c r="G159" s="16"/>
      <x:c r="H159" s="16"/>
      <x:c r="I159" s="9"/>
      <x:c r="J159" s="10"/>
      <x:c r="K159" s="7"/>
      <x:c r="L159" s="7"/>
      <x:c r="M159" s="7"/>
      <x:c r="N159" s="7"/>
      <x:c r="O159" s="9" t="str">
        <x:f>IF($A159="","",MAX(0,$G159*$H159*(1-$J159/100)))</x:f>
      </x:c>
    </x:row>
    <x:row r="160">
      <x:c r="A160" s="13"/>
      <x:c r="B160" s="15"/>
      <x:c r="C160" s="7"/>
      <x:c r="D160" s="7"/>
      <x:c r="E160" s="7"/>
      <x:c r="F160" s="7"/>
      <x:c r="G160" s="16"/>
      <x:c r="H160" s="16"/>
      <x:c r="I160" s="9"/>
      <x:c r="J160" s="10"/>
      <x:c r="K160" s="7"/>
      <x:c r="L160" s="7"/>
      <x:c r="M160" s="7"/>
      <x:c r="N160" s="7"/>
      <x:c r="O160" s="9" t="str">
        <x:f>IF($A160="","",MAX(0,$G160*$H160*(1-$J160/100)))</x:f>
      </x:c>
    </x:row>
    <x:row r="161">
      <x:c r="A161" s="13"/>
      <x:c r="B161" s="15"/>
      <x:c r="C161" s="7"/>
      <x:c r="D161" s="7"/>
      <x:c r="E161" s="7"/>
      <x:c r="F161" s="7"/>
      <x:c r="G161" s="16"/>
      <x:c r="H161" s="16"/>
      <x:c r="I161" s="9"/>
      <x:c r="J161" s="10"/>
      <x:c r="K161" s="7"/>
      <x:c r="L161" s="7"/>
      <x:c r="M161" s="7"/>
      <x:c r="N161" s="7"/>
      <x:c r="O161" s="9" t="str">
        <x:f>IF($A161="","",MAX(0,$G161*$H161*(1-$J161/100)))</x:f>
      </x:c>
    </x:row>
    <x:row r="162">
      <x:c r="A162" s="13"/>
      <x:c r="B162" s="15"/>
      <x:c r="C162" s="7"/>
      <x:c r="D162" s="7"/>
      <x:c r="E162" s="7"/>
      <x:c r="F162" s="7"/>
      <x:c r="G162" s="16"/>
      <x:c r="H162" s="16"/>
      <x:c r="I162" s="9"/>
      <x:c r="J162" s="10"/>
      <x:c r="K162" s="7"/>
      <x:c r="L162" s="7"/>
      <x:c r="M162" s="7"/>
      <x:c r="N162" s="7"/>
      <x:c r="O162" s="9" t="str">
        <x:f>IF($A162="","",MAX(0,$G162*$H162*(1-$J162/100)))</x:f>
      </x:c>
    </x:row>
    <x:row r="163">
      <x:c r="A163" s="13"/>
      <x:c r="B163" s="15"/>
      <x:c r="C163" s="7"/>
      <x:c r="D163" s="7"/>
      <x:c r="E163" s="7"/>
      <x:c r="F163" s="7"/>
      <x:c r="G163" s="16"/>
      <x:c r="H163" s="16"/>
      <x:c r="I163" s="9"/>
      <x:c r="J163" s="10"/>
      <x:c r="K163" s="7"/>
      <x:c r="L163" s="7"/>
      <x:c r="M163" s="7"/>
      <x:c r="N163" s="7"/>
      <x:c r="O163" s="9" t="str">
        <x:f>IF($A163="","",MAX(0,$G163*$H163*(1-$J163/100)))</x:f>
      </x:c>
    </x:row>
    <x:row r="164">
      <x:c r="A164" s="13"/>
      <x:c r="B164" s="15"/>
      <x:c r="C164" s="7"/>
      <x:c r="D164" s="7"/>
      <x:c r="E164" s="7"/>
      <x:c r="F164" s="7"/>
      <x:c r="G164" s="16"/>
      <x:c r="H164" s="16"/>
      <x:c r="I164" s="9"/>
      <x:c r="J164" s="10"/>
      <x:c r="K164" s="7"/>
      <x:c r="L164" s="7"/>
      <x:c r="M164" s="7"/>
      <x:c r="N164" s="7"/>
      <x:c r="O164" s="9" t="str">
        <x:f>IF($A164="","",MAX(0,$G164*$H164*(1-$J164/100)))</x:f>
      </x:c>
    </x:row>
    <x:row r="165">
      <x:c r="A165" s="13"/>
      <x:c r="B165" s="15"/>
      <x:c r="C165" s="7"/>
      <x:c r="D165" s="7"/>
      <x:c r="E165" s="7"/>
      <x:c r="F165" s="7"/>
      <x:c r="G165" s="16"/>
      <x:c r="H165" s="16"/>
      <x:c r="I165" s="9"/>
      <x:c r="J165" s="10"/>
      <x:c r="K165" s="7"/>
      <x:c r="L165" s="7"/>
      <x:c r="M165" s="7"/>
      <x:c r="N165" s="7"/>
      <x:c r="O165" s="9" t="str">
        <x:f>IF($A165="","",MAX(0,$G165*$H165*(1-$J165/100)))</x:f>
      </x:c>
    </x:row>
    <x:row r="166">
      <x:c r="A166" s="13"/>
      <x:c r="B166" s="15"/>
      <x:c r="C166" s="7"/>
      <x:c r="D166" s="7"/>
      <x:c r="E166" s="7"/>
      <x:c r="F166" s="7"/>
      <x:c r="G166" s="16"/>
      <x:c r="H166" s="16"/>
      <x:c r="I166" s="9"/>
      <x:c r="J166" s="10"/>
      <x:c r="K166" s="7"/>
      <x:c r="L166" s="7"/>
      <x:c r="M166" s="7"/>
      <x:c r="N166" s="7"/>
      <x:c r="O166" s="9" t="str">
        <x:f>IF($A166="","",MAX(0,$G166*$H166*(1-$J166/100)))</x:f>
      </x:c>
    </x:row>
    <x:row r="167">
      <x:c r="A167" s="13"/>
      <x:c r="B167" s="15"/>
      <x:c r="C167" s="7"/>
      <x:c r="D167" s="7"/>
      <x:c r="E167" s="7"/>
      <x:c r="F167" s="7"/>
      <x:c r="G167" s="16"/>
      <x:c r="H167" s="16"/>
      <x:c r="I167" s="9"/>
      <x:c r="J167" s="10"/>
      <x:c r="K167" s="7"/>
      <x:c r="L167" s="7"/>
      <x:c r="M167" s="7"/>
      <x:c r="N167" s="7"/>
      <x:c r="O167" s="9" t="str">
        <x:f>IF($A167="","",MAX(0,$G167*$H167*(1-$J167/100)))</x:f>
      </x:c>
    </x:row>
    <x:row r="168">
      <x:c r="A168" s="13"/>
      <x:c r="B168" s="15"/>
      <x:c r="C168" s="7"/>
      <x:c r="D168" s="7"/>
      <x:c r="E168" s="7"/>
      <x:c r="F168" s="7"/>
      <x:c r="G168" s="16"/>
      <x:c r="H168" s="16"/>
      <x:c r="I168" s="9"/>
      <x:c r="J168" s="10"/>
      <x:c r="K168" s="7"/>
      <x:c r="L168" s="7"/>
      <x:c r="M168" s="7"/>
      <x:c r="N168" s="7"/>
      <x:c r="O168" s="9" t="str">
        <x:f>IF($A168="","",MAX(0,$G168*$H168*(1-$J168/100)))</x:f>
      </x:c>
    </x:row>
    <x:row r="169">
      <x:c r="A169" s="13"/>
      <x:c r="B169" s="15"/>
      <x:c r="C169" s="7"/>
      <x:c r="D169" s="7"/>
      <x:c r="E169" s="7"/>
      <x:c r="F169" s="7"/>
      <x:c r="G169" s="16"/>
      <x:c r="H169" s="16"/>
      <x:c r="I169" s="9"/>
      <x:c r="J169" s="10"/>
      <x:c r="K169" s="7"/>
      <x:c r="L169" s="7"/>
      <x:c r="M169" s="7"/>
      <x:c r="N169" s="7"/>
      <x:c r="O169" s="9" t="str">
        <x:f>IF($A169="","",MAX(0,$G169*$H169*(1-$J169/100)))</x:f>
      </x:c>
    </x:row>
    <x:row r="170">
      <x:c r="A170" s="13"/>
      <x:c r="B170" s="15"/>
      <x:c r="C170" s="7"/>
      <x:c r="D170" s="7"/>
      <x:c r="E170" s="7"/>
      <x:c r="F170" s="7"/>
      <x:c r="G170" s="16"/>
      <x:c r="H170" s="16"/>
      <x:c r="I170" s="9"/>
      <x:c r="J170" s="10"/>
      <x:c r="K170" s="7"/>
      <x:c r="L170" s="7"/>
      <x:c r="M170" s="7"/>
      <x:c r="N170" s="7"/>
      <x:c r="O170" s="9" t="str">
        <x:f>IF($A170="","",MAX(0,$G170*$H170*(1-$J170/100)))</x:f>
      </x:c>
    </x:row>
    <x:row r="171">
      <x:c r="A171" s="13"/>
      <x:c r="B171" s="15"/>
      <x:c r="C171" s="7"/>
      <x:c r="D171" s="7"/>
      <x:c r="E171" s="7"/>
      <x:c r="F171" s="7"/>
      <x:c r="G171" s="16"/>
      <x:c r="H171" s="16"/>
      <x:c r="I171" s="9"/>
      <x:c r="J171" s="10"/>
      <x:c r="K171" s="7"/>
      <x:c r="L171" s="7"/>
      <x:c r="M171" s="7"/>
      <x:c r="N171" s="7"/>
      <x:c r="O171" s="9" t="str">
        <x:f>IF($A171="","",MAX(0,$G171*$H171*(1-$J171/100)))</x:f>
      </x:c>
    </x:row>
    <x:row r="172">
      <x:c r="A172" s="13"/>
      <x:c r="B172" s="15"/>
      <x:c r="C172" s="7"/>
      <x:c r="D172" s="7"/>
      <x:c r="E172" s="7"/>
      <x:c r="F172" s="7"/>
      <x:c r="G172" s="16"/>
      <x:c r="H172" s="16"/>
      <x:c r="I172" s="9"/>
      <x:c r="J172" s="10"/>
      <x:c r="K172" s="7"/>
      <x:c r="L172" s="7"/>
      <x:c r="M172" s="7"/>
      <x:c r="N172" s="7"/>
      <x:c r="O172" s="9" t="str">
        <x:f>IF($A172="","",MAX(0,$G172*$H172*(1-$J172/100)))</x:f>
      </x:c>
    </x:row>
    <x:row r="173">
      <x:c r="A173" s="13"/>
      <x:c r="B173" s="15"/>
      <x:c r="C173" s="7"/>
      <x:c r="D173" s="7"/>
      <x:c r="E173" s="7"/>
      <x:c r="F173" s="7"/>
      <x:c r="G173" s="16"/>
      <x:c r="H173" s="16"/>
      <x:c r="I173" s="9"/>
      <x:c r="J173" s="10"/>
      <x:c r="K173" s="7"/>
      <x:c r="L173" s="7"/>
      <x:c r="M173" s="7"/>
      <x:c r="N173" s="7"/>
      <x:c r="O173" s="9" t="str">
        <x:f>IF($A173="","",MAX(0,$G173*$H173*(1-$J173/100)))</x:f>
      </x:c>
    </x:row>
    <x:row r="174">
      <x:c r="A174" s="13"/>
      <x:c r="B174" s="15"/>
      <x:c r="C174" s="7"/>
      <x:c r="D174" s="7"/>
      <x:c r="E174" s="7"/>
      <x:c r="F174" s="7"/>
      <x:c r="G174" s="16"/>
      <x:c r="H174" s="16"/>
      <x:c r="I174" s="9"/>
      <x:c r="J174" s="10"/>
      <x:c r="K174" s="7"/>
      <x:c r="L174" s="7"/>
      <x:c r="M174" s="7"/>
      <x:c r="N174" s="7"/>
      <x:c r="O174" s="9" t="str">
        <x:f>IF($A174="","",MAX(0,$G174*$H174*(1-$J174/100)))</x:f>
      </x:c>
    </x:row>
    <x:row r="175">
      <x:c r="A175" s="13"/>
      <x:c r="B175" s="15"/>
      <x:c r="C175" s="7"/>
      <x:c r="D175" s="7"/>
      <x:c r="E175" s="7"/>
      <x:c r="F175" s="7"/>
      <x:c r="G175" s="16"/>
      <x:c r="H175" s="16"/>
      <x:c r="I175" s="9"/>
      <x:c r="J175" s="10"/>
      <x:c r="K175" s="7"/>
      <x:c r="L175" s="7"/>
      <x:c r="M175" s="7"/>
      <x:c r="N175" s="7"/>
      <x:c r="O175" s="9" t="str">
        <x:f>IF($A175="","",MAX(0,$G175*$H175*(1-$J175/100)))</x:f>
      </x:c>
    </x:row>
    <x:row r="176">
      <x:c r="A176" s="13"/>
      <x:c r="B176" s="15"/>
      <x:c r="C176" s="7"/>
      <x:c r="D176" s="7"/>
      <x:c r="E176" s="7"/>
      <x:c r="F176" s="7"/>
      <x:c r="G176" s="16"/>
      <x:c r="H176" s="16"/>
      <x:c r="I176" s="9"/>
      <x:c r="J176" s="10"/>
      <x:c r="K176" s="7"/>
      <x:c r="L176" s="7"/>
      <x:c r="M176" s="7"/>
      <x:c r="N176" s="7"/>
      <x:c r="O176" s="9" t="str">
        <x:f>IF($A176="","",MAX(0,$G176*$H176*(1-$J176/100)))</x:f>
      </x:c>
    </x:row>
    <x:row r="177">
      <x:c r="A177" s="13"/>
      <x:c r="B177" s="15"/>
      <x:c r="C177" s="7"/>
      <x:c r="D177" s="7"/>
      <x:c r="E177" s="7"/>
      <x:c r="F177" s="7"/>
      <x:c r="G177" s="16"/>
      <x:c r="H177" s="16"/>
      <x:c r="I177" s="9"/>
      <x:c r="J177" s="10"/>
      <x:c r="K177" s="7"/>
      <x:c r="L177" s="7"/>
      <x:c r="M177" s="7"/>
      <x:c r="N177" s="7"/>
      <x:c r="O177" s="9" t="str">
        <x:f>IF($A177="","",MAX(0,$G177*$H177*(1-$J177/100)))</x:f>
      </x:c>
    </x:row>
    <x:row r="178">
      <x:c r="A178" s="13"/>
      <x:c r="B178" s="15"/>
      <x:c r="C178" s="7"/>
      <x:c r="D178" s="7"/>
      <x:c r="E178" s="7"/>
      <x:c r="F178" s="7"/>
      <x:c r="G178" s="16"/>
      <x:c r="H178" s="16"/>
      <x:c r="I178" s="9"/>
      <x:c r="J178" s="10"/>
      <x:c r="K178" s="7"/>
      <x:c r="L178" s="7"/>
      <x:c r="M178" s="7"/>
      <x:c r="N178" s="7"/>
      <x:c r="O178" s="9" t="str">
        <x:f>IF($A178="","",MAX(0,$G178*$H178*(1-$J178/100)))</x:f>
      </x:c>
    </x:row>
    <x:row r="179">
      <x:c r="A179" s="13"/>
      <x:c r="B179" s="15"/>
      <x:c r="C179" s="7"/>
      <x:c r="D179" s="7"/>
      <x:c r="E179" s="7"/>
      <x:c r="F179" s="7"/>
      <x:c r="G179" s="16"/>
      <x:c r="H179" s="16"/>
      <x:c r="I179" s="9"/>
      <x:c r="J179" s="10"/>
      <x:c r="K179" s="7"/>
      <x:c r="L179" s="7"/>
      <x:c r="M179" s="7"/>
      <x:c r="N179" s="7"/>
      <x:c r="O179" s="9" t="str">
        <x:f>IF($A179="","",MAX(0,$G179*$H179*(1-$J179/100)))</x:f>
      </x:c>
    </x:row>
    <x:row r="180">
      <x:c r="A180" s="13"/>
      <x:c r="B180" s="15"/>
      <x:c r="C180" s="7"/>
      <x:c r="D180" s="7"/>
      <x:c r="E180" s="7"/>
      <x:c r="F180" s="7"/>
      <x:c r="G180" s="16"/>
      <x:c r="H180" s="16"/>
      <x:c r="I180" s="9"/>
      <x:c r="J180" s="10"/>
      <x:c r="K180" s="7"/>
      <x:c r="L180" s="7"/>
      <x:c r="M180" s="7"/>
      <x:c r="N180" s="7"/>
      <x:c r="O180" s="9" t="str">
        <x:f>IF($A180="","",MAX(0,$G180*$H180*(1-$J180/100)))</x:f>
      </x:c>
    </x:row>
    <x:row r="181">
      <x:c r="A181" s="13"/>
      <x:c r="B181" s="15"/>
      <x:c r="C181" s="7"/>
      <x:c r="D181" s="7"/>
      <x:c r="E181" s="7"/>
      <x:c r="F181" s="7"/>
      <x:c r="G181" s="16"/>
      <x:c r="H181" s="16"/>
      <x:c r="I181" s="9"/>
      <x:c r="J181" s="10"/>
      <x:c r="K181" s="7"/>
      <x:c r="L181" s="7"/>
      <x:c r="M181" s="7"/>
      <x:c r="N181" s="7"/>
      <x:c r="O181" s="9" t="str">
        <x:f>IF($A181="","",MAX(0,$G181*$H181*(1-$J181/100)))</x:f>
      </x:c>
    </x:row>
    <x:row r="182">
      <x:c r="A182" s="13"/>
      <x:c r="B182" s="15"/>
      <x:c r="C182" s="7"/>
      <x:c r="D182" s="7"/>
      <x:c r="E182" s="7"/>
      <x:c r="F182" s="7"/>
      <x:c r="G182" s="16"/>
      <x:c r="H182" s="16"/>
      <x:c r="I182" s="9"/>
      <x:c r="J182" s="10"/>
      <x:c r="K182" s="7"/>
      <x:c r="L182" s="7"/>
      <x:c r="M182" s="7"/>
      <x:c r="N182" s="7"/>
      <x:c r="O182" s="9" t="str">
        <x:f>IF($A182="","",MAX(0,$G182*$H182*(1-$J182/100)))</x:f>
      </x:c>
    </x:row>
    <x:row r="183">
      <x:c r="A183" s="13"/>
      <x:c r="B183" s="15"/>
      <x:c r="C183" s="7"/>
      <x:c r="D183" s="7"/>
      <x:c r="E183" s="7"/>
      <x:c r="F183" s="7"/>
      <x:c r="G183" s="16"/>
      <x:c r="H183" s="16"/>
      <x:c r="I183" s="9"/>
      <x:c r="J183" s="10"/>
      <x:c r="K183" s="7"/>
      <x:c r="L183" s="7"/>
      <x:c r="M183" s="7"/>
      <x:c r="N183" s="7"/>
      <x:c r="O183" s="9" t="str">
        <x:f>IF($A183="","",MAX(0,$G183*$H183*(1-$J183/100)))</x:f>
      </x:c>
    </x:row>
    <x:row r="184">
      <x:c r="A184" s="13"/>
      <x:c r="B184" s="15"/>
      <x:c r="C184" s="7"/>
      <x:c r="D184" s="7"/>
      <x:c r="E184" s="7"/>
      <x:c r="F184" s="7"/>
      <x:c r="G184" s="16"/>
      <x:c r="H184" s="16"/>
      <x:c r="I184" s="9"/>
      <x:c r="J184" s="10"/>
      <x:c r="K184" s="7"/>
      <x:c r="L184" s="7"/>
      <x:c r="M184" s="7"/>
      <x:c r="N184" s="7"/>
      <x:c r="O184" s="9" t="str">
        <x:f>IF($A184="","",MAX(0,$G184*$H184*(1-$J184/100)))</x:f>
      </x:c>
    </x:row>
    <x:row r="185">
      <x:c r="A185" s="13"/>
      <x:c r="B185" s="15"/>
      <x:c r="C185" s="7"/>
      <x:c r="D185" s="7"/>
      <x:c r="E185" s="7"/>
      <x:c r="F185" s="7"/>
      <x:c r="G185" s="16"/>
      <x:c r="H185" s="16"/>
      <x:c r="I185" s="9"/>
      <x:c r="J185" s="10"/>
      <x:c r="K185" s="7"/>
      <x:c r="L185" s="7"/>
      <x:c r="M185" s="7"/>
      <x:c r="N185" s="7"/>
      <x:c r="O185" s="9" t="str">
        <x:f>IF($A185="","",MAX(0,$G185*$H185*(1-$J185/100)))</x:f>
      </x:c>
    </x:row>
    <x:row r="186">
      <x:c r="A186" s="13"/>
      <x:c r="B186" s="15"/>
      <x:c r="C186" s="7"/>
      <x:c r="D186" s="7"/>
      <x:c r="E186" s="7"/>
      <x:c r="F186" s="7"/>
      <x:c r="G186" s="16"/>
      <x:c r="H186" s="16"/>
      <x:c r="I186" s="9"/>
      <x:c r="J186" s="10"/>
      <x:c r="K186" s="7"/>
      <x:c r="L186" s="7"/>
      <x:c r="M186" s="7"/>
      <x:c r="N186" s="7"/>
      <x:c r="O186" s="9" t="str">
        <x:f>IF($A186="","",MAX(0,$G186*$H186*(1-$J186/100)))</x:f>
      </x:c>
    </x:row>
    <x:row r="187">
      <x:c r="A187" s="13"/>
      <x:c r="B187" s="15"/>
      <x:c r="C187" s="7"/>
      <x:c r="D187" s="7"/>
      <x:c r="E187" s="7"/>
      <x:c r="F187" s="7"/>
      <x:c r="G187" s="16"/>
      <x:c r="H187" s="16"/>
      <x:c r="I187" s="9"/>
      <x:c r="J187" s="10"/>
      <x:c r="K187" s="7"/>
      <x:c r="L187" s="7"/>
      <x:c r="M187" s="7"/>
      <x:c r="N187" s="7"/>
      <x:c r="O187" s="9" t="str">
        <x:f>IF($A187="","",MAX(0,$G187*$H187*(1-$J187/100)))</x:f>
      </x:c>
    </x:row>
    <x:row r="188">
      <x:c r="A188" s="13"/>
      <x:c r="B188" s="15"/>
      <x:c r="C188" s="7"/>
      <x:c r="D188" s="7"/>
      <x:c r="E188" s="7"/>
      <x:c r="F188" s="7"/>
      <x:c r="G188" s="16"/>
      <x:c r="H188" s="16"/>
      <x:c r="I188" s="9"/>
      <x:c r="J188" s="10"/>
      <x:c r="K188" s="7"/>
      <x:c r="L188" s="7"/>
      <x:c r="M188" s="7"/>
      <x:c r="N188" s="7"/>
      <x:c r="O188" s="9" t="str">
        <x:f>IF($A188="","",MAX(0,$G188*$H188*(1-$J188/100)))</x:f>
      </x:c>
    </x:row>
    <x:row r="189">
      <x:c r="A189" s="13"/>
      <x:c r="B189" s="15"/>
      <x:c r="C189" s="7"/>
      <x:c r="D189" s="7"/>
      <x:c r="E189" s="7"/>
      <x:c r="F189" s="7"/>
      <x:c r="G189" s="16"/>
      <x:c r="H189" s="16"/>
      <x:c r="I189" s="9"/>
      <x:c r="J189" s="10"/>
      <x:c r="K189" s="7"/>
      <x:c r="L189" s="7"/>
      <x:c r="M189" s="7"/>
      <x:c r="N189" s="7"/>
      <x:c r="O189" s="9" t="str">
        <x:f>IF($A189="","",MAX(0,$G189*$H189*(1-$J189/100)))</x:f>
      </x:c>
    </x:row>
    <x:row r="190">
      <x:c r="A190" s="13"/>
      <x:c r="B190" s="15"/>
      <x:c r="C190" s="7"/>
      <x:c r="D190" s="7"/>
      <x:c r="E190" s="7"/>
      <x:c r="F190" s="7"/>
      <x:c r="G190" s="16"/>
      <x:c r="H190" s="16"/>
      <x:c r="I190" s="9"/>
      <x:c r="J190" s="10"/>
      <x:c r="K190" s="7"/>
      <x:c r="L190" s="7"/>
      <x:c r="M190" s="7"/>
      <x:c r="N190" s="7"/>
      <x:c r="O190" s="9" t="str">
        <x:f>IF($A190="","",MAX(0,$G190*$H190*(1-$J190/100)))</x:f>
      </x:c>
    </x:row>
    <x:row r="191">
      <x:c r="A191" s="13"/>
      <x:c r="B191" s="15"/>
      <x:c r="C191" s="7"/>
      <x:c r="D191" s="7"/>
      <x:c r="E191" s="7"/>
      <x:c r="F191" s="7"/>
      <x:c r="G191" s="16"/>
      <x:c r="H191" s="16"/>
      <x:c r="I191" s="9"/>
      <x:c r="J191" s="10"/>
      <x:c r="K191" s="7"/>
      <x:c r="L191" s="7"/>
      <x:c r="M191" s="7"/>
      <x:c r="N191" s="7"/>
      <x:c r="O191" s="9" t="str">
        <x:f>IF($A191="","",MAX(0,$G191*$H191*(1-$J191/100)))</x:f>
      </x:c>
    </x:row>
    <x:row r="192">
      <x:c r="A192" s="13"/>
      <x:c r="B192" s="15"/>
      <x:c r="C192" s="7"/>
      <x:c r="D192" s="7"/>
      <x:c r="E192" s="7"/>
      <x:c r="F192" s="7"/>
      <x:c r="G192" s="16"/>
      <x:c r="H192" s="16"/>
      <x:c r="I192" s="9"/>
      <x:c r="J192" s="10"/>
      <x:c r="K192" s="7"/>
      <x:c r="L192" s="7"/>
      <x:c r="M192" s="7"/>
      <x:c r="N192" s="7"/>
      <x:c r="O192" s="9" t="str">
        <x:f>IF($A192="","",MAX(0,$G192*$H192*(1-$J192/100)))</x:f>
      </x:c>
    </x:row>
    <x:row r="193">
      <x:c r="A193" s="13"/>
      <x:c r="B193" s="15"/>
      <x:c r="C193" s="7"/>
      <x:c r="D193" s="7"/>
      <x:c r="E193" s="7"/>
      <x:c r="F193" s="7"/>
      <x:c r="G193" s="16"/>
      <x:c r="H193" s="16"/>
      <x:c r="I193" s="9"/>
      <x:c r="J193" s="10"/>
      <x:c r="K193" s="7"/>
      <x:c r="L193" s="7"/>
      <x:c r="M193" s="7"/>
      <x:c r="N193" s="7"/>
      <x:c r="O193" s="9" t="str">
        <x:f>IF($A193="","",MAX(0,$G193*$H193*(1-$J193/100)))</x:f>
      </x:c>
    </x:row>
    <x:row r="194">
      <x:c r="A194" s="13"/>
      <x:c r="B194" s="15"/>
      <x:c r="C194" s="7"/>
      <x:c r="D194" s="7"/>
      <x:c r="E194" s="7"/>
      <x:c r="F194" s="7"/>
      <x:c r="G194" s="16"/>
      <x:c r="H194" s="16"/>
      <x:c r="I194" s="9"/>
      <x:c r="J194" s="10"/>
      <x:c r="K194" s="7"/>
      <x:c r="L194" s="7"/>
      <x:c r="M194" s="7"/>
      <x:c r="N194" s="7"/>
      <x:c r="O194" s="9" t="str">
        <x:f>IF($A194="","",MAX(0,$G194*$H194*(1-$J194/100)))</x:f>
      </x:c>
    </x:row>
    <x:row r="195">
      <x:c r="A195" s="13"/>
      <x:c r="B195" s="15"/>
      <x:c r="C195" s="7"/>
      <x:c r="D195" s="7"/>
      <x:c r="E195" s="7"/>
      <x:c r="F195" s="7"/>
      <x:c r="G195" s="16"/>
      <x:c r="H195" s="16"/>
      <x:c r="I195" s="9"/>
      <x:c r="J195" s="10"/>
      <x:c r="K195" s="7"/>
      <x:c r="L195" s="7"/>
      <x:c r="M195" s="7"/>
      <x:c r="N195" s="7"/>
      <x:c r="O195" s="9" t="str">
        <x:f>IF($A195="","",MAX(0,$G195*$H195*(1-$J195/100)))</x:f>
      </x:c>
    </x:row>
    <x:row r="196">
      <x:c r="A196" s="13"/>
      <x:c r="B196" s="15"/>
      <x:c r="C196" s="7"/>
      <x:c r="D196" s="7"/>
      <x:c r="E196" s="7"/>
      <x:c r="F196" s="7"/>
      <x:c r="G196" s="16"/>
      <x:c r="H196" s="16"/>
      <x:c r="I196" s="9"/>
      <x:c r="J196" s="10"/>
      <x:c r="K196" s="7"/>
      <x:c r="L196" s="7"/>
      <x:c r="M196" s="7"/>
      <x:c r="N196" s="7"/>
      <x:c r="O196" s="9" t="str">
        <x:f>IF($A196="","",MAX(0,$G196*$H196*(1-$J196/100)))</x:f>
      </x:c>
    </x:row>
    <x:row r="197">
      <x:c r="A197" s="13"/>
      <x:c r="B197" s="15"/>
      <x:c r="C197" s="7"/>
      <x:c r="D197" s="7"/>
      <x:c r="E197" s="7"/>
      <x:c r="F197" s="7"/>
      <x:c r="G197" s="16"/>
      <x:c r="H197" s="16"/>
      <x:c r="I197" s="9"/>
      <x:c r="J197" s="10"/>
      <x:c r="K197" s="7"/>
      <x:c r="L197" s="7"/>
      <x:c r="M197" s="7"/>
      <x:c r="N197" s="7"/>
      <x:c r="O197" s="9" t="str">
        <x:f>IF($A197="","",MAX(0,$G197*$H197*(1-$J197/100)))</x:f>
      </x:c>
    </x:row>
    <x:row r="198">
      <x:c r="A198" s="13"/>
      <x:c r="B198" s="15"/>
      <x:c r="C198" s="7"/>
      <x:c r="D198" s="7"/>
      <x:c r="E198" s="7"/>
      <x:c r="F198" s="7"/>
      <x:c r="G198" s="16"/>
      <x:c r="H198" s="16"/>
      <x:c r="I198" s="9"/>
      <x:c r="J198" s="10"/>
      <x:c r="K198" s="7"/>
      <x:c r="L198" s="7"/>
      <x:c r="M198" s="7"/>
      <x:c r="N198" s="7"/>
      <x:c r="O198" s="9" t="str">
        <x:f>IF($A198="","",MAX(0,$G198*$H198*(1-$J198/100)))</x:f>
      </x:c>
    </x:row>
    <x:row r="199">
      <x:c r="A199" s="13"/>
      <x:c r="B199" s="15"/>
      <x:c r="C199" s="7"/>
      <x:c r="D199" s="7"/>
      <x:c r="E199" s="7"/>
      <x:c r="F199" s="7"/>
      <x:c r="G199" s="16"/>
      <x:c r="H199" s="16"/>
      <x:c r="I199" s="9"/>
      <x:c r="J199" s="10"/>
      <x:c r="K199" s="7"/>
      <x:c r="L199" s="7"/>
      <x:c r="M199" s="7"/>
      <x:c r="N199" s="7"/>
      <x:c r="O199" s="9" t="str">
        <x:f>IF($A199="","",MAX(0,$G199*$H199*(1-$J199/100)))</x:f>
      </x:c>
    </x:row>
    <x:row r="200">
      <x:c r="A200" s="13"/>
      <x:c r="B200" s="15"/>
      <x:c r="C200" s="7"/>
      <x:c r="D200" s="7"/>
      <x:c r="E200" s="7"/>
      <x:c r="F200" s="7"/>
      <x:c r="G200" s="16"/>
      <x:c r="H200" s="16"/>
      <x:c r="I200" s="9"/>
      <x:c r="J200" s="10"/>
      <x:c r="K200" s="7"/>
      <x:c r="L200" s="7"/>
      <x:c r="M200" s="7"/>
      <x:c r="N200" s="7"/>
      <x:c r="O200" s="9" t="str">
        <x:f>IF($A200="","",MAX(0,$G200*$H200*(1-$J200/100)))</x:f>
      </x:c>
    </x:row>
    <x:row r="201">
      <x:c r="A201" s="13"/>
      <x:c r="B201" s="15"/>
      <x:c r="C201" s="7"/>
      <x:c r="D201" s="7"/>
      <x:c r="E201" s="7"/>
      <x:c r="F201" s="7"/>
      <x:c r="G201" s="16"/>
      <x:c r="H201" s="16"/>
      <x:c r="I201" s="9"/>
      <x:c r="J201" s="10"/>
      <x:c r="K201" s="7"/>
      <x:c r="L201" s="7"/>
      <x:c r="M201" s="7"/>
      <x:c r="N201" s="7"/>
      <x:c r="O201" s="9" t="str">
        <x:f>IF($A201="","",MAX(0,$G201*$H201*(1-$J201/100)))</x:f>
      </x:c>
    </x:row>
    <x:row r="202">
      <x:c r="A202" s="13"/>
      <x:c r="B202" s="15"/>
      <x:c r="C202" s="7"/>
      <x:c r="D202" s="7"/>
      <x:c r="E202" s="7"/>
      <x:c r="F202" s="7"/>
      <x:c r="G202" s="16"/>
      <x:c r="H202" s="16"/>
      <x:c r="I202" s="9"/>
      <x:c r="J202" s="10"/>
      <x:c r="K202" s="7"/>
      <x:c r="L202" s="7"/>
      <x:c r="M202" s="7"/>
      <x:c r="N202" s="7"/>
      <x:c r="O202" s="9" t="str">
        <x:f>IF($A202="","",MAX(0,$G202*$H202*(1-$J202/100)))</x:f>
      </x:c>
    </x:row>
    <x:row r="203">
      <x:c r="A203" s="13"/>
      <x:c r="B203" s="15"/>
      <x:c r="C203" s="7"/>
      <x:c r="D203" s="7"/>
      <x:c r="E203" s="7"/>
      <x:c r="F203" s="7"/>
      <x:c r="G203" s="16"/>
      <x:c r="H203" s="16"/>
      <x:c r="I203" s="9"/>
      <x:c r="J203" s="10"/>
      <x:c r="K203" s="7"/>
      <x:c r="L203" s="7"/>
      <x:c r="M203" s="7"/>
      <x:c r="N203" s="7"/>
      <x:c r="O203" s="9" t="str">
        <x:f>IF($A203="","",MAX(0,$G203*$H203*(1-$J203/100)))</x:f>
      </x:c>
    </x:row>
    <x:row r="204">
      <x:c r="A204" s="13"/>
      <x:c r="B204" s="15"/>
      <x:c r="C204" s="7"/>
      <x:c r="D204" s="7"/>
      <x:c r="E204" s="7"/>
      <x:c r="F204" s="7"/>
      <x:c r="G204" s="16"/>
      <x:c r="H204" s="16"/>
      <x:c r="I204" s="9"/>
      <x:c r="J204" s="10"/>
      <x:c r="K204" s="7"/>
      <x:c r="L204" s="7"/>
      <x:c r="M204" s="7"/>
      <x:c r="N204" s="7"/>
      <x:c r="O204" s="9" t="str">
        <x:f>IF($A204="","",MAX(0,$G204*$H204*(1-$J204/100)))</x:f>
      </x:c>
    </x:row>
    <x:row r="205">
      <x:c r="A205" s="13"/>
      <x:c r="B205" s="15"/>
      <x:c r="C205" s="7"/>
      <x:c r="D205" s="7"/>
      <x:c r="E205" s="7"/>
      <x:c r="F205" s="7"/>
      <x:c r="G205" s="16"/>
      <x:c r="H205" s="16"/>
      <x:c r="I205" s="9"/>
      <x:c r="J205" s="10"/>
      <x:c r="K205" s="7"/>
      <x:c r="L205" s="7"/>
      <x:c r="M205" s="7"/>
      <x:c r="N205" s="7"/>
      <x:c r="O205" s="9" t="str">
        <x:f>IF($A205="","",MAX(0,$G205*$H205*(1-$J205/100)))</x:f>
      </x:c>
    </x:row>
    <x:row r="206">
      <x:c r="A206" s="13"/>
      <x:c r="B206" s="15"/>
      <x:c r="C206" s="7"/>
      <x:c r="D206" s="7"/>
      <x:c r="E206" s="7"/>
      <x:c r="F206" s="7"/>
      <x:c r="G206" s="16"/>
      <x:c r="H206" s="16"/>
      <x:c r="I206" s="9"/>
      <x:c r="J206" s="10"/>
      <x:c r="K206" s="7"/>
      <x:c r="L206" s="7"/>
      <x:c r="M206" s="7"/>
      <x:c r="N206" s="7"/>
      <x:c r="O206" s="9" t="str">
        <x:f>IF($A206="","",MAX(0,$G206*$H206*(1-$J206/100)))</x:f>
      </x:c>
    </x:row>
    <x:row r="207">
      <x:c r="A207" s="13"/>
      <x:c r="B207" s="15"/>
      <x:c r="C207" s="7"/>
      <x:c r="D207" s="7"/>
      <x:c r="E207" s="7"/>
      <x:c r="F207" s="7"/>
      <x:c r="G207" s="16"/>
      <x:c r="H207" s="16"/>
      <x:c r="I207" s="9"/>
      <x:c r="J207" s="10"/>
      <x:c r="K207" s="7"/>
      <x:c r="L207" s="7"/>
      <x:c r="M207" s="7"/>
      <x:c r="N207" s="7"/>
      <x:c r="O207" s="9" t="str">
        <x:f>IF($A207="","",MAX(0,$G207*$H207*(1-$J207/100)))</x:f>
      </x:c>
    </x:row>
    <x:row r="208">
      <x:c r="A208" s="13"/>
      <x:c r="B208" s="15"/>
      <x:c r="C208" s="7"/>
      <x:c r="D208" s="7"/>
      <x:c r="E208" s="7"/>
      <x:c r="F208" s="7"/>
      <x:c r="G208" s="16"/>
      <x:c r="H208" s="16"/>
      <x:c r="I208" s="9"/>
      <x:c r="J208" s="10"/>
      <x:c r="K208" s="7"/>
      <x:c r="L208" s="7"/>
      <x:c r="M208" s="7"/>
      <x:c r="N208" s="7"/>
      <x:c r="O208" s="9" t="str">
        <x:f>IF($A208="","",MAX(0,$G208*$H208*(1-$J208/100)))</x:f>
      </x:c>
    </x:row>
    <x:row r="209">
      <x:c r="A209" s="13"/>
      <x:c r="B209" s="15"/>
      <x:c r="C209" s="7"/>
      <x:c r="D209" s="7"/>
      <x:c r="E209" s="7"/>
      <x:c r="F209" s="7"/>
      <x:c r="G209" s="16"/>
      <x:c r="H209" s="16"/>
      <x:c r="I209" s="9"/>
      <x:c r="J209" s="10"/>
      <x:c r="K209" s="7"/>
      <x:c r="L209" s="7"/>
      <x:c r="M209" s="7"/>
      <x:c r="N209" s="7"/>
      <x:c r="O209" s="9" t="str">
        <x:f>IF($A209="","",MAX(0,$G209*$H209*(1-$J209/100)))</x:f>
      </x:c>
    </x:row>
    <x:row r="210">
      <x:c r="A210" s="13"/>
      <x:c r="B210" s="15"/>
      <x:c r="C210" s="7"/>
      <x:c r="D210" s="7"/>
      <x:c r="E210" s="7"/>
      <x:c r="F210" s="7"/>
      <x:c r="G210" s="16"/>
      <x:c r="H210" s="16"/>
      <x:c r="I210" s="9"/>
      <x:c r="J210" s="10"/>
      <x:c r="K210" s="7"/>
      <x:c r="L210" s="7"/>
      <x:c r="M210" s="7"/>
      <x:c r="N210" s="7"/>
      <x:c r="O210" s="9" t="str">
        <x:f>IF($A210="","",MAX(0,$G210*$H210*(1-$J210/100)))</x:f>
      </x:c>
    </x:row>
    <x:row r="211">
      <x:c r="A211" s="13"/>
      <x:c r="B211" s="15"/>
      <x:c r="C211" s="7"/>
      <x:c r="D211" s="7"/>
      <x:c r="E211" s="7"/>
      <x:c r="F211" s="7"/>
      <x:c r="G211" s="16"/>
      <x:c r="H211" s="16"/>
      <x:c r="I211" s="9"/>
      <x:c r="J211" s="10"/>
      <x:c r="K211" s="7"/>
      <x:c r="L211" s="7"/>
      <x:c r="M211" s="7"/>
      <x:c r="N211" s="7"/>
      <x:c r="O211" s="9" t="str">
        <x:f>IF($A211="","",MAX(0,$G211*$H211*(1-$J211/100)))</x:f>
      </x:c>
    </x:row>
    <x:row r="212">
      <x:c r="A212" s="13"/>
      <x:c r="B212" s="15"/>
      <x:c r="C212" s="7"/>
      <x:c r="D212" s="7"/>
      <x:c r="E212" s="7"/>
      <x:c r="F212" s="7"/>
      <x:c r="G212" s="16"/>
      <x:c r="H212" s="16"/>
      <x:c r="I212" s="9"/>
      <x:c r="J212" s="10"/>
      <x:c r="K212" s="7"/>
      <x:c r="L212" s="7"/>
      <x:c r="M212" s="7"/>
      <x:c r="N212" s="7"/>
      <x:c r="O212" s="9" t="str">
        <x:f>IF($A212="","",MAX(0,$G212*$H212*(1-$J212/100)))</x:f>
      </x:c>
    </x:row>
    <x:row r="213">
      <x:c r="A213" s="13"/>
      <x:c r="B213" s="15"/>
      <x:c r="C213" s="7"/>
      <x:c r="D213" s="7"/>
      <x:c r="E213" s="7"/>
      <x:c r="F213" s="7"/>
      <x:c r="G213" s="16"/>
      <x:c r="H213" s="16"/>
      <x:c r="I213" s="9"/>
      <x:c r="J213" s="10"/>
      <x:c r="K213" s="7"/>
      <x:c r="L213" s="7"/>
      <x:c r="M213" s="7"/>
      <x:c r="N213" s="7"/>
      <x:c r="O213" s="9" t="str">
        <x:f>IF($A213="","",MAX(0,$G213*$H213*(1-$J213/100)))</x:f>
      </x:c>
    </x:row>
    <x:row r="214">
      <x:c r="A214" s="13"/>
      <x:c r="B214" s="15"/>
      <x:c r="C214" s="7"/>
      <x:c r="D214" s="7"/>
      <x:c r="E214" s="7"/>
      <x:c r="F214" s="7"/>
      <x:c r="G214" s="16"/>
      <x:c r="H214" s="16"/>
      <x:c r="I214" s="9"/>
      <x:c r="J214" s="10"/>
      <x:c r="K214" s="7"/>
      <x:c r="L214" s="7"/>
      <x:c r="M214" s="7"/>
      <x:c r="N214" s="7"/>
      <x:c r="O214" s="9" t="str">
        <x:f>IF($A214="","",MAX(0,$G214*$H214*(1-$J214/100)))</x:f>
      </x:c>
    </x:row>
    <x:row r="215">
      <x:c r="A215" s="13"/>
      <x:c r="B215" s="15"/>
      <x:c r="C215" s="7"/>
      <x:c r="D215" s="7"/>
      <x:c r="E215" s="7"/>
      <x:c r="F215" s="7"/>
      <x:c r="G215" s="16"/>
      <x:c r="H215" s="16"/>
      <x:c r="I215" s="9"/>
      <x:c r="J215" s="10"/>
      <x:c r="K215" s="7"/>
      <x:c r="L215" s="7"/>
      <x:c r="M215" s="7"/>
      <x:c r="N215" s="7"/>
      <x:c r="O215" s="9" t="str">
        <x:f>IF($A215="","",MAX(0,$G215*$H215*(1-$J215/100)))</x:f>
      </x:c>
    </x:row>
    <x:row r="216">
      <x:c r="A216" s="13"/>
      <x:c r="B216" s="15"/>
      <x:c r="C216" s="7"/>
      <x:c r="D216" s="7"/>
      <x:c r="E216" s="7"/>
      <x:c r="F216" s="7"/>
      <x:c r="G216" s="16"/>
      <x:c r="H216" s="16"/>
      <x:c r="I216" s="9"/>
      <x:c r="J216" s="10"/>
      <x:c r="K216" s="7"/>
      <x:c r="L216" s="7"/>
      <x:c r="M216" s="7"/>
      <x:c r="N216" s="7"/>
      <x:c r="O216" s="9" t="str">
        <x:f>IF($A216="","",MAX(0,$G216*$H216*(1-$J216/100)))</x:f>
      </x:c>
    </x:row>
    <x:row r="217">
      <x:c r="A217" s="13"/>
      <x:c r="B217" s="15"/>
      <x:c r="C217" s="7"/>
      <x:c r="D217" s="7"/>
      <x:c r="E217" s="7"/>
      <x:c r="F217" s="7"/>
      <x:c r="G217" s="16"/>
      <x:c r="H217" s="16"/>
      <x:c r="I217" s="9"/>
      <x:c r="J217" s="10"/>
      <x:c r="K217" s="7"/>
      <x:c r="L217" s="7"/>
      <x:c r="M217" s="7"/>
      <x:c r="N217" s="7"/>
      <x:c r="O217" s="9" t="str">
        <x:f>IF($A217="","",MAX(0,$G217*$H217*(1-$J217/100)))</x:f>
      </x:c>
    </x:row>
    <x:row r="218">
      <x:c r="A218" s="13"/>
      <x:c r="B218" s="15"/>
      <x:c r="C218" s="7"/>
      <x:c r="D218" s="7"/>
      <x:c r="E218" s="7"/>
      <x:c r="F218" s="7"/>
      <x:c r="G218" s="16"/>
      <x:c r="H218" s="16"/>
      <x:c r="I218" s="9"/>
      <x:c r="J218" s="10"/>
      <x:c r="K218" s="7"/>
      <x:c r="L218" s="7"/>
      <x:c r="M218" s="7"/>
      <x:c r="N218" s="7"/>
      <x:c r="O218" s="9" t="str">
        <x:f>IF($A218="","",MAX(0,$G218*$H218*(1-$J218/100)))</x:f>
      </x:c>
    </x:row>
    <x:row r="219">
      <x:c r="A219" s="13"/>
      <x:c r="B219" s="15"/>
      <x:c r="C219" s="7"/>
      <x:c r="D219" s="7"/>
      <x:c r="E219" s="7"/>
      <x:c r="F219" s="7"/>
      <x:c r="G219" s="16"/>
      <x:c r="H219" s="16"/>
      <x:c r="I219" s="9"/>
      <x:c r="J219" s="10"/>
      <x:c r="K219" s="7"/>
      <x:c r="L219" s="7"/>
      <x:c r="M219" s="7"/>
      <x:c r="N219" s="7"/>
      <x:c r="O219" s="9" t="str">
        <x:f>IF($A219="","",MAX(0,$G219*$H219*(1-$J219/100)))</x:f>
      </x:c>
    </x:row>
    <x:row r="220">
      <x:c r="A220" s="13"/>
      <x:c r="B220" s="15"/>
      <x:c r="C220" s="7"/>
      <x:c r="D220" s="7"/>
      <x:c r="E220" s="7"/>
      <x:c r="F220" s="7"/>
      <x:c r="G220" s="16"/>
      <x:c r="H220" s="16"/>
      <x:c r="I220" s="9"/>
      <x:c r="J220" s="10"/>
      <x:c r="K220" s="7"/>
      <x:c r="L220" s="7"/>
      <x:c r="M220" s="7"/>
      <x:c r="N220" s="7"/>
      <x:c r="O220" s="9" t="str">
        <x:f>IF($A220="","",MAX(0,$G220*$H220*(1-$J220/100)))</x:f>
      </x:c>
    </x:row>
    <x:row r="221">
      <x:c r="A221" s="13"/>
      <x:c r="B221" s="15"/>
      <x:c r="C221" s="7"/>
      <x:c r="D221" s="7"/>
      <x:c r="E221" s="7"/>
      <x:c r="F221" s="7"/>
      <x:c r="G221" s="16"/>
      <x:c r="H221" s="16"/>
      <x:c r="I221" s="9"/>
      <x:c r="J221" s="10"/>
      <x:c r="K221" s="7"/>
      <x:c r="L221" s="7"/>
      <x:c r="M221" s="7"/>
      <x:c r="N221" s="7"/>
      <x:c r="O221" s="9" t="str">
        <x:f>IF($A221="","",MAX(0,$G221*$H221*(1-$J221/100)))</x:f>
      </x:c>
    </x:row>
    <x:row r="222">
      <x:c r="A222" s="13"/>
      <x:c r="B222" s="15"/>
      <x:c r="C222" s="7"/>
      <x:c r="D222" s="7"/>
      <x:c r="E222" s="7"/>
      <x:c r="F222" s="7"/>
      <x:c r="G222" s="16"/>
      <x:c r="H222" s="16"/>
      <x:c r="I222" s="9"/>
      <x:c r="J222" s="10"/>
      <x:c r="K222" s="7"/>
      <x:c r="L222" s="7"/>
      <x:c r="M222" s="7"/>
      <x:c r="N222" s="7"/>
      <x:c r="O222" s="9" t="str">
        <x:f>IF($A222="","",MAX(0,$G222*$H222*(1-$J222/100)))</x:f>
      </x:c>
    </x:row>
    <x:row r="223">
      <x:c r="A223" s="13"/>
      <x:c r="B223" s="15"/>
      <x:c r="C223" s="7"/>
      <x:c r="D223" s="7"/>
      <x:c r="E223" s="7"/>
      <x:c r="F223" s="7"/>
      <x:c r="G223" s="16"/>
      <x:c r="H223" s="16"/>
      <x:c r="I223" s="9"/>
      <x:c r="J223" s="10"/>
      <x:c r="K223" s="7"/>
      <x:c r="L223" s="7"/>
      <x:c r="M223" s="7"/>
      <x:c r="N223" s="7"/>
      <x:c r="O223" s="9" t="str">
        <x:f>IF($A223="","",MAX(0,$G223*$H223*(1-$J223/100)))</x:f>
      </x:c>
    </x:row>
    <x:row r="224">
      <x:c r="A224" s="13"/>
      <x:c r="B224" s="15"/>
      <x:c r="C224" s="7"/>
      <x:c r="D224" s="7"/>
      <x:c r="E224" s="7"/>
      <x:c r="F224" s="7"/>
      <x:c r="G224" s="16"/>
      <x:c r="H224" s="16"/>
      <x:c r="I224" s="9"/>
      <x:c r="J224" s="10"/>
      <x:c r="K224" s="7"/>
      <x:c r="L224" s="7"/>
      <x:c r="M224" s="7"/>
      <x:c r="N224" s="7"/>
      <x:c r="O224" s="9" t="str">
        <x:f>IF($A224="","",MAX(0,$G224*$H224*(1-$J224/100)))</x:f>
      </x:c>
    </x:row>
    <x:row r="225">
      <x:c r="A225" s="13"/>
      <x:c r="B225" s="15"/>
      <x:c r="C225" s="7"/>
      <x:c r="D225" s="7"/>
      <x:c r="E225" s="7"/>
      <x:c r="F225" s="7"/>
      <x:c r="G225" s="16"/>
      <x:c r="H225" s="16"/>
      <x:c r="I225" s="9"/>
      <x:c r="J225" s="10"/>
      <x:c r="K225" s="7"/>
      <x:c r="L225" s="7"/>
      <x:c r="M225" s="7"/>
      <x:c r="N225" s="7"/>
      <x:c r="O225" s="9" t="str">
        <x:f>IF($A225="","",MAX(0,$G225*$H225*(1-$J225/100)))</x:f>
      </x:c>
    </x:row>
    <x:row r="226">
      <x:c r="A226" s="13"/>
      <x:c r="B226" s="15"/>
      <x:c r="C226" s="7"/>
      <x:c r="D226" s="7"/>
      <x:c r="E226" s="7"/>
      <x:c r="F226" s="7"/>
      <x:c r="G226" s="16"/>
      <x:c r="H226" s="16"/>
      <x:c r="I226" s="9"/>
      <x:c r="J226" s="10"/>
      <x:c r="K226" s="7"/>
      <x:c r="L226" s="7"/>
      <x:c r="M226" s="7"/>
      <x:c r="N226" s="7"/>
      <x:c r="O226" s="9" t="str">
        <x:f>IF($A226="","",MAX(0,$G226*$H226*(1-$J226/100)))</x:f>
      </x:c>
    </x:row>
    <x:row r="227">
      <x:c r="A227" s="13"/>
      <x:c r="B227" s="15"/>
      <x:c r="C227" s="7"/>
      <x:c r="D227" s="7"/>
      <x:c r="E227" s="7"/>
      <x:c r="F227" s="7"/>
      <x:c r="G227" s="16"/>
      <x:c r="H227" s="16"/>
      <x:c r="I227" s="9"/>
      <x:c r="J227" s="10"/>
      <x:c r="K227" s="7"/>
      <x:c r="L227" s="7"/>
      <x:c r="M227" s="7"/>
      <x:c r="N227" s="7"/>
      <x:c r="O227" s="9" t="str">
        <x:f>IF($A227="","",MAX(0,$G227*$H227*(1-$J227/100)))</x:f>
      </x:c>
    </x:row>
    <x:row r="228">
      <x:c r="A228" s="13"/>
      <x:c r="B228" s="15"/>
      <x:c r="C228" s="7"/>
      <x:c r="D228" s="7"/>
      <x:c r="E228" s="7"/>
      <x:c r="F228" s="7"/>
      <x:c r="G228" s="16"/>
      <x:c r="H228" s="16"/>
      <x:c r="I228" s="9"/>
      <x:c r="J228" s="10"/>
      <x:c r="K228" s="7"/>
      <x:c r="L228" s="7"/>
      <x:c r="M228" s="7"/>
      <x:c r="N228" s="7"/>
      <x:c r="O228" s="9" t="str">
        <x:f>IF($A228="","",MAX(0,$G228*$H228*(1-$J228/100)))</x:f>
      </x:c>
    </x:row>
    <x:row r="229">
      <x:c r="A229" s="13"/>
      <x:c r="B229" s="15"/>
      <x:c r="C229" s="7"/>
      <x:c r="D229" s="7"/>
      <x:c r="E229" s="7"/>
      <x:c r="F229" s="7"/>
      <x:c r="G229" s="16"/>
      <x:c r="H229" s="16"/>
      <x:c r="I229" s="9"/>
      <x:c r="J229" s="10"/>
      <x:c r="K229" s="7"/>
      <x:c r="L229" s="7"/>
      <x:c r="M229" s="7"/>
      <x:c r="N229" s="7"/>
      <x:c r="O229" s="9" t="str">
        <x:f>IF($A229="","",MAX(0,$G229*$H229*(1-$J229/100)))</x:f>
      </x:c>
    </x:row>
    <x:row r="230">
      <x:c r="A230" s="13"/>
      <x:c r="B230" s="15"/>
      <x:c r="C230" s="7"/>
      <x:c r="D230" s="7"/>
      <x:c r="E230" s="7"/>
      <x:c r="F230" s="7"/>
      <x:c r="G230" s="16"/>
      <x:c r="H230" s="16"/>
      <x:c r="I230" s="9"/>
      <x:c r="J230" s="10"/>
      <x:c r="K230" s="7"/>
      <x:c r="L230" s="7"/>
      <x:c r="M230" s="7"/>
      <x:c r="N230" s="7"/>
      <x:c r="O230" s="9" t="str">
        <x:f>IF($A230="","",MAX(0,$G230*$H230*(1-$J230/100)))</x:f>
      </x:c>
    </x:row>
    <x:row r="231">
      <x:c r="A231" s="13"/>
      <x:c r="B231" s="15"/>
      <x:c r="C231" s="7"/>
      <x:c r="D231" s="7"/>
      <x:c r="E231" s="7"/>
      <x:c r="F231" s="7"/>
      <x:c r="G231" s="16"/>
      <x:c r="H231" s="16"/>
      <x:c r="I231" s="9"/>
      <x:c r="J231" s="10"/>
      <x:c r="K231" s="7"/>
      <x:c r="L231" s="7"/>
      <x:c r="M231" s="7"/>
      <x:c r="N231" s="7"/>
      <x:c r="O231" s="9" t="str">
        <x:f>IF($A231="","",MAX(0,$G231*$H231*(1-$J231/100)))</x:f>
      </x:c>
    </x:row>
    <x:row r="232">
      <x:c r="A232" s="13"/>
      <x:c r="B232" s="15"/>
      <x:c r="C232" s="7"/>
      <x:c r="D232" s="7"/>
      <x:c r="E232" s="7"/>
      <x:c r="F232" s="7"/>
      <x:c r="G232" s="16"/>
      <x:c r="H232" s="16"/>
      <x:c r="I232" s="9"/>
      <x:c r="J232" s="10"/>
      <x:c r="K232" s="7"/>
      <x:c r="L232" s="7"/>
      <x:c r="M232" s="7"/>
      <x:c r="N232" s="7"/>
      <x:c r="O232" s="9" t="str">
        <x:f>IF($A232="","",MAX(0,$G232*$H232*(1-$J232/100)))</x:f>
      </x:c>
    </x:row>
    <x:row r="233">
      <x:c r="A233" s="13"/>
      <x:c r="B233" s="15"/>
      <x:c r="C233" s="7"/>
      <x:c r="D233" s="7"/>
      <x:c r="E233" s="7"/>
      <x:c r="F233" s="7"/>
      <x:c r="G233" s="16"/>
      <x:c r="H233" s="16"/>
      <x:c r="I233" s="9"/>
      <x:c r="J233" s="10"/>
      <x:c r="K233" s="7"/>
      <x:c r="L233" s="7"/>
      <x:c r="M233" s="7"/>
      <x:c r="N233" s="7"/>
      <x:c r="O233" s="9" t="str">
        <x:f>IF($A233="","",MAX(0,$G233*$H233*(1-$J233/100)))</x:f>
      </x:c>
    </x:row>
    <x:row r="234">
      <x:c r="A234" s="13"/>
      <x:c r="B234" s="15"/>
      <x:c r="C234" s="7"/>
      <x:c r="D234" s="7"/>
      <x:c r="E234" s="7"/>
      <x:c r="F234" s="7"/>
      <x:c r="G234" s="16"/>
      <x:c r="H234" s="16"/>
      <x:c r="I234" s="9"/>
      <x:c r="J234" s="10"/>
      <x:c r="K234" s="7"/>
      <x:c r="L234" s="7"/>
      <x:c r="M234" s="7"/>
      <x:c r="N234" s="7"/>
      <x:c r="O234" s="9" t="str">
        <x:f>IF($A234="","",MAX(0,$G234*$H234*(1-$J234/100)))</x:f>
      </x:c>
    </x:row>
    <x:row r="235">
      <x:c r="A235" s="13"/>
      <x:c r="B235" s="15"/>
      <x:c r="C235" s="7"/>
      <x:c r="D235" s="7"/>
      <x:c r="E235" s="7"/>
      <x:c r="F235" s="7"/>
      <x:c r="G235" s="16"/>
      <x:c r="H235" s="16"/>
      <x:c r="I235" s="9"/>
      <x:c r="J235" s="10"/>
      <x:c r="K235" s="7"/>
      <x:c r="L235" s="7"/>
      <x:c r="M235" s="7"/>
      <x:c r="N235" s="7"/>
      <x:c r="O235" s="9" t="str">
        <x:f>IF($A235="","",MAX(0,$G235*$H235*(1-$J235/100)))</x:f>
      </x:c>
    </x:row>
    <x:row r="236">
      <x:c r="A236" s="13"/>
      <x:c r="B236" s="15"/>
      <x:c r="C236" s="7"/>
      <x:c r="D236" s="7"/>
      <x:c r="E236" s="7"/>
      <x:c r="F236" s="7"/>
      <x:c r="G236" s="16"/>
      <x:c r="H236" s="16"/>
      <x:c r="I236" s="9"/>
      <x:c r="J236" s="10"/>
      <x:c r="K236" s="7"/>
      <x:c r="L236" s="7"/>
      <x:c r="M236" s="7"/>
      <x:c r="N236" s="7"/>
      <x:c r="O236" s="9" t="str">
        <x:f>IF($A236="","",MAX(0,$G236*$H236*(1-$J236/100)))</x:f>
      </x:c>
    </x:row>
    <x:row r="237">
      <x:c r="A237" s="13"/>
      <x:c r="B237" s="15"/>
      <x:c r="C237" s="7"/>
      <x:c r="D237" s="7"/>
      <x:c r="E237" s="7"/>
      <x:c r="F237" s="7"/>
      <x:c r="G237" s="16"/>
      <x:c r="H237" s="16"/>
      <x:c r="I237" s="9"/>
      <x:c r="J237" s="10"/>
      <x:c r="K237" s="7"/>
      <x:c r="L237" s="7"/>
      <x:c r="M237" s="7"/>
      <x:c r="N237" s="7"/>
      <x:c r="O237" s="9" t="str">
        <x:f>IF($A237="","",MAX(0,$G237*$H237*(1-$J237/100)))</x:f>
      </x:c>
    </x:row>
    <x:row r="238">
      <x:c r="A238" s="13"/>
      <x:c r="B238" s="15"/>
      <x:c r="C238" s="7"/>
      <x:c r="D238" s="7"/>
      <x:c r="E238" s="7"/>
      <x:c r="F238" s="7"/>
      <x:c r="G238" s="16"/>
      <x:c r="H238" s="16"/>
      <x:c r="I238" s="9"/>
      <x:c r="J238" s="10"/>
      <x:c r="K238" s="7"/>
      <x:c r="L238" s="7"/>
      <x:c r="M238" s="7"/>
      <x:c r="N238" s="7"/>
      <x:c r="O238" s="9" t="str">
        <x:f>IF($A238="","",MAX(0,$G238*$H238*(1-$J238/100)))</x:f>
      </x:c>
    </x:row>
    <x:row r="239">
      <x:c r="A239" s="13"/>
      <x:c r="B239" s="15"/>
      <x:c r="C239" s="7"/>
      <x:c r="D239" s="7"/>
      <x:c r="E239" s="7"/>
      <x:c r="F239" s="7"/>
      <x:c r="G239" s="16"/>
      <x:c r="H239" s="16"/>
      <x:c r="I239" s="9"/>
      <x:c r="J239" s="10"/>
      <x:c r="K239" s="7"/>
      <x:c r="L239" s="7"/>
      <x:c r="M239" s="7"/>
      <x:c r="N239" s="7"/>
      <x:c r="O239" s="9" t="str">
        <x:f>IF($A239="","",MAX(0,$G239*$H239*(1-$J239/100)))</x:f>
      </x:c>
    </x:row>
    <x:row r="240">
      <x:c r="A240" s="13"/>
      <x:c r="B240" s="15"/>
      <x:c r="C240" s="7"/>
      <x:c r="D240" s="7"/>
      <x:c r="E240" s="7"/>
      <x:c r="F240" s="7"/>
      <x:c r="G240" s="16"/>
      <x:c r="H240" s="16"/>
      <x:c r="I240" s="9"/>
      <x:c r="J240" s="10"/>
      <x:c r="K240" s="7"/>
      <x:c r="L240" s="7"/>
      <x:c r="M240" s="7"/>
      <x:c r="N240" s="7"/>
      <x:c r="O240" s="9" t="str">
        <x:f>IF($A240="","",MAX(0,$G240*$H240*(1-$J240/100)))</x:f>
      </x:c>
    </x:row>
    <x:row r="241">
      <x:c r="A241" s="13"/>
      <x:c r="B241" s="15"/>
      <x:c r="C241" s="7"/>
      <x:c r="D241" s="7"/>
      <x:c r="E241" s="7"/>
      <x:c r="F241" s="7"/>
      <x:c r="G241" s="16"/>
      <x:c r="H241" s="16"/>
      <x:c r="I241" s="9"/>
      <x:c r="J241" s="10"/>
      <x:c r="K241" s="7"/>
      <x:c r="L241" s="7"/>
      <x:c r="M241" s="7"/>
      <x:c r="N241" s="7"/>
      <x:c r="O241" s="9" t="str">
        <x:f>IF($A241="","",MAX(0,$G241*$H241*(1-$J241/100)))</x:f>
      </x:c>
    </x:row>
    <x:row r="242">
      <x:c r="A242" s="13"/>
      <x:c r="B242" s="15"/>
      <x:c r="C242" s="7"/>
      <x:c r="D242" s="7"/>
      <x:c r="E242" s="7"/>
      <x:c r="F242" s="7"/>
      <x:c r="G242" s="16"/>
      <x:c r="H242" s="16"/>
      <x:c r="I242" s="9"/>
      <x:c r="J242" s="10"/>
      <x:c r="K242" s="7"/>
      <x:c r="L242" s="7"/>
      <x:c r="M242" s="7"/>
      <x:c r="N242" s="7"/>
      <x:c r="O242" s="9" t="str">
        <x:f>IF($A242="","",MAX(0,$G242*$H242*(1-$J242/100)))</x:f>
      </x:c>
    </x:row>
    <x:row r="243">
      <x:c r="A243" s="13"/>
      <x:c r="B243" s="15"/>
      <x:c r="C243" s="7"/>
      <x:c r="D243" s="7"/>
      <x:c r="E243" s="7"/>
      <x:c r="F243" s="7"/>
      <x:c r="G243" s="16"/>
      <x:c r="H243" s="16"/>
      <x:c r="I243" s="9"/>
      <x:c r="J243" s="10"/>
      <x:c r="K243" s="7"/>
      <x:c r="L243" s="7"/>
      <x:c r="M243" s="7"/>
      <x:c r="N243" s="7"/>
      <x:c r="O243" s="9" t="str">
        <x:f>IF($A243="","",MAX(0,$G243*$H243*(1-$J243/100)))</x:f>
      </x:c>
    </x:row>
    <x:row r="244">
      <x:c r="A244" s="13"/>
      <x:c r="B244" s="15"/>
      <x:c r="C244" s="7"/>
      <x:c r="D244" s="7"/>
      <x:c r="E244" s="7"/>
      <x:c r="F244" s="7"/>
      <x:c r="G244" s="16"/>
      <x:c r="H244" s="16"/>
      <x:c r="I244" s="9"/>
      <x:c r="J244" s="10"/>
      <x:c r="K244" s="7"/>
      <x:c r="L244" s="7"/>
      <x:c r="M244" s="7"/>
      <x:c r="N244" s="7"/>
      <x:c r="O244" s="9" t="str">
        <x:f>IF($A244="","",MAX(0,$G244*$H244*(1-$J244/100)))</x:f>
      </x:c>
    </x:row>
    <x:row r="245">
      <x:c r="A245" s="13"/>
      <x:c r="B245" s="15"/>
      <x:c r="C245" s="7"/>
      <x:c r="D245" s="7"/>
      <x:c r="E245" s="7"/>
      <x:c r="F245" s="7"/>
      <x:c r="G245" s="16"/>
      <x:c r="H245" s="16"/>
      <x:c r="I245" s="9"/>
      <x:c r="J245" s="10"/>
      <x:c r="K245" s="7"/>
      <x:c r="L245" s="7"/>
      <x:c r="M245" s="7"/>
      <x:c r="N245" s="7"/>
      <x:c r="O245" s="9" t="str">
        <x:f>IF($A245="","",MAX(0,$G245*$H245*(1-$J245/100)))</x:f>
      </x:c>
    </x:row>
    <x:row r="246">
      <x:c r="A246" s="13"/>
      <x:c r="B246" s="15"/>
      <x:c r="C246" s="7"/>
      <x:c r="D246" s="7"/>
      <x:c r="E246" s="7"/>
      <x:c r="F246" s="7"/>
      <x:c r="G246" s="16"/>
      <x:c r="H246" s="16"/>
      <x:c r="I246" s="9"/>
      <x:c r="J246" s="10"/>
      <x:c r="K246" s="7"/>
      <x:c r="L246" s="7"/>
      <x:c r="M246" s="7"/>
      <x:c r="N246" s="7"/>
      <x:c r="O246" s="9" t="str">
        <x:f>IF($A246="","",MAX(0,$G246*$H246*(1-$J246/100)))</x:f>
      </x:c>
    </x:row>
    <x:row r="247">
      <x:c r="A247" s="13"/>
      <x:c r="B247" s="15"/>
      <x:c r="C247" s="7"/>
      <x:c r="D247" s="7"/>
      <x:c r="E247" s="7"/>
      <x:c r="F247" s="7"/>
      <x:c r="G247" s="16"/>
      <x:c r="H247" s="16"/>
      <x:c r="I247" s="9"/>
      <x:c r="J247" s="10"/>
      <x:c r="K247" s="7"/>
      <x:c r="L247" s="7"/>
      <x:c r="M247" s="7"/>
      <x:c r="N247" s="7"/>
      <x:c r="O247" s="9" t="str">
        <x:f>IF($A247="","",MAX(0,$G247*$H247*(1-$J247/100)))</x:f>
      </x:c>
    </x:row>
    <x:row r="248">
      <x:c r="A248" s="13"/>
      <x:c r="B248" s="15"/>
      <x:c r="C248" s="7"/>
      <x:c r="D248" s="7"/>
      <x:c r="E248" s="7"/>
      <x:c r="F248" s="7"/>
      <x:c r="G248" s="16"/>
      <x:c r="H248" s="16"/>
      <x:c r="I248" s="9"/>
      <x:c r="J248" s="10"/>
      <x:c r="K248" s="7"/>
      <x:c r="L248" s="7"/>
      <x:c r="M248" s="7"/>
      <x:c r="N248" s="7"/>
      <x:c r="O248" s="9" t="str">
        <x:f>IF($A248="","",MAX(0,$G248*$H248*(1-$J248/100)))</x:f>
      </x:c>
    </x:row>
    <x:row r="249">
      <x:c r="A249" s="13"/>
      <x:c r="B249" s="15"/>
      <x:c r="C249" s="7"/>
      <x:c r="D249" s="7"/>
      <x:c r="E249" s="7"/>
      <x:c r="F249" s="7"/>
      <x:c r="G249" s="16"/>
      <x:c r="H249" s="16"/>
      <x:c r="I249" s="9"/>
      <x:c r="J249" s="10"/>
      <x:c r="K249" s="7"/>
      <x:c r="L249" s="7"/>
      <x:c r="M249" s="7"/>
      <x:c r="N249" s="7"/>
      <x:c r="O249" s="9" t="str">
        <x:f>IF($A249="","",MAX(0,$G249*$H249*(1-$J249/100)))</x:f>
      </x:c>
    </x:row>
    <x:row r="250">
      <x:c r="A250" s="13"/>
      <x:c r="B250" s="15"/>
      <x:c r="C250" s="7"/>
      <x:c r="D250" s="7"/>
      <x:c r="E250" s="7"/>
      <x:c r="F250" s="7"/>
      <x:c r="G250" s="16"/>
      <x:c r="H250" s="16"/>
      <x:c r="I250" s="9"/>
      <x:c r="J250" s="10"/>
      <x:c r="K250" s="7"/>
      <x:c r="L250" s="7"/>
      <x:c r="M250" s="7"/>
      <x:c r="N250" s="7"/>
      <x:c r="O250" s="9" t="str">
        <x:f>IF($A250="","",MAX(0,$G250*$H250*(1-$J250/100)))</x:f>
      </x:c>
    </x:row>
    <x:row r="251">
      <x:c r="A251" s="13"/>
      <x:c r="B251" s="15"/>
      <x:c r="C251" s="7"/>
      <x:c r="D251" s="7"/>
      <x:c r="E251" s="7"/>
      <x:c r="F251" s="7"/>
      <x:c r="G251" s="16"/>
      <x:c r="H251" s="16"/>
      <x:c r="I251" s="9"/>
      <x:c r="J251" s="10"/>
      <x:c r="K251" s="7"/>
      <x:c r="L251" s="7"/>
      <x:c r="M251" s="7"/>
      <x:c r="N251" s="7"/>
      <x:c r="O251" s="9" t="str">
        <x:f>IF($A251="","",MAX(0,$G251*$H251*(1-$J251/100)))</x:f>
      </x:c>
    </x:row>
    <x:row r="252">
      <x:c r="A252" s="13"/>
      <x:c r="B252" s="15"/>
      <x:c r="C252" s="7"/>
      <x:c r="D252" s="7"/>
      <x:c r="E252" s="7"/>
      <x:c r="F252" s="7"/>
      <x:c r="G252" s="16"/>
      <x:c r="H252" s="16"/>
      <x:c r="I252" s="9"/>
      <x:c r="J252" s="10"/>
      <x:c r="K252" s="7"/>
      <x:c r="L252" s="7"/>
      <x:c r="M252" s="7"/>
      <x:c r="N252" s="7"/>
      <x:c r="O252" s="9" t="str">
        <x:f>IF($A252="","",MAX(0,$G252*$H252*(1-$J252/100)))</x:f>
      </x:c>
    </x:row>
    <x:row r="253">
      <x:c r="A253" s="13"/>
      <x:c r="B253" s="15"/>
      <x:c r="C253" s="7"/>
      <x:c r="D253" s="7"/>
      <x:c r="E253" s="7"/>
      <x:c r="F253" s="7"/>
      <x:c r="G253" s="16"/>
      <x:c r="H253" s="16"/>
      <x:c r="I253" s="9"/>
      <x:c r="J253" s="10"/>
      <x:c r="K253" s="7"/>
      <x:c r="L253" s="7"/>
      <x:c r="M253" s="7"/>
      <x:c r="N253" s="7"/>
      <x:c r="O253" s="9" t="str">
        <x:f>IF($A253="","",MAX(0,$G253*$H253*(1-$J253/100)))</x:f>
      </x:c>
    </x:row>
    <x:row r="254">
      <x:c r="A254" s="13"/>
      <x:c r="B254" s="15"/>
      <x:c r="C254" s="7"/>
      <x:c r="D254" s="7"/>
      <x:c r="E254" s="7"/>
      <x:c r="F254" s="7"/>
      <x:c r="G254" s="16"/>
      <x:c r="H254" s="16"/>
      <x:c r="I254" s="9"/>
      <x:c r="J254" s="10"/>
      <x:c r="K254" s="7"/>
      <x:c r="L254" s="7"/>
      <x:c r="M254" s="7"/>
      <x:c r="N254" s="7"/>
      <x:c r="O254" s="9" t="str">
        <x:f>IF($A254="","",MAX(0,$G254*$H254*(1-$J254/100)))</x:f>
      </x:c>
    </x:row>
    <x:row r="255">
      <x:c r="A255" s="13"/>
      <x:c r="B255" s="15"/>
      <x:c r="C255" s="7"/>
      <x:c r="D255" s="7"/>
      <x:c r="E255" s="7"/>
      <x:c r="F255" s="7"/>
      <x:c r="G255" s="16"/>
      <x:c r="H255" s="16"/>
      <x:c r="I255" s="9"/>
      <x:c r="J255" s="10"/>
      <x:c r="K255" s="7"/>
      <x:c r="L255" s="7"/>
      <x:c r="M255" s="7"/>
      <x:c r="N255" s="7"/>
      <x:c r="O255" s="9" t="str">
        <x:f>IF($A255="","",MAX(0,$G255*$H255*(1-$J255/100)))</x:f>
      </x:c>
    </x:row>
    <x:row r="256">
      <x:c r="A256" s="13"/>
      <x:c r="B256" s="15"/>
      <x:c r="C256" s="7"/>
      <x:c r="D256" s="7"/>
      <x:c r="E256" s="7"/>
      <x:c r="F256" s="7"/>
      <x:c r="G256" s="16"/>
      <x:c r="H256" s="16"/>
      <x:c r="I256" s="9"/>
      <x:c r="J256" s="10"/>
      <x:c r="K256" s="7"/>
      <x:c r="L256" s="7"/>
      <x:c r="M256" s="7"/>
      <x:c r="N256" s="7"/>
      <x:c r="O256" s="9" t="str">
        <x:f>IF($A256="","",MAX(0,$G256*$H256*(1-$J256/100)))</x:f>
      </x:c>
    </x:row>
    <x:row r="257">
      <x:c r="A257" s="13"/>
      <x:c r="B257" s="15"/>
      <x:c r="C257" s="7"/>
      <x:c r="D257" s="7"/>
      <x:c r="E257" s="7"/>
      <x:c r="F257" s="7"/>
      <x:c r="G257" s="16"/>
      <x:c r="H257" s="16"/>
      <x:c r="I257" s="9"/>
      <x:c r="J257" s="10"/>
      <x:c r="K257" s="7"/>
      <x:c r="L257" s="7"/>
      <x:c r="M257" s="7"/>
      <x:c r="N257" s="7"/>
      <x:c r="O257" s="9" t="str">
        <x:f>IF($A257="","",MAX(0,$G257*$H257*(1-$J257/100)))</x:f>
      </x:c>
    </x:row>
    <x:row r="258">
      <x:c r="A258" s="13"/>
      <x:c r="B258" s="15"/>
      <x:c r="C258" s="7"/>
      <x:c r="D258" s="7"/>
      <x:c r="E258" s="7"/>
      <x:c r="F258" s="7"/>
      <x:c r="G258" s="16"/>
      <x:c r="H258" s="16"/>
      <x:c r="I258" s="9"/>
      <x:c r="J258" s="10"/>
      <x:c r="K258" s="7"/>
      <x:c r="L258" s="7"/>
      <x:c r="M258" s="7"/>
      <x:c r="N258" s="7"/>
      <x:c r="O258" s="9" t="str">
        <x:f>IF($A258="","",MAX(0,$G258*$H258*(1-$J258/100)))</x:f>
      </x:c>
    </x:row>
    <x:row r="259">
      <x:c r="A259" s="13"/>
      <x:c r="B259" s="15"/>
      <x:c r="C259" s="7"/>
      <x:c r="D259" s="7"/>
      <x:c r="E259" s="7"/>
      <x:c r="F259" s="7"/>
      <x:c r="G259" s="16"/>
      <x:c r="H259" s="16"/>
      <x:c r="I259" s="9"/>
      <x:c r="J259" s="10"/>
      <x:c r="K259" s="7"/>
      <x:c r="L259" s="7"/>
      <x:c r="M259" s="7"/>
      <x:c r="N259" s="7"/>
      <x:c r="O259" s="9" t="str">
        <x:f>IF($A259="","",MAX(0,$G259*$H259*(1-$J259/100)))</x:f>
      </x:c>
    </x:row>
    <x:row r="260">
      <x:c r="A260" s="13"/>
      <x:c r="B260" s="15"/>
      <x:c r="C260" s="7"/>
      <x:c r="D260" s="7"/>
      <x:c r="E260" s="7"/>
      <x:c r="F260" s="7"/>
      <x:c r="G260" s="16"/>
      <x:c r="H260" s="16"/>
      <x:c r="I260" s="9"/>
      <x:c r="J260" s="10"/>
      <x:c r="K260" s="7"/>
      <x:c r="L260" s="7"/>
      <x:c r="M260" s="7"/>
      <x:c r="N260" s="7"/>
      <x:c r="O260" s="9" t="str">
        <x:f>IF($A260="","",MAX(0,$G260*$H260*(1-$J260/100)))</x:f>
      </x:c>
    </x:row>
    <x:row r="261">
      <x:c r="A261" s="13"/>
      <x:c r="B261" s="15"/>
      <x:c r="C261" s="7"/>
      <x:c r="D261" s="7"/>
      <x:c r="E261" s="7"/>
      <x:c r="F261" s="7"/>
      <x:c r="G261" s="16"/>
      <x:c r="H261" s="16"/>
      <x:c r="I261" s="9"/>
      <x:c r="J261" s="10"/>
      <x:c r="K261" s="7"/>
      <x:c r="L261" s="7"/>
      <x:c r="M261" s="7"/>
      <x:c r="N261" s="7"/>
      <x:c r="O261" s="9" t="str">
        <x:f>IF($A261="","",MAX(0,$G261*$H261*(1-$J261/100)))</x:f>
      </x:c>
    </x:row>
    <x:row r="262">
      <x:c r="A262" s="13"/>
      <x:c r="B262" s="15"/>
      <x:c r="C262" s="7"/>
      <x:c r="D262" s="7"/>
      <x:c r="E262" s="7"/>
      <x:c r="F262" s="7"/>
      <x:c r="G262" s="16"/>
      <x:c r="H262" s="16"/>
      <x:c r="I262" s="9"/>
      <x:c r="J262" s="10"/>
      <x:c r="K262" s="7"/>
      <x:c r="L262" s="7"/>
      <x:c r="M262" s="7"/>
      <x:c r="N262" s="7"/>
      <x:c r="O262" s="9" t="str">
        <x:f>IF($A262="","",MAX(0,$G262*$H262*(1-$J262/100)))</x:f>
      </x:c>
    </x:row>
    <x:row r="263">
      <x:c r="A263" s="13"/>
      <x:c r="B263" s="15"/>
      <x:c r="C263" s="7"/>
      <x:c r="D263" s="7"/>
      <x:c r="E263" s="7"/>
      <x:c r="F263" s="7"/>
      <x:c r="G263" s="16"/>
      <x:c r="H263" s="16"/>
      <x:c r="I263" s="9"/>
      <x:c r="J263" s="10"/>
      <x:c r="K263" s="7"/>
      <x:c r="L263" s="7"/>
      <x:c r="M263" s="7"/>
      <x:c r="N263" s="7"/>
      <x:c r="O263" s="9" t="str">
        <x:f>IF($A263="","",MAX(0,$G263*$H263*(1-$J263/100)))</x:f>
      </x:c>
    </x:row>
    <x:row r="264">
      <x:c r="A264" s="13"/>
      <x:c r="B264" s="15"/>
      <x:c r="C264" s="7"/>
      <x:c r="D264" s="7"/>
      <x:c r="E264" s="7"/>
      <x:c r="F264" s="7"/>
      <x:c r="G264" s="16"/>
      <x:c r="H264" s="16"/>
      <x:c r="I264" s="9"/>
      <x:c r="J264" s="10"/>
      <x:c r="K264" s="7"/>
      <x:c r="L264" s="7"/>
      <x:c r="M264" s="7"/>
      <x:c r="N264" s="7"/>
      <x:c r="O264" s="9" t="str">
        <x:f>IF($A264="","",MAX(0,$G264*$H264*(1-$J264/100)))</x:f>
      </x:c>
    </x:row>
    <x:row r="265">
      <x:c r="A265" s="13"/>
      <x:c r="B265" s="15"/>
      <x:c r="C265" s="7"/>
      <x:c r="D265" s="7"/>
      <x:c r="E265" s="7"/>
      <x:c r="F265" s="7"/>
      <x:c r="G265" s="16"/>
      <x:c r="H265" s="16"/>
      <x:c r="I265" s="9"/>
      <x:c r="J265" s="10"/>
      <x:c r="K265" s="7"/>
      <x:c r="L265" s="7"/>
      <x:c r="M265" s="7"/>
      <x:c r="N265" s="7"/>
      <x:c r="O265" s="9" t="str">
        <x:f>IF($A265="","",MAX(0,$G265*$H265*(1-$J265/100)))</x:f>
      </x:c>
    </x:row>
    <x:row r="266">
      <x:c r="A266" s="13"/>
      <x:c r="B266" s="15"/>
      <x:c r="C266" s="7"/>
      <x:c r="D266" s="7"/>
      <x:c r="E266" s="7"/>
      <x:c r="F266" s="7"/>
      <x:c r="G266" s="16"/>
      <x:c r="H266" s="16"/>
      <x:c r="I266" s="9"/>
      <x:c r="J266" s="10"/>
      <x:c r="K266" s="7"/>
      <x:c r="L266" s="7"/>
      <x:c r="M266" s="7"/>
      <x:c r="N266" s="7"/>
      <x:c r="O266" s="9" t="str">
        <x:f>IF($A266="","",MAX(0,$G266*$H266*(1-$J266/100)))</x:f>
      </x:c>
    </x:row>
    <x:row r="267">
      <x:c r="A267" s="13"/>
      <x:c r="B267" s="15"/>
      <x:c r="C267" s="7"/>
      <x:c r="D267" s="7"/>
      <x:c r="E267" s="7"/>
      <x:c r="F267" s="7"/>
      <x:c r="G267" s="16"/>
      <x:c r="H267" s="16"/>
      <x:c r="I267" s="9"/>
      <x:c r="J267" s="10"/>
      <x:c r="K267" s="7"/>
      <x:c r="L267" s="7"/>
      <x:c r="M267" s="7"/>
      <x:c r="N267" s="7"/>
      <x:c r="O267" s="9" t="str">
        <x:f>IF($A267="","",MAX(0,$G267*$H267*(1-$J267/100)))</x:f>
      </x:c>
    </x:row>
    <x:row r="268">
      <x:c r="A268" s="13"/>
      <x:c r="B268" s="15"/>
      <x:c r="C268" s="7"/>
      <x:c r="D268" s="7"/>
      <x:c r="E268" s="7"/>
      <x:c r="F268" s="7"/>
      <x:c r="G268" s="16"/>
      <x:c r="H268" s="16"/>
      <x:c r="I268" s="9"/>
      <x:c r="J268" s="10"/>
      <x:c r="K268" s="7"/>
      <x:c r="L268" s="7"/>
      <x:c r="M268" s="7"/>
      <x:c r="N268" s="7"/>
      <x:c r="O268" s="9" t="str">
        <x:f>IF($A268="","",MAX(0,$G268*$H268*(1-$J268/100)))</x:f>
      </x:c>
    </x:row>
    <x:row r="269">
      <x:c r="A269" s="13"/>
      <x:c r="B269" s="15"/>
      <x:c r="C269" s="7"/>
      <x:c r="D269" s="7"/>
      <x:c r="E269" s="7"/>
      <x:c r="F269" s="7"/>
      <x:c r="G269" s="16"/>
      <x:c r="H269" s="16"/>
      <x:c r="I269" s="9"/>
      <x:c r="J269" s="10"/>
      <x:c r="K269" s="7"/>
      <x:c r="L269" s="7"/>
      <x:c r="M269" s="7"/>
      <x:c r="N269" s="7"/>
      <x:c r="O269" s="9" t="str">
        <x:f>IF($A269="","",MAX(0,$G269*$H269*(1-$J269/100)))</x:f>
      </x:c>
    </x:row>
    <x:row r="270">
      <x:c r="A270" s="13"/>
      <x:c r="B270" s="15"/>
      <x:c r="C270" s="7"/>
      <x:c r="D270" s="7"/>
      <x:c r="E270" s="7"/>
      <x:c r="F270" s="7"/>
      <x:c r="G270" s="16"/>
      <x:c r="H270" s="16"/>
      <x:c r="I270" s="9"/>
      <x:c r="J270" s="10"/>
      <x:c r="K270" s="7"/>
      <x:c r="L270" s="7"/>
      <x:c r="M270" s="7"/>
      <x:c r="N270" s="7"/>
      <x:c r="O270" s="9" t="str">
        <x:f>IF($A270="","",MAX(0,$G270*$H270*(1-$J270/100)))</x:f>
      </x:c>
    </x:row>
    <x:row r="271">
      <x:c r="A271" s="13"/>
      <x:c r="B271" s="15"/>
      <x:c r="C271" s="7"/>
      <x:c r="D271" s="7"/>
      <x:c r="E271" s="7"/>
      <x:c r="F271" s="7"/>
      <x:c r="G271" s="16"/>
      <x:c r="H271" s="16"/>
      <x:c r="I271" s="9"/>
      <x:c r="J271" s="10"/>
      <x:c r="K271" s="7"/>
      <x:c r="L271" s="7"/>
      <x:c r="M271" s="7"/>
      <x:c r="N271" s="7"/>
      <x:c r="O271" s="9" t="str">
        <x:f>IF($A271="","",MAX(0,$G271*$H271*(1-$J271/100)))</x:f>
      </x:c>
    </x:row>
    <x:row r="272">
      <x:c r="A272" s="13"/>
      <x:c r="B272" s="15"/>
      <x:c r="C272" s="7"/>
      <x:c r="D272" s="7"/>
      <x:c r="E272" s="7"/>
      <x:c r="F272" s="7"/>
      <x:c r="G272" s="16"/>
      <x:c r="H272" s="16"/>
      <x:c r="I272" s="9"/>
      <x:c r="J272" s="10"/>
      <x:c r="K272" s="7"/>
      <x:c r="L272" s="7"/>
      <x:c r="M272" s="7"/>
      <x:c r="N272" s="7"/>
      <x:c r="O272" s="9" t="str">
        <x:f>IF($A272="","",MAX(0,$G272*$H272*(1-$J272/100)))</x:f>
      </x:c>
    </x:row>
    <x:row r="273">
      <x:c r="A273" s="13"/>
      <x:c r="B273" s="15"/>
      <x:c r="C273" s="7"/>
      <x:c r="D273" s="7"/>
      <x:c r="E273" s="7"/>
      <x:c r="F273" s="7"/>
      <x:c r="G273" s="16"/>
      <x:c r="H273" s="16"/>
      <x:c r="I273" s="9"/>
      <x:c r="J273" s="10"/>
      <x:c r="K273" s="7"/>
      <x:c r="L273" s="7"/>
      <x:c r="M273" s="7"/>
      <x:c r="N273" s="7"/>
      <x:c r="O273" s="9" t="str">
        <x:f>IF($A273="","",MAX(0,$G273*$H273*(1-$J273/100)))</x:f>
      </x:c>
    </x:row>
    <x:row r="274">
      <x:c r="A274" s="13"/>
      <x:c r="B274" s="15"/>
      <x:c r="C274" s="7"/>
      <x:c r="D274" s="7"/>
      <x:c r="E274" s="7"/>
      <x:c r="F274" s="7"/>
      <x:c r="G274" s="16"/>
      <x:c r="H274" s="16"/>
      <x:c r="I274" s="9"/>
      <x:c r="J274" s="10"/>
      <x:c r="K274" s="7"/>
      <x:c r="L274" s="7"/>
      <x:c r="M274" s="7"/>
      <x:c r="N274" s="7"/>
      <x:c r="O274" s="9" t="str">
        <x:f>IF($A274="","",MAX(0,$G274*$H274*(1-$J274/100)))</x:f>
      </x:c>
    </x:row>
    <x:row r="275">
      <x:c r="A275" s="13"/>
      <x:c r="B275" s="15"/>
      <x:c r="C275" s="7"/>
      <x:c r="D275" s="7"/>
      <x:c r="E275" s="7"/>
      <x:c r="F275" s="7"/>
      <x:c r="G275" s="16"/>
      <x:c r="H275" s="16"/>
      <x:c r="I275" s="9"/>
      <x:c r="J275" s="10"/>
      <x:c r="K275" s="7"/>
      <x:c r="L275" s="7"/>
      <x:c r="M275" s="7"/>
      <x:c r="N275" s="7"/>
      <x:c r="O275" s="9" t="str">
        <x:f>IF($A275="","",MAX(0,$G275*$H275*(1-$J275/100)))</x:f>
      </x:c>
    </x:row>
    <x:row r="276">
      <x:c r="A276" s="13"/>
      <x:c r="B276" s="15"/>
      <x:c r="C276" s="7"/>
      <x:c r="D276" s="7"/>
      <x:c r="E276" s="7"/>
      <x:c r="F276" s="7"/>
      <x:c r="G276" s="16"/>
      <x:c r="H276" s="16"/>
      <x:c r="I276" s="9"/>
      <x:c r="J276" s="10"/>
      <x:c r="K276" s="7"/>
      <x:c r="L276" s="7"/>
      <x:c r="M276" s="7"/>
      <x:c r="N276" s="7"/>
      <x:c r="O276" s="9" t="str">
        <x:f>IF($A276="","",MAX(0,$G276*$H276*(1-$J276/100)))</x:f>
      </x:c>
    </x:row>
    <x:row r="277">
      <x:c r="A277" s="13"/>
      <x:c r="B277" s="15"/>
      <x:c r="C277" s="7"/>
      <x:c r="D277" s="7"/>
      <x:c r="E277" s="7"/>
      <x:c r="F277" s="7"/>
      <x:c r="G277" s="16"/>
      <x:c r="H277" s="16"/>
      <x:c r="I277" s="9"/>
      <x:c r="J277" s="10"/>
      <x:c r="K277" s="7"/>
      <x:c r="L277" s="7"/>
      <x:c r="M277" s="7"/>
      <x:c r="N277" s="7"/>
      <x:c r="O277" s="9" t="str">
        <x:f>IF($A277="","",MAX(0,$G277*$H277*(1-$J277/100)))</x:f>
      </x:c>
    </x:row>
    <x:row r="278">
      <x:c r="A278" s="13"/>
      <x:c r="B278" s="15"/>
      <x:c r="C278" s="7"/>
      <x:c r="D278" s="7"/>
      <x:c r="E278" s="7"/>
      <x:c r="F278" s="7"/>
      <x:c r="G278" s="16"/>
      <x:c r="H278" s="16"/>
      <x:c r="I278" s="9"/>
      <x:c r="J278" s="10"/>
      <x:c r="K278" s="7"/>
      <x:c r="L278" s="7"/>
      <x:c r="M278" s="7"/>
      <x:c r="N278" s="7"/>
      <x:c r="O278" s="9" t="str">
        <x:f>IF($A278="","",MAX(0,$G278*$H278*(1-$J278/100)))</x:f>
      </x:c>
    </x:row>
    <x:row r="279">
      <x:c r="A279" s="13"/>
      <x:c r="B279" s="15"/>
      <x:c r="C279" s="7"/>
      <x:c r="D279" s="7"/>
      <x:c r="E279" s="7"/>
      <x:c r="F279" s="7"/>
      <x:c r="G279" s="16"/>
      <x:c r="H279" s="16"/>
      <x:c r="I279" s="9"/>
      <x:c r="J279" s="10"/>
      <x:c r="K279" s="7"/>
      <x:c r="L279" s="7"/>
      <x:c r="M279" s="7"/>
      <x:c r="N279" s="7"/>
      <x:c r="O279" s="9" t="str">
        <x:f>IF($A279="","",MAX(0,$G279*$H279*(1-$J279/100)))</x:f>
      </x:c>
    </x:row>
    <x:row r="280">
      <x:c r="A280" s="13"/>
      <x:c r="B280" s="15"/>
      <x:c r="C280" s="7"/>
      <x:c r="D280" s="7"/>
      <x:c r="E280" s="7"/>
      <x:c r="F280" s="7"/>
      <x:c r="G280" s="16"/>
      <x:c r="H280" s="16"/>
      <x:c r="I280" s="9"/>
      <x:c r="J280" s="10"/>
      <x:c r="K280" s="7"/>
      <x:c r="L280" s="7"/>
      <x:c r="M280" s="7"/>
      <x:c r="N280" s="7"/>
      <x:c r="O280" s="9" t="str">
        <x:f>IF($A280="","",MAX(0,$G280*$H280*(1-$J280/100)))</x:f>
      </x:c>
    </x:row>
    <x:row r="281">
      <x:c r="A281" s="13"/>
      <x:c r="B281" s="15"/>
      <x:c r="C281" s="7"/>
      <x:c r="D281" s="7"/>
      <x:c r="E281" s="7"/>
      <x:c r="F281" s="7"/>
      <x:c r="G281" s="16"/>
      <x:c r="H281" s="16"/>
      <x:c r="I281" s="9"/>
      <x:c r="J281" s="10"/>
      <x:c r="K281" s="7"/>
      <x:c r="L281" s="7"/>
      <x:c r="M281" s="7"/>
      <x:c r="N281" s="7"/>
      <x:c r="O281" s="9" t="str">
        <x:f>IF($A281="","",MAX(0,$G281*$H281*(1-$J281/100)))</x:f>
      </x:c>
    </x:row>
    <x:row r="282">
      <x:c r="A282" s="13"/>
      <x:c r="B282" s="15"/>
      <x:c r="C282" s="7"/>
      <x:c r="D282" s="7"/>
      <x:c r="E282" s="7"/>
      <x:c r="F282" s="7"/>
      <x:c r="G282" s="16"/>
      <x:c r="H282" s="16"/>
      <x:c r="I282" s="9"/>
      <x:c r="J282" s="10"/>
      <x:c r="K282" s="7"/>
      <x:c r="L282" s="7"/>
      <x:c r="M282" s="7"/>
      <x:c r="N282" s="7"/>
      <x:c r="O282" s="9" t="str">
        <x:f>IF($A282="","",MAX(0,$G282*$H282*(1-$J282/100)))</x:f>
      </x:c>
    </x:row>
    <x:row r="283">
      <x:c r="A283" s="13"/>
      <x:c r="B283" s="15"/>
      <x:c r="C283" s="7"/>
      <x:c r="D283" s="7"/>
      <x:c r="E283" s="7"/>
      <x:c r="F283" s="7"/>
      <x:c r="G283" s="16"/>
      <x:c r="H283" s="16"/>
      <x:c r="I283" s="9"/>
      <x:c r="J283" s="10"/>
      <x:c r="K283" s="7"/>
      <x:c r="L283" s="7"/>
      <x:c r="M283" s="7"/>
      <x:c r="N283" s="7"/>
      <x:c r="O283" s="9" t="str">
        <x:f>IF($A283="","",MAX(0,$G283*$H283*(1-$J283/100)))</x:f>
      </x:c>
    </x:row>
    <x:row r="284">
      <x:c r="A284" s="13"/>
      <x:c r="B284" s="15"/>
      <x:c r="C284" s="7"/>
      <x:c r="D284" s="7"/>
      <x:c r="E284" s="7"/>
      <x:c r="F284" s="7"/>
      <x:c r="G284" s="16"/>
      <x:c r="H284" s="16"/>
      <x:c r="I284" s="9"/>
      <x:c r="J284" s="10"/>
      <x:c r="K284" s="7"/>
      <x:c r="L284" s="7"/>
      <x:c r="M284" s="7"/>
      <x:c r="N284" s="7"/>
      <x:c r="O284" s="9" t="str">
        <x:f>IF($A284="","",MAX(0,$G284*$H284*(1-$J284/100)))</x:f>
      </x:c>
    </x:row>
    <x:row r="285">
      <x:c r="A285" s="13"/>
      <x:c r="B285" s="15"/>
      <x:c r="C285" s="7"/>
      <x:c r="D285" s="7"/>
      <x:c r="E285" s="7"/>
      <x:c r="F285" s="7"/>
      <x:c r="G285" s="16"/>
      <x:c r="H285" s="16"/>
      <x:c r="I285" s="9"/>
      <x:c r="J285" s="10"/>
      <x:c r="K285" s="7"/>
      <x:c r="L285" s="7"/>
      <x:c r="M285" s="7"/>
      <x:c r="N285" s="7"/>
      <x:c r="O285" s="9" t="str">
        <x:f>IF($A285="","",MAX(0,$G285*$H285*(1-$J285/100)))</x:f>
      </x:c>
    </x:row>
    <x:row r="286">
      <x:c r="A286" s="13"/>
      <x:c r="B286" s="15"/>
      <x:c r="C286" s="7"/>
      <x:c r="D286" s="7"/>
      <x:c r="E286" s="7"/>
      <x:c r="F286" s="7"/>
      <x:c r="G286" s="16"/>
      <x:c r="H286" s="16"/>
      <x:c r="I286" s="9"/>
      <x:c r="J286" s="10"/>
      <x:c r="K286" s="7"/>
      <x:c r="L286" s="7"/>
      <x:c r="M286" s="7"/>
      <x:c r="N286" s="7"/>
      <x:c r="O286" s="9" t="str">
        <x:f>IF($A286="","",MAX(0,$G286*$H286*(1-$J286/100)))</x:f>
      </x:c>
    </x:row>
    <x:row r="287">
      <x:c r="A287" s="13"/>
      <x:c r="B287" s="15"/>
      <x:c r="C287" s="7"/>
      <x:c r="D287" s="7"/>
      <x:c r="E287" s="7"/>
      <x:c r="F287" s="7"/>
      <x:c r="G287" s="16"/>
      <x:c r="H287" s="16"/>
      <x:c r="I287" s="9"/>
      <x:c r="J287" s="10"/>
      <x:c r="K287" s="7"/>
      <x:c r="L287" s="7"/>
      <x:c r="M287" s="7"/>
      <x:c r="N287" s="7"/>
      <x:c r="O287" s="9" t="str">
        <x:f>IF($A287="","",MAX(0,$G287*$H287*(1-$J287/100)))</x:f>
      </x:c>
    </x:row>
    <x:row r="288">
      <x:c r="A288" s="13"/>
      <x:c r="B288" s="15"/>
      <x:c r="C288" s="7"/>
      <x:c r="D288" s="7"/>
      <x:c r="E288" s="7"/>
      <x:c r="F288" s="7"/>
      <x:c r="G288" s="16"/>
      <x:c r="H288" s="16"/>
      <x:c r="I288" s="9"/>
      <x:c r="J288" s="10"/>
      <x:c r="K288" s="7"/>
      <x:c r="L288" s="7"/>
      <x:c r="M288" s="7"/>
      <x:c r="N288" s="7"/>
      <x:c r="O288" s="9" t="str">
        <x:f>IF($A288="","",MAX(0,$G288*$H288*(1-$J288/100)))</x:f>
      </x:c>
    </x:row>
    <x:row r="289">
      <x:c r="A289" s="13"/>
      <x:c r="B289" s="15"/>
      <x:c r="C289" s="7"/>
      <x:c r="D289" s="7"/>
      <x:c r="E289" s="7"/>
      <x:c r="F289" s="7"/>
      <x:c r="G289" s="16"/>
      <x:c r="H289" s="16"/>
      <x:c r="I289" s="9"/>
      <x:c r="J289" s="10"/>
      <x:c r="K289" s="7"/>
      <x:c r="L289" s="7"/>
      <x:c r="M289" s="7"/>
      <x:c r="N289" s="7"/>
      <x:c r="O289" s="9" t="str">
        <x:f>IF($A289="","",MAX(0,$G289*$H289*(1-$J289/100)))</x:f>
      </x:c>
    </x:row>
    <x:row r="290">
      <x:c r="A290" s="13"/>
      <x:c r="B290" s="15"/>
      <x:c r="C290" s="7"/>
      <x:c r="D290" s="7"/>
      <x:c r="E290" s="7"/>
      <x:c r="F290" s="7"/>
      <x:c r="G290" s="16"/>
      <x:c r="H290" s="16"/>
      <x:c r="I290" s="9"/>
      <x:c r="J290" s="10"/>
      <x:c r="K290" s="7"/>
      <x:c r="L290" s="7"/>
      <x:c r="M290" s="7"/>
      <x:c r="N290" s="7"/>
      <x:c r="O290" s="9" t="str">
        <x:f>IF($A290="","",MAX(0,$G290*$H290*(1-$J290/100)))</x:f>
      </x:c>
    </x:row>
    <x:row r="291">
      <x:c r="A291" s="13"/>
      <x:c r="B291" s="15"/>
      <x:c r="C291" s="7"/>
      <x:c r="D291" s="7"/>
      <x:c r="E291" s="7"/>
      <x:c r="F291" s="7"/>
      <x:c r="G291" s="16"/>
      <x:c r="H291" s="16"/>
      <x:c r="I291" s="9"/>
      <x:c r="J291" s="10"/>
      <x:c r="K291" s="7"/>
      <x:c r="L291" s="7"/>
      <x:c r="M291" s="7"/>
      <x:c r="N291" s="7"/>
      <x:c r="O291" s="9" t="str">
        <x:f>IF($A291="","",MAX(0,$G291*$H291*(1-$J291/100)))</x:f>
      </x:c>
    </x:row>
    <x:row r="292">
      <x:c r="A292" s="13"/>
      <x:c r="B292" s="15"/>
      <x:c r="C292" s="7"/>
      <x:c r="D292" s="7"/>
      <x:c r="E292" s="7"/>
      <x:c r="F292" s="7"/>
      <x:c r="G292" s="16"/>
      <x:c r="H292" s="16"/>
      <x:c r="I292" s="9"/>
      <x:c r="J292" s="10"/>
      <x:c r="K292" s="7"/>
      <x:c r="L292" s="7"/>
      <x:c r="M292" s="7"/>
      <x:c r="N292" s="7"/>
      <x:c r="O292" s="9" t="str">
        <x:f>IF($A292="","",MAX(0,$G292*$H292*(1-$J292/100)))</x:f>
      </x:c>
    </x:row>
    <x:row r="293">
      <x:c r="A293" s="13"/>
      <x:c r="B293" s="15"/>
      <x:c r="C293" s="7"/>
      <x:c r="D293" s="7"/>
      <x:c r="E293" s="7"/>
      <x:c r="F293" s="7"/>
      <x:c r="G293" s="16"/>
      <x:c r="H293" s="16"/>
      <x:c r="I293" s="9"/>
      <x:c r="J293" s="10"/>
      <x:c r="K293" s="7"/>
      <x:c r="L293" s="7"/>
      <x:c r="M293" s="7"/>
      <x:c r="N293" s="7"/>
      <x:c r="O293" s="9" t="str">
        <x:f>IF($A293="","",MAX(0,$G293*$H293*(1-$J293/100)))</x:f>
      </x:c>
    </x:row>
    <x:row r="294">
      <x:c r="A294" s="13"/>
      <x:c r="B294" s="15"/>
      <x:c r="C294" s="7"/>
      <x:c r="D294" s="7"/>
      <x:c r="E294" s="7"/>
      <x:c r="F294" s="7"/>
      <x:c r="G294" s="16"/>
      <x:c r="H294" s="16"/>
      <x:c r="I294" s="9"/>
      <x:c r="J294" s="10"/>
      <x:c r="K294" s="7"/>
      <x:c r="L294" s="7"/>
      <x:c r="M294" s="7"/>
      <x:c r="N294" s="7"/>
      <x:c r="O294" s="9" t="str">
        <x:f>IF($A294="","",MAX(0,$G294*$H294*(1-$J294/100)))</x:f>
      </x:c>
    </x:row>
    <x:row r="295">
      <x:c r="A295" s="13"/>
      <x:c r="B295" s="15"/>
      <x:c r="C295" s="7"/>
      <x:c r="D295" s="7"/>
      <x:c r="E295" s="7"/>
      <x:c r="F295" s="7"/>
      <x:c r="G295" s="16"/>
      <x:c r="H295" s="16"/>
      <x:c r="I295" s="9"/>
      <x:c r="J295" s="10"/>
      <x:c r="K295" s="7"/>
      <x:c r="L295" s="7"/>
      <x:c r="M295" s="7"/>
      <x:c r="N295" s="7"/>
      <x:c r="O295" s="9" t="str">
        <x:f>IF($A295="","",MAX(0,$G295*$H295*(1-$J295/100)))</x:f>
      </x:c>
    </x:row>
    <x:row r="296">
      <x:c r="A296" s="13"/>
      <x:c r="B296" s="15"/>
      <x:c r="C296" s="7"/>
      <x:c r="D296" s="7"/>
      <x:c r="E296" s="7"/>
      <x:c r="F296" s="7"/>
      <x:c r="G296" s="16"/>
      <x:c r="H296" s="16"/>
      <x:c r="I296" s="9"/>
      <x:c r="J296" s="10"/>
      <x:c r="K296" s="7"/>
      <x:c r="L296" s="7"/>
      <x:c r="M296" s="7"/>
      <x:c r="N296" s="7"/>
      <x:c r="O296" s="9" t="str">
        <x:f>IF($A296="","",MAX(0,$G296*$H296*(1-$J296/100)))</x:f>
      </x:c>
    </x:row>
    <x:row r="297">
      <x:c r="A297" s="13"/>
      <x:c r="B297" s="15"/>
      <x:c r="C297" s="7"/>
      <x:c r="D297" s="7"/>
      <x:c r="E297" s="7"/>
      <x:c r="F297" s="7"/>
      <x:c r="G297" s="16"/>
      <x:c r="H297" s="16"/>
      <x:c r="I297" s="9"/>
      <x:c r="J297" s="10"/>
      <x:c r="K297" s="7"/>
      <x:c r="L297" s="7"/>
      <x:c r="M297" s="7"/>
      <x:c r="N297" s="7"/>
      <x:c r="O297" s="9" t="str">
        <x:f>IF($A297="","",MAX(0,$G297*$H297*(1-$J297/100)))</x:f>
      </x:c>
    </x:row>
    <x:row r="298">
      <x:c r="A298" s="13"/>
      <x:c r="B298" s="15"/>
      <x:c r="C298" s="7"/>
      <x:c r="D298" s="7"/>
      <x:c r="E298" s="7"/>
      <x:c r="F298" s="7"/>
      <x:c r="G298" s="16"/>
      <x:c r="H298" s="16"/>
      <x:c r="I298" s="9"/>
      <x:c r="J298" s="10"/>
      <x:c r="K298" s="7"/>
      <x:c r="L298" s="7"/>
      <x:c r="M298" s="7"/>
      <x:c r="N298" s="7"/>
      <x:c r="O298" s="9" t="str">
        <x:f>IF($A298="","",MAX(0,$G298*$H298*(1-$J298/100)))</x:f>
      </x:c>
    </x:row>
    <x:row r="299">
      <x:c r="A299" s="13"/>
      <x:c r="B299" s="15"/>
      <x:c r="C299" s="7"/>
      <x:c r="D299" s="7"/>
      <x:c r="E299" s="7"/>
      <x:c r="F299" s="7"/>
      <x:c r="G299" s="16"/>
      <x:c r="H299" s="16"/>
      <x:c r="I299" s="9"/>
      <x:c r="J299" s="10"/>
      <x:c r="K299" s="7"/>
      <x:c r="L299" s="7"/>
      <x:c r="M299" s="7"/>
      <x:c r="N299" s="7"/>
      <x:c r="O299" s="9" t="str">
        <x:f>IF($A299="","",MAX(0,$G299*$H299*(1-$J299/100)))</x:f>
      </x:c>
    </x:row>
    <x:row r="300">
      <x:c r="A300" s="13"/>
      <x:c r="B300" s="15"/>
      <x:c r="C300" s="7"/>
      <x:c r="D300" s="7"/>
      <x:c r="E300" s="7"/>
      <x:c r="F300" s="7"/>
      <x:c r="G300" s="16"/>
      <x:c r="H300" s="16"/>
      <x:c r="I300" s="9"/>
      <x:c r="J300" s="10"/>
      <x:c r="K300" s="7"/>
      <x:c r="L300" s="7"/>
      <x:c r="M300" s="7"/>
      <x:c r="N300" s="7"/>
      <x:c r="O300" s="9" t="str">
        <x:f>IF($A300="","",MAX(0,$G300*$H300*(1-$J300/100)))</x:f>
      </x:c>
    </x:row>
    <x:row r="301">
      <x:c r="A301" s="13"/>
      <x:c r="B301" s="15"/>
      <x:c r="C301" s="7"/>
      <x:c r="D301" s="7"/>
      <x:c r="E301" s="7"/>
      <x:c r="F301" s="7"/>
      <x:c r="G301" s="16"/>
      <x:c r="H301" s="16"/>
      <x:c r="I301" s="9"/>
      <x:c r="J301" s="10"/>
      <x:c r="K301" s="7"/>
      <x:c r="L301" s="7"/>
      <x:c r="M301" s="7"/>
      <x:c r="N301" s="7"/>
      <x:c r="O301" s="9" t="str">
        <x:f>IF($A301="","",MAX(0,$G301*$H301*(1-$J301/100)))</x:f>
      </x:c>
    </x:row>
    <x:row r="302">
      <x:c r="A302" s="13"/>
      <x:c r="B302" s="15"/>
      <x:c r="C302" s="7"/>
      <x:c r="D302" s="7"/>
      <x:c r="E302" s="7"/>
      <x:c r="F302" s="7"/>
      <x:c r="G302" s="16"/>
      <x:c r="H302" s="16"/>
      <x:c r="I302" s="9"/>
      <x:c r="J302" s="10"/>
      <x:c r="K302" s="7"/>
      <x:c r="L302" s="7"/>
      <x:c r="M302" s="7"/>
      <x:c r="N302" s="7"/>
      <x:c r="O302" s="9" t="str">
        <x:f>IF($A302="","",MAX(0,$G302*$H302*(1-$J302/100)))</x:f>
      </x:c>
    </x:row>
    <x:row r="303">
      <x:c r="A303" s="13"/>
      <x:c r="B303" s="15"/>
      <x:c r="C303" s="7"/>
      <x:c r="D303" s="7"/>
      <x:c r="E303" s="7"/>
      <x:c r="F303" s="7"/>
      <x:c r="G303" s="16"/>
      <x:c r="H303" s="16"/>
      <x:c r="I303" s="9"/>
      <x:c r="J303" s="10"/>
      <x:c r="K303" s="7"/>
      <x:c r="L303" s="7"/>
      <x:c r="M303" s="7"/>
      <x:c r="N303" s="7"/>
      <x:c r="O303" s="9" t="str">
        <x:f>IF($A303="","",MAX(0,$G303*$H303*(1-$J303/100)))</x:f>
      </x:c>
    </x:row>
    <x:row r="304">
      <x:c r="A304" s="13"/>
      <x:c r="B304" s="15"/>
      <x:c r="C304" s="7"/>
      <x:c r="D304" s="7"/>
      <x:c r="E304" s="7"/>
      <x:c r="F304" s="7"/>
      <x:c r="G304" s="16"/>
      <x:c r="H304" s="16"/>
      <x:c r="I304" s="9"/>
      <x:c r="J304" s="10"/>
      <x:c r="K304" s="7"/>
      <x:c r="L304" s="7"/>
      <x:c r="M304" s="7"/>
      <x:c r="N304" s="7"/>
      <x:c r="O304" s="9" t="str">
        <x:f>IF($A304="","",MAX(0,$G304*$H304*(1-$J304/100)))</x:f>
      </x:c>
    </x:row>
    <x:row r="305">
      <x:c r="A305" s="13"/>
      <x:c r="B305" s="15"/>
      <x:c r="C305" s="7"/>
      <x:c r="D305" s="7"/>
      <x:c r="E305" s="7"/>
      <x:c r="F305" s="7"/>
      <x:c r="G305" s="16"/>
      <x:c r="H305" s="16"/>
      <x:c r="I305" s="9"/>
      <x:c r="J305" s="10"/>
      <x:c r="K305" s="7"/>
      <x:c r="L305" s="7"/>
      <x:c r="M305" s="7"/>
      <x:c r="N305" s="7"/>
      <x:c r="O305" s="9" t="str">
        <x:f>IF($A305="","",MAX(0,$G305*$H305*(1-$J305/100)))</x:f>
      </x:c>
    </x:row>
    <x:row r="306">
      <x:c r="A306" s="13"/>
      <x:c r="B306" s="15"/>
      <x:c r="C306" s="7"/>
      <x:c r="D306" s="7"/>
      <x:c r="E306" s="7"/>
      <x:c r="F306" s="7"/>
      <x:c r="G306" s="16"/>
      <x:c r="H306" s="16"/>
      <x:c r="I306" s="9"/>
      <x:c r="J306" s="10"/>
      <x:c r="K306" s="7"/>
      <x:c r="L306" s="7"/>
      <x:c r="M306" s="7"/>
      <x:c r="N306" s="7"/>
      <x:c r="O306" s="9" t="str">
        <x:f>IF($A306="","",MAX(0,$G306*$H306*(1-$J306/100)))</x:f>
      </x:c>
    </x:row>
    <x:row r="307">
      <x:c r="A307" s="13"/>
      <x:c r="B307" s="15"/>
      <x:c r="C307" s="7"/>
      <x:c r="D307" s="7"/>
      <x:c r="E307" s="7"/>
      <x:c r="F307" s="7"/>
      <x:c r="G307" s="16"/>
      <x:c r="H307" s="16"/>
      <x:c r="I307" s="9"/>
      <x:c r="J307" s="10"/>
      <x:c r="K307" s="7"/>
      <x:c r="L307" s="7"/>
      <x:c r="M307" s="7"/>
      <x:c r="N307" s="7"/>
      <x:c r="O307" s="9" t="str">
        <x:f>IF($A307="","",MAX(0,$G307*$H307*(1-$J307/100)))</x:f>
      </x:c>
    </x:row>
    <x:row r="308">
      <x:c r="A308" s="13"/>
      <x:c r="B308" s="15"/>
      <x:c r="C308" s="7"/>
      <x:c r="D308" s="7"/>
      <x:c r="E308" s="7"/>
      <x:c r="F308" s="7"/>
      <x:c r="G308" s="16"/>
      <x:c r="H308" s="16"/>
      <x:c r="I308" s="9"/>
      <x:c r="J308" s="10"/>
      <x:c r="K308" s="7"/>
      <x:c r="L308" s="7"/>
      <x:c r="M308" s="7"/>
      <x:c r="N308" s="7"/>
      <x:c r="O308" s="9" t="str">
        <x:f>IF($A308="","",MAX(0,$G308*$H308*(1-$J308/100)))</x:f>
      </x:c>
    </x:row>
    <x:row r="309">
      <x:c r="A309" s="13"/>
      <x:c r="B309" s="15"/>
      <x:c r="C309" s="7"/>
      <x:c r="D309" s="7"/>
      <x:c r="E309" s="7"/>
      <x:c r="F309" s="7"/>
      <x:c r="G309" s="16"/>
      <x:c r="H309" s="16"/>
      <x:c r="I309" s="9"/>
      <x:c r="J309" s="10"/>
      <x:c r="K309" s="7"/>
      <x:c r="L309" s="7"/>
      <x:c r="M309" s="7"/>
      <x:c r="N309" s="7"/>
      <x:c r="O309" s="9" t="str">
        <x:f>IF($A309="","",MAX(0,$G309*$H309*(1-$J309/100)))</x:f>
      </x:c>
    </x:row>
    <x:row r="310">
      <x:c r="A310" s="13"/>
      <x:c r="B310" s="15"/>
      <x:c r="C310" s="7"/>
      <x:c r="D310" s="7"/>
      <x:c r="E310" s="7"/>
      <x:c r="F310" s="7"/>
      <x:c r="G310" s="16"/>
      <x:c r="H310" s="16"/>
      <x:c r="I310" s="9"/>
      <x:c r="J310" s="10"/>
      <x:c r="K310" s="7"/>
      <x:c r="L310" s="7"/>
      <x:c r="M310" s="7"/>
      <x:c r="N310" s="7"/>
      <x:c r="O310" s="9" t="str">
        <x:f>IF($A310="","",MAX(0,$G310*$H310*(1-$J310/100)))</x:f>
      </x:c>
    </x:row>
    <x:row r="311">
      <x:c r="A311" s="13"/>
      <x:c r="B311" s="15"/>
      <x:c r="C311" s="7"/>
      <x:c r="D311" s="7"/>
      <x:c r="E311" s="7"/>
      <x:c r="F311" s="7"/>
      <x:c r="G311" s="16"/>
      <x:c r="H311" s="16"/>
      <x:c r="I311" s="9"/>
      <x:c r="J311" s="10"/>
      <x:c r="K311" s="7"/>
      <x:c r="L311" s="7"/>
      <x:c r="M311" s="7"/>
      <x:c r="N311" s="7"/>
      <x:c r="O311" s="9" t="str">
        <x:f>IF($A311="","",MAX(0,$G311*$H311*(1-$J311/100)))</x:f>
      </x:c>
    </x:row>
    <x:row r="312">
      <x:c r="A312" s="13"/>
      <x:c r="B312" s="15"/>
      <x:c r="C312" s="7"/>
      <x:c r="D312" s="7"/>
      <x:c r="E312" s="7"/>
      <x:c r="F312" s="7"/>
      <x:c r="G312" s="16"/>
      <x:c r="H312" s="16"/>
      <x:c r="I312" s="9"/>
      <x:c r="J312" s="10"/>
      <x:c r="K312" s="7"/>
      <x:c r="L312" s="7"/>
      <x:c r="M312" s="7"/>
      <x:c r="N312" s="7"/>
      <x:c r="O312" s="9" t="str">
        <x:f>IF($A312="","",MAX(0,$G312*$H312*(1-$J312/100)))</x:f>
      </x:c>
    </x:row>
    <x:row r="313">
      <x:c r="A313" s="13"/>
      <x:c r="B313" s="15"/>
      <x:c r="C313" s="7"/>
      <x:c r="D313" s="7"/>
      <x:c r="E313" s="7"/>
      <x:c r="F313" s="7"/>
      <x:c r="G313" s="16"/>
      <x:c r="H313" s="16"/>
      <x:c r="I313" s="9"/>
      <x:c r="J313" s="10"/>
      <x:c r="K313" s="7"/>
      <x:c r="L313" s="7"/>
      <x:c r="M313" s="7"/>
      <x:c r="N313" s="7"/>
      <x:c r="O313" s="9" t="str">
        <x:f>IF($A313="","",MAX(0,$G313*$H313*(1-$J313/100)))</x:f>
      </x:c>
    </x:row>
    <x:row r="314">
      <x:c r="A314" s="13"/>
      <x:c r="B314" s="15"/>
      <x:c r="C314" s="7"/>
      <x:c r="D314" s="7"/>
      <x:c r="E314" s="7"/>
      <x:c r="F314" s="7"/>
      <x:c r="G314" s="16"/>
      <x:c r="H314" s="16"/>
      <x:c r="I314" s="9"/>
      <x:c r="J314" s="10"/>
      <x:c r="K314" s="7"/>
      <x:c r="L314" s="7"/>
      <x:c r="M314" s="7"/>
      <x:c r="N314" s="7"/>
      <x:c r="O314" s="9" t="str">
        <x:f>IF($A314="","",MAX(0,$G314*$H314*(1-$J314/100)))</x:f>
      </x:c>
    </x:row>
    <x:row r="315">
      <x:c r="A315" s="13"/>
      <x:c r="B315" s="15"/>
      <x:c r="C315" s="7"/>
      <x:c r="D315" s="7"/>
      <x:c r="E315" s="7"/>
      <x:c r="F315" s="7"/>
      <x:c r="G315" s="16"/>
      <x:c r="H315" s="16"/>
      <x:c r="I315" s="9"/>
      <x:c r="J315" s="10"/>
      <x:c r="K315" s="7"/>
      <x:c r="L315" s="7"/>
      <x:c r="M315" s="7"/>
      <x:c r="N315" s="7"/>
      <x:c r="O315" s="9" t="str">
        <x:f>IF($A315="","",MAX(0,$G315*$H315*(1-$J315/100)))</x:f>
      </x:c>
    </x:row>
    <x:row r="316">
      <x:c r="A316" s="13"/>
      <x:c r="B316" s="15"/>
      <x:c r="C316" s="7"/>
      <x:c r="D316" s="7"/>
      <x:c r="E316" s="7"/>
      <x:c r="F316" s="7"/>
      <x:c r="G316" s="16"/>
      <x:c r="H316" s="16"/>
      <x:c r="I316" s="9"/>
      <x:c r="J316" s="10"/>
      <x:c r="K316" s="7"/>
      <x:c r="L316" s="7"/>
      <x:c r="M316" s="7"/>
      <x:c r="N316" s="7"/>
      <x:c r="O316" s="9" t="str">
        <x:f>IF($A316="","",MAX(0,$G316*$H316*(1-$J316/100)))</x:f>
      </x:c>
    </x:row>
    <x:row r="317">
      <x:c r="A317" s="13"/>
      <x:c r="B317" s="15"/>
      <x:c r="C317" s="7"/>
      <x:c r="D317" s="7"/>
      <x:c r="E317" s="7"/>
      <x:c r="F317" s="7"/>
      <x:c r="G317" s="16"/>
      <x:c r="H317" s="16"/>
      <x:c r="I317" s="9"/>
      <x:c r="J317" s="10"/>
      <x:c r="K317" s="7"/>
      <x:c r="L317" s="7"/>
      <x:c r="M317" s="7"/>
      <x:c r="N317" s="7"/>
      <x:c r="O317" s="9" t="str">
        <x:f>IF($A317="","",MAX(0,$G317*$H317*(1-$J317/100)))</x:f>
      </x:c>
    </x:row>
    <x:row r="318">
      <x:c r="A318" s="13"/>
      <x:c r="B318" s="15"/>
      <x:c r="C318" s="7"/>
      <x:c r="D318" s="7"/>
      <x:c r="E318" s="7"/>
      <x:c r="F318" s="7"/>
      <x:c r="G318" s="16"/>
      <x:c r="H318" s="16"/>
      <x:c r="I318" s="9"/>
      <x:c r="J318" s="10"/>
      <x:c r="K318" s="7"/>
      <x:c r="L318" s="7"/>
      <x:c r="M318" s="7"/>
      <x:c r="N318" s="7"/>
      <x:c r="O318" s="9" t="str">
        <x:f>IF($A318="","",MAX(0,$G318*$H318*(1-$J318/100)))</x:f>
      </x:c>
    </x:row>
    <x:row r="319">
      <x:c r="A319" s="13"/>
      <x:c r="B319" s="15"/>
      <x:c r="C319" s="7"/>
      <x:c r="D319" s="7"/>
      <x:c r="E319" s="7"/>
      <x:c r="F319" s="7"/>
      <x:c r="G319" s="16"/>
      <x:c r="H319" s="16"/>
      <x:c r="I319" s="9"/>
      <x:c r="J319" s="10"/>
      <x:c r="K319" s="7"/>
      <x:c r="L319" s="7"/>
      <x:c r="M319" s="7"/>
      <x:c r="N319" s="7"/>
      <x:c r="O319" s="9" t="str">
        <x:f>IF($A319="","",MAX(0,$G319*$H319*(1-$J319/100)))</x:f>
      </x:c>
    </x:row>
    <x:row r="320">
      <x:c r="A320" s="13"/>
      <x:c r="B320" s="15"/>
      <x:c r="C320" s="7"/>
      <x:c r="D320" s="7"/>
      <x:c r="E320" s="7"/>
      <x:c r="F320" s="7"/>
      <x:c r="G320" s="16"/>
      <x:c r="H320" s="16"/>
      <x:c r="I320" s="9"/>
      <x:c r="J320" s="10"/>
      <x:c r="K320" s="7"/>
      <x:c r="L320" s="7"/>
      <x:c r="M320" s="7"/>
      <x:c r="N320" s="7"/>
      <x:c r="O320" s="9" t="str">
        <x:f>IF($A320="","",MAX(0,$G320*$H320*(1-$J320/100)))</x:f>
      </x:c>
    </x:row>
    <x:row r="321">
      <x:c r="A321" s="13"/>
      <x:c r="B321" s="15"/>
      <x:c r="C321" s="7"/>
      <x:c r="D321" s="7"/>
      <x:c r="E321" s="7"/>
      <x:c r="F321" s="7"/>
      <x:c r="G321" s="16"/>
      <x:c r="H321" s="16"/>
      <x:c r="I321" s="9"/>
      <x:c r="J321" s="10"/>
      <x:c r="K321" s="7"/>
      <x:c r="L321" s="7"/>
      <x:c r="M321" s="7"/>
      <x:c r="N321" s="7"/>
      <x:c r="O321" s="9" t="str">
        <x:f>IF($A321="","",MAX(0,$G321*$H321*(1-$J321/100)))</x:f>
      </x:c>
    </x:row>
    <x:row r="322">
      <x:c r="A322" s="13"/>
      <x:c r="B322" s="15"/>
      <x:c r="C322" s="7"/>
      <x:c r="D322" s="7"/>
      <x:c r="E322" s="7"/>
      <x:c r="F322" s="7"/>
      <x:c r="G322" s="16"/>
      <x:c r="H322" s="16"/>
      <x:c r="I322" s="9"/>
      <x:c r="J322" s="10"/>
      <x:c r="K322" s="7"/>
      <x:c r="L322" s="7"/>
      <x:c r="M322" s="7"/>
      <x:c r="N322" s="7"/>
      <x:c r="O322" s="9" t="str">
        <x:f>IF($A322="","",MAX(0,$G322*$H322*(1-$J322/100)))</x:f>
      </x:c>
    </x:row>
    <x:row r="323">
      <x:c r="A323" s="13"/>
      <x:c r="B323" s="15"/>
      <x:c r="C323" s="7"/>
      <x:c r="D323" s="7"/>
      <x:c r="E323" s="7"/>
      <x:c r="F323" s="7"/>
      <x:c r="G323" s="16"/>
      <x:c r="H323" s="16"/>
      <x:c r="I323" s="9"/>
      <x:c r="J323" s="10"/>
      <x:c r="K323" s="7"/>
      <x:c r="L323" s="7"/>
      <x:c r="M323" s="7"/>
      <x:c r="N323" s="7"/>
      <x:c r="O323" s="9" t="str">
        <x:f>IF($A323="","",MAX(0,$G323*$H323*(1-$J323/100)))</x:f>
      </x:c>
    </x:row>
    <x:row r="324">
      <x:c r="A324" s="13"/>
      <x:c r="B324" s="15"/>
      <x:c r="C324" s="7"/>
      <x:c r="D324" s="7"/>
      <x:c r="E324" s="7"/>
      <x:c r="F324" s="7"/>
      <x:c r="G324" s="16"/>
      <x:c r="H324" s="16"/>
      <x:c r="I324" s="9"/>
      <x:c r="J324" s="10"/>
      <x:c r="K324" s="7"/>
      <x:c r="L324" s="7"/>
      <x:c r="M324" s="7"/>
      <x:c r="N324" s="7"/>
      <x:c r="O324" s="9" t="str">
        <x:f>IF($A324="","",MAX(0,$G324*$H324*(1-$J324/100)))</x:f>
      </x:c>
    </x:row>
    <x:row r="325">
      <x:c r="A325" s="13"/>
      <x:c r="B325" s="15"/>
      <x:c r="C325" s="7"/>
      <x:c r="D325" s="7"/>
      <x:c r="E325" s="7"/>
      <x:c r="F325" s="7"/>
      <x:c r="G325" s="16"/>
      <x:c r="H325" s="16"/>
      <x:c r="I325" s="9"/>
      <x:c r="J325" s="10"/>
      <x:c r="K325" s="7"/>
      <x:c r="L325" s="7"/>
      <x:c r="M325" s="7"/>
      <x:c r="N325" s="7"/>
      <x:c r="O325" s="9" t="str">
        <x:f>IF($A325="","",MAX(0,$G325*$H325*(1-$J325/100)))</x:f>
      </x:c>
    </x:row>
    <x:row r="326">
      <x:c r="A326" s="13"/>
      <x:c r="B326" s="15"/>
      <x:c r="C326" s="7"/>
      <x:c r="D326" s="7"/>
      <x:c r="E326" s="7"/>
      <x:c r="F326" s="7"/>
      <x:c r="G326" s="16"/>
      <x:c r="H326" s="16"/>
      <x:c r="I326" s="9"/>
      <x:c r="J326" s="10"/>
      <x:c r="K326" s="7"/>
      <x:c r="L326" s="7"/>
      <x:c r="M326" s="7"/>
      <x:c r="N326" s="7"/>
      <x:c r="O326" s="9" t="str">
        <x:f>IF($A326="","",MAX(0,$G326*$H326*(1-$J326/100)))</x:f>
      </x:c>
    </x:row>
    <x:row r="327">
      <x:c r="A327" s="13"/>
      <x:c r="B327" s="15"/>
      <x:c r="C327" s="7"/>
      <x:c r="D327" s="7"/>
      <x:c r="E327" s="7"/>
      <x:c r="F327" s="7"/>
      <x:c r="G327" s="16"/>
      <x:c r="H327" s="16"/>
      <x:c r="I327" s="9"/>
      <x:c r="J327" s="10"/>
      <x:c r="K327" s="7"/>
      <x:c r="L327" s="7"/>
      <x:c r="M327" s="7"/>
      <x:c r="N327" s="7"/>
      <x:c r="O327" s="9" t="str">
        <x:f>IF($A327="","",MAX(0,$G327*$H327*(1-$J327/100)))</x:f>
      </x:c>
    </x:row>
    <x:row r="328">
      <x:c r="A328" s="13"/>
      <x:c r="B328" s="15"/>
      <x:c r="C328" s="7"/>
      <x:c r="D328" s="7"/>
      <x:c r="E328" s="7"/>
      <x:c r="F328" s="7"/>
      <x:c r="G328" s="16"/>
      <x:c r="H328" s="16"/>
      <x:c r="I328" s="9"/>
      <x:c r="J328" s="10"/>
      <x:c r="K328" s="7"/>
      <x:c r="L328" s="7"/>
      <x:c r="M328" s="7"/>
      <x:c r="N328" s="7"/>
      <x:c r="O328" s="9" t="str">
        <x:f>IF($A328="","",MAX(0,$G328*$H328*(1-$J328/100)))</x:f>
      </x:c>
    </x:row>
    <x:row r="329">
      <x:c r="A329" s="13"/>
      <x:c r="B329" s="15"/>
      <x:c r="C329" s="7"/>
      <x:c r="D329" s="7"/>
      <x:c r="E329" s="7"/>
      <x:c r="F329" s="7"/>
      <x:c r="G329" s="16"/>
      <x:c r="H329" s="16"/>
      <x:c r="I329" s="9"/>
      <x:c r="J329" s="10"/>
      <x:c r="K329" s="7"/>
      <x:c r="L329" s="7"/>
      <x:c r="M329" s="7"/>
      <x:c r="N329" s="7"/>
      <x:c r="O329" s="9" t="str">
        <x:f>IF($A329="","",MAX(0,$G329*$H329*(1-$J329/100)))</x:f>
      </x:c>
    </x:row>
    <x:row r="330">
      <x:c r="A330" s="13"/>
      <x:c r="B330" s="15"/>
      <x:c r="C330" s="7"/>
      <x:c r="D330" s="7"/>
      <x:c r="E330" s="7"/>
      <x:c r="F330" s="7"/>
      <x:c r="G330" s="16"/>
      <x:c r="H330" s="16"/>
      <x:c r="I330" s="9"/>
      <x:c r="J330" s="10"/>
      <x:c r="K330" s="7"/>
      <x:c r="L330" s="7"/>
      <x:c r="M330" s="7"/>
      <x:c r="N330" s="7"/>
      <x:c r="O330" s="9" t="str">
        <x:f>IF($A330="","",MAX(0,$G330*$H330*(1-$J330/100)))</x:f>
      </x:c>
    </x:row>
    <x:row r="331">
      <x:c r="A331" s="13"/>
      <x:c r="B331" s="15"/>
      <x:c r="C331" s="7"/>
      <x:c r="D331" s="7"/>
      <x:c r="E331" s="7"/>
      <x:c r="F331" s="7"/>
      <x:c r="G331" s="16"/>
      <x:c r="H331" s="16"/>
      <x:c r="I331" s="9"/>
      <x:c r="J331" s="10"/>
      <x:c r="K331" s="7"/>
      <x:c r="L331" s="7"/>
      <x:c r="M331" s="7"/>
      <x:c r="N331" s="7"/>
      <x:c r="O331" s="9" t="str">
        <x:f>IF($A331="","",MAX(0,$G331*$H331*(1-$J331/100)))</x:f>
      </x:c>
    </x:row>
    <x:row r="332">
      <x:c r="A332" s="13"/>
      <x:c r="B332" s="15"/>
      <x:c r="C332" s="7"/>
      <x:c r="D332" s="7"/>
      <x:c r="E332" s="7"/>
      <x:c r="F332" s="7"/>
      <x:c r="G332" s="16"/>
      <x:c r="H332" s="16"/>
      <x:c r="I332" s="9"/>
      <x:c r="J332" s="10"/>
      <x:c r="K332" s="7"/>
      <x:c r="L332" s="7"/>
      <x:c r="M332" s="7"/>
      <x:c r="N332" s="7"/>
      <x:c r="O332" s="9" t="str">
        <x:f>IF($A332="","",MAX(0,$G332*$H332*(1-$J332/100)))</x:f>
      </x:c>
    </x:row>
    <x:row r="333">
      <x:c r="A333" s="13"/>
      <x:c r="B333" s="15"/>
      <x:c r="C333" s="7"/>
      <x:c r="D333" s="7"/>
      <x:c r="E333" s="7"/>
      <x:c r="F333" s="7"/>
      <x:c r="G333" s="16"/>
      <x:c r="H333" s="16"/>
      <x:c r="I333" s="9"/>
      <x:c r="J333" s="10"/>
      <x:c r="K333" s="7"/>
      <x:c r="L333" s="7"/>
      <x:c r="M333" s="7"/>
      <x:c r="N333" s="7"/>
      <x:c r="O333" s="9" t="str">
        <x:f>IF($A333="","",MAX(0,$G333*$H333*(1-$J333/100)))</x:f>
      </x:c>
    </x:row>
    <x:row r="334">
      <x:c r="A334" s="13"/>
      <x:c r="B334" s="15"/>
      <x:c r="C334" s="7"/>
      <x:c r="D334" s="7"/>
      <x:c r="E334" s="7"/>
      <x:c r="F334" s="7"/>
      <x:c r="G334" s="16"/>
      <x:c r="H334" s="16"/>
      <x:c r="I334" s="9"/>
      <x:c r="J334" s="10"/>
      <x:c r="K334" s="7"/>
      <x:c r="L334" s="7"/>
      <x:c r="M334" s="7"/>
      <x:c r="N334" s="7"/>
      <x:c r="O334" s="9" t="str">
        <x:f>IF($A334="","",MAX(0,$G334*$H334*(1-$J334/100)))</x:f>
      </x:c>
    </x:row>
    <x:row r="335">
      <x:c r="A335" s="13"/>
      <x:c r="B335" s="15"/>
      <x:c r="C335" s="7"/>
      <x:c r="D335" s="7"/>
      <x:c r="E335" s="7"/>
      <x:c r="F335" s="7"/>
      <x:c r="G335" s="16"/>
      <x:c r="H335" s="16"/>
      <x:c r="I335" s="9"/>
      <x:c r="J335" s="10"/>
      <x:c r="K335" s="7"/>
      <x:c r="L335" s="7"/>
      <x:c r="M335" s="7"/>
      <x:c r="N335" s="7"/>
      <x:c r="O335" s="9" t="str">
        <x:f>IF($A335="","",MAX(0,$G335*$H335*(1-$J335/100)))</x:f>
      </x:c>
    </x:row>
    <x:row r="336">
      <x:c r="A336" s="13"/>
      <x:c r="B336" s="15"/>
      <x:c r="C336" s="7"/>
      <x:c r="D336" s="7"/>
      <x:c r="E336" s="7"/>
      <x:c r="F336" s="7"/>
      <x:c r="G336" s="16"/>
      <x:c r="H336" s="16"/>
      <x:c r="I336" s="9"/>
      <x:c r="J336" s="10"/>
      <x:c r="K336" s="7"/>
      <x:c r="L336" s="7"/>
      <x:c r="M336" s="7"/>
      <x:c r="N336" s="7"/>
      <x:c r="O336" s="9" t="str">
        <x:f>IF($A336="","",MAX(0,$G336*$H336*(1-$J336/100)))</x:f>
      </x:c>
    </x:row>
    <x:row r="337">
      <x:c r="A337" s="13"/>
      <x:c r="B337" s="15"/>
      <x:c r="C337" s="7"/>
      <x:c r="D337" s="7"/>
      <x:c r="E337" s="7"/>
      <x:c r="F337" s="7"/>
      <x:c r="G337" s="16"/>
      <x:c r="H337" s="16"/>
      <x:c r="I337" s="9"/>
      <x:c r="J337" s="10"/>
      <x:c r="K337" s="7"/>
      <x:c r="L337" s="7"/>
      <x:c r="M337" s="7"/>
      <x:c r="N337" s="7"/>
      <x:c r="O337" s="9" t="str">
        <x:f>IF($A337="","",MAX(0,$G337*$H337*(1-$J337/100)))</x:f>
      </x:c>
    </x:row>
    <x:row r="338">
      <x:c r="A338" s="13"/>
      <x:c r="B338" s="15"/>
      <x:c r="C338" s="7"/>
      <x:c r="D338" s="7"/>
      <x:c r="E338" s="7"/>
      <x:c r="F338" s="7"/>
      <x:c r="G338" s="16"/>
      <x:c r="H338" s="16"/>
      <x:c r="I338" s="9"/>
      <x:c r="J338" s="10"/>
      <x:c r="K338" s="7"/>
      <x:c r="L338" s="7"/>
      <x:c r="M338" s="7"/>
      <x:c r="N338" s="7"/>
      <x:c r="O338" s="9" t="str">
        <x:f>IF($A338="","",MAX(0,$G338*$H338*(1-$J338/100)))</x:f>
      </x:c>
    </x:row>
    <x:row r="339">
      <x:c r="A339" s="13"/>
      <x:c r="B339" s="15"/>
      <x:c r="C339" s="7"/>
      <x:c r="D339" s="7"/>
      <x:c r="E339" s="7"/>
      <x:c r="F339" s="7"/>
      <x:c r="G339" s="16"/>
      <x:c r="H339" s="16"/>
      <x:c r="I339" s="9"/>
      <x:c r="J339" s="10"/>
      <x:c r="K339" s="7"/>
      <x:c r="L339" s="7"/>
      <x:c r="M339" s="7"/>
      <x:c r="N339" s="7"/>
      <x:c r="O339" s="9" t="str">
        <x:f>IF($A339="","",MAX(0,$G339*$H339*(1-$J339/100)))</x:f>
      </x:c>
    </x:row>
    <x:row r="340">
      <x:c r="A340" s="13"/>
      <x:c r="B340" s="15"/>
      <x:c r="C340" s="7"/>
      <x:c r="D340" s="7"/>
      <x:c r="E340" s="7"/>
      <x:c r="F340" s="7"/>
      <x:c r="G340" s="16"/>
      <x:c r="H340" s="16"/>
      <x:c r="I340" s="9"/>
      <x:c r="J340" s="10"/>
      <x:c r="K340" s="7"/>
      <x:c r="L340" s="7"/>
      <x:c r="M340" s="7"/>
      <x:c r="N340" s="7"/>
      <x:c r="O340" s="9" t="str">
        <x:f>IF($A340="","",MAX(0,$G340*$H340*(1-$J340/100)))</x:f>
      </x:c>
    </x:row>
    <x:row r="341">
      <x:c r="A341" s="13"/>
      <x:c r="B341" s="15"/>
      <x:c r="C341" s="7"/>
      <x:c r="D341" s="7"/>
      <x:c r="E341" s="7"/>
      <x:c r="F341" s="7"/>
      <x:c r="G341" s="16"/>
      <x:c r="H341" s="16"/>
      <x:c r="I341" s="9"/>
      <x:c r="J341" s="10"/>
      <x:c r="K341" s="7"/>
      <x:c r="L341" s="7"/>
      <x:c r="M341" s="7"/>
      <x:c r="N341" s="7"/>
      <x:c r="O341" s="9" t="str">
        <x:f>IF($A341="","",MAX(0,$G341*$H341*(1-$J341/100)))</x:f>
      </x:c>
    </x:row>
    <x:row r="342">
      <x:c r="A342" s="13"/>
      <x:c r="B342" s="15"/>
      <x:c r="C342" s="7"/>
      <x:c r="D342" s="7"/>
      <x:c r="E342" s="7"/>
      <x:c r="F342" s="7"/>
      <x:c r="G342" s="16"/>
      <x:c r="H342" s="16"/>
      <x:c r="I342" s="9"/>
      <x:c r="J342" s="10"/>
      <x:c r="K342" s="7"/>
      <x:c r="L342" s="7"/>
      <x:c r="M342" s="7"/>
      <x:c r="N342" s="7"/>
      <x:c r="O342" s="9" t="str">
        <x:f>IF($A342="","",MAX(0,$G342*$H342*(1-$J342/100)))</x:f>
      </x:c>
    </x:row>
    <x:row r="343">
      <x:c r="A343" s="13"/>
      <x:c r="B343" s="15"/>
      <x:c r="C343" s="7"/>
      <x:c r="D343" s="7"/>
      <x:c r="E343" s="7"/>
      <x:c r="F343" s="7"/>
      <x:c r="G343" s="16"/>
      <x:c r="H343" s="16"/>
      <x:c r="I343" s="9"/>
      <x:c r="J343" s="10"/>
      <x:c r="K343" s="7"/>
      <x:c r="L343" s="7"/>
      <x:c r="M343" s="7"/>
      <x:c r="N343" s="7"/>
      <x:c r="O343" s="9" t="str">
        <x:f>IF($A343="","",MAX(0,$G343*$H343*(1-$J343/100)))</x:f>
      </x:c>
    </x:row>
    <x:row r="344">
      <x:c r="A344" s="13"/>
      <x:c r="B344" s="15"/>
      <x:c r="C344" s="7"/>
      <x:c r="D344" s="7"/>
      <x:c r="E344" s="7"/>
      <x:c r="F344" s="7"/>
      <x:c r="G344" s="16"/>
      <x:c r="H344" s="16"/>
      <x:c r="I344" s="9"/>
      <x:c r="J344" s="10"/>
      <x:c r="K344" s="7"/>
      <x:c r="L344" s="7"/>
      <x:c r="M344" s="7"/>
      <x:c r="N344" s="7"/>
      <x:c r="O344" s="9" t="str">
        <x:f>IF($A344="","",MAX(0,$G344*$H344*(1-$J344/100)))</x:f>
      </x:c>
    </x:row>
    <x:row r="345">
      <x:c r="A345" s="13"/>
      <x:c r="B345" s="15"/>
      <x:c r="C345" s="7"/>
      <x:c r="D345" s="7"/>
      <x:c r="E345" s="7"/>
      <x:c r="F345" s="7"/>
      <x:c r="G345" s="16"/>
      <x:c r="H345" s="16"/>
      <x:c r="I345" s="9"/>
      <x:c r="J345" s="10"/>
      <x:c r="K345" s="7"/>
      <x:c r="L345" s="7"/>
      <x:c r="M345" s="7"/>
      <x:c r="N345" s="7"/>
      <x:c r="O345" s="9" t="str">
        <x:f>IF($A345="","",MAX(0,$G345*$H345*(1-$J345/100)))</x:f>
      </x:c>
    </x:row>
    <x:row r="346">
      <x:c r="A346" s="13"/>
      <x:c r="B346" s="15"/>
      <x:c r="C346" s="7"/>
      <x:c r="D346" s="7"/>
      <x:c r="E346" s="7"/>
      <x:c r="F346" s="7"/>
      <x:c r="G346" s="16"/>
      <x:c r="H346" s="16"/>
      <x:c r="I346" s="9"/>
      <x:c r="J346" s="10"/>
      <x:c r="K346" s="7"/>
      <x:c r="L346" s="7"/>
      <x:c r="M346" s="7"/>
      <x:c r="N346" s="7"/>
      <x:c r="O346" s="9" t="str">
        <x:f>IF($A346="","",MAX(0,$G346*$H346*(1-$J346/100)))</x:f>
      </x:c>
    </x:row>
    <x:row r="347">
      <x:c r="A347" s="13"/>
      <x:c r="B347" s="15"/>
      <x:c r="C347" s="7"/>
      <x:c r="D347" s="7"/>
      <x:c r="E347" s="7"/>
      <x:c r="F347" s="7"/>
      <x:c r="G347" s="16"/>
      <x:c r="H347" s="16"/>
      <x:c r="I347" s="9"/>
      <x:c r="J347" s="10"/>
      <x:c r="K347" s="7"/>
      <x:c r="L347" s="7"/>
      <x:c r="M347" s="7"/>
      <x:c r="N347" s="7"/>
      <x:c r="O347" s="9" t="str">
        <x:f>IF($A347="","",MAX(0,$G347*$H347*(1-$J347/100)))</x:f>
      </x:c>
    </x:row>
    <x:row r="348">
      <x:c r="A348" s="13"/>
      <x:c r="B348" s="15"/>
      <x:c r="C348" s="7"/>
      <x:c r="D348" s="7"/>
      <x:c r="E348" s="7"/>
      <x:c r="F348" s="7"/>
      <x:c r="G348" s="16"/>
      <x:c r="H348" s="16"/>
      <x:c r="I348" s="9"/>
      <x:c r="J348" s="10"/>
      <x:c r="K348" s="7"/>
      <x:c r="L348" s="7"/>
      <x:c r="M348" s="7"/>
      <x:c r="N348" s="7"/>
      <x:c r="O348" s="9" t="str">
        <x:f>IF($A348="","",MAX(0,$G348*$H348*(1-$J348/100)))</x:f>
      </x:c>
    </x:row>
    <x:row r="349">
      <x:c r="A349" s="13"/>
      <x:c r="B349" s="15"/>
      <x:c r="C349" s="7"/>
      <x:c r="D349" s="7"/>
      <x:c r="E349" s="7"/>
      <x:c r="F349" s="7"/>
      <x:c r="G349" s="16"/>
      <x:c r="H349" s="16"/>
      <x:c r="I349" s="9"/>
      <x:c r="J349" s="10"/>
      <x:c r="K349" s="7"/>
      <x:c r="L349" s="7"/>
      <x:c r="M349" s="7"/>
      <x:c r="N349" s="7"/>
      <x:c r="O349" s="9" t="str">
        <x:f>IF($A349="","",MAX(0,$G349*$H349*(1-$J349/100)))</x:f>
      </x:c>
    </x:row>
    <x:row r="350">
      <x:c r="A350" s="13"/>
      <x:c r="B350" s="15"/>
      <x:c r="C350" s="7"/>
      <x:c r="D350" s="7"/>
      <x:c r="E350" s="7"/>
      <x:c r="F350" s="7"/>
      <x:c r="G350" s="16"/>
      <x:c r="H350" s="16"/>
      <x:c r="I350" s="9"/>
      <x:c r="J350" s="10"/>
      <x:c r="K350" s="7"/>
      <x:c r="L350" s="7"/>
      <x:c r="M350" s="7"/>
      <x:c r="N350" s="7"/>
      <x:c r="O350" s="9" t="str">
        <x:f>IF($A350="","",MAX(0,$G350*$H350*(1-$J350/100)))</x:f>
      </x:c>
    </x:row>
    <x:row r="351">
      <x:c r="A351" s="13"/>
      <x:c r="B351" s="15"/>
      <x:c r="C351" s="7"/>
      <x:c r="D351" s="7"/>
      <x:c r="E351" s="7"/>
      <x:c r="F351" s="7"/>
      <x:c r="G351" s="16"/>
      <x:c r="H351" s="16"/>
      <x:c r="I351" s="9"/>
      <x:c r="J351" s="10"/>
      <x:c r="K351" s="7"/>
      <x:c r="L351" s="7"/>
      <x:c r="M351" s="7"/>
      <x:c r="N351" s="7"/>
      <x:c r="O351" s="9" t="str">
        <x:f>IF($A351="","",MAX(0,$G351*$H351*(1-$J351/100)))</x:f>
      </x:c>
    </x:row>
    <x:row r="352">
      <x:c r="A352" s="13"/>
      <x:c r="B352" s="15"/>
      <x:c r="C352" s="7"/>
      <x:c r="D352" s="7"/>
      <x:c r="E352" s="7"/>
      <x:c r="F352" s="7"/>
      <x:c r="G352" s="16"/>
      <x:c r="H352" s="16"/>
      <x:c r="I352" s="9"/>
      <x:c r="J352" s="10"/>
      <x:c r="K352" s="7"/>
      <x:c r="L352" s="7"/>
      <x:c r="M352" s="7"/>
      <x:c r="N352" s="7"/>
      <x:c r="O352" s="9" t="str">
        <x:f>IF($A352="","",MAX(0,$G352*$H352*(1-$J352/100)))</x:f>
      </x:c>
    </x:row>
    <x:row r="353">
      <x:c r="A353" s="13"/>
      <x:c r="B353" s="15"/>
      <x:c r="C353" s="7"/>
      <x:c r="D353" s="7"/>
      <x:c r="E353" s="7"/>
      <x:c r="F353" s="7"/>
      <x:c r="G353" s="16"/>
      <x:c r="H353" s="16"/>
      <x:c r="I353" s="9"/>
      <x:c r="J353" s="10"/>
      <x:c r="K353" s="7"/>
      <x:c r="L353" s="7"/>
      <x:c r="M353" s="7"/>
      <x:c r="N353" s="7"/>
      <x:c r="O353" s="9" t="str">
        <x:f>IF($A353="","",MAX(0,$G353*$H353*(1-$J353/100)))</x:f>
      </x:c>
    </x:row>
    <x:row r="354">
      <x:c r="A354" s="13"/>
      <x:c r="B354" s="15"/>
      <x:c r="C354" s="7"/>
      <x:c r="D354" s="7"/>
      <x:c r="E354" s="7"/>
      <x:c r="F354" s="7"/>
      <x:c r="G354" s="16"/>
      <x:c r="H354" s="16"/>
      <x:c r="I354" s="9"/>
      <x:c r="J354" s="10"/>
      <x:c r="K354" s="7"/>
      <x:c r="L354" s="7"/>
      <x:c r="M354" s="7"/>
      <x:c r="N354" s="7"/>
      <x:c r="O354" s="9" t="str">
        <x:f>IF($A354="","",MAX(0,$G354*$H354*(1-$J354/100)))</x:f>
      </x:c>
    </x:row>
    <x:row r="355">
      <x:c r="A355" s="13"/>
      <x:c r="B355" s="15"/>
      <x:c r="C355" s="7"/>
      <x:c r="D355" s="7"/>
      <x:c r="E355" s="7"/>
      <x:c r="F355" s="7"/>
      <x:c r="G355" s="16"/>
      <x:c r="H355" s="16"/>
      <x:c r="I355" s="9"/>
      <x:c r="J355" s="10"/>
      <x:c r="K355" s="7"/>
      <x:c r="L355" s="7"/>
      <x:c r="M355" s="7"/>
      <x:c r="N355" s="7"/>
      <x:c r="O355" s="9" t="str">
        <x:f>IF($A355="","",MAX(0,$G355*$H355*(1-$J355/100)))</x:f>
      </x:c>
    </x:row>
    <x:row r="356">
      <x:c r="A356" s="13"/>
      <x:c r="B356" s="15"/>
      <x:c r="C356" s="7"/>
      <x:c r="D356" s="7"/>
      <x:c r="E356" s="7"/>
      <x:c r="F356" s="7"/>
      <x:c r="G356" s="16"/>
      <x:c r="H356" s="16"/>
      <x:c r="I356" s="9"/>
      <x:c r="J356" s="10"/>
      <x:c r="K356" s="7"/>
      <x:c r="L356" s="7"/>
      <x:c r="M356" s="7"/>
      <x:c r="N356" s="7"/>
      <x:c r="O356" s="9" t="str">
        <x:f>IF($A356="","",MAX(0,$G356*$H356*(1-$J356/100)))</x:f>
      </x:c>
    </x:row>
    <x:row r="357">
      <x:c r="A357" s="13"/>
      <x:c r="B357" s="15"/>
      <x:c r="C357" s="7"/>
      <x:c r="D357" s="7"/>
      <x:c r="E357" s="7"/>
      <x:c r="F357" s="7"/>
      <x:c r="G357" s="16"/>
      <x:c r="H357" s="16"/>
      <x:c r="I357" s="9"/>
      <x:c r="J357" s="10"/>
      <x:c r="K357" s="7"/>
      <x:c r="L357" s="7"/>
      <x:c r="M357" s="7"/>
      <x:c r="N357" s="7"/>
      <x:c r="O357" s="9" t="str">
        <x:f>IF($A357="","",MAX(0,$G357*$H357*(1-$J357/100)))</x:f>
      </x:c>
    </x:row>
    <x:row r="358">
      <x:c r="A358" s="13"/>
      <x:c r="B358" s="15"/>
      <x:c r="C358" s="7"/>
      <x:c r="D358" s="7"/>
      <x:c r="E358" s="7"/>
      <x:c r="F358" s="7"/>
      <x:c r="G358" s="16"/>
      <x:c r="H358" s="16"/>
      <x:c r="I358" s="9"/>
      <x:c r="J358" s="10"/>
      <x:c r="K358" s="7"/>
      <x:c r="L358" s="7"/>
      <x:c r="M358" s="7"/>
      <x:c r="N358" s="7"/>
      <x:c r="O358" s="9" t="str">
        <x:f>IF($A358="","",MAX(0,$G358*$H358*(1-$J358/100)))</x:f>
      </x:c>
    </x:row>
    <x:row r="359">
      <x:c r="A359" s="13"/>
      <x:c r="B359" s="15"/>
      <x:c r="C359" s="7"/>
      <x:c r="D359" s="7"/>
      <x:c r="E359" s="7"/>
      <x:c r="F359" s="7"/>
      <x:c r="G359" s="16"/>
      <x:c r="H359" s="16"/>
      <x:c r="I359" s="9"/>
      <x:c r="J359" s="10"/>
      <x:c r="K359" s="7"/>
      <x:c r="L359" s="7"/>
      <x:c r="M359" s="7"/>
      <x:c r="N359" s="7"/>
      <x:c r="O359" s="9" t="str">
        <x:f>IF($A359="","",MAX(0,$G359*$H359*(1-$J359/100)))</x:f>
      </x:c>
    </x:row>
    <x:row r="360">
      <x:c r="A360" s="13"/>
      <x:c r="B360" s="15"/>
      <x:c r="C360" s="7"/>
      <x:c r="D360" s="7"/>
      <x:c r="E360" s="7"/>
      <x:c r="F360" s="7"/>
      <x:c r="G360" s="16"/>
      <x:c r="H360" s="16"/>
      <x:c r="I360" s="9"/>
      <x:c r="J360" s="10"/>
      <x:c r="K360" s="7"/>
      <x:c r="L360" s="7"/>
      <x:c r="M360" s="7"/>
      <x:c r="N360" s="7"/>
      <x:c r="O360" s="9" t="str">
        <x:f>IF($A360="","",MAX(0,$G360*$H360*(1-$J360/100)))</x:f>
      </x:c>
    </x:row>
    <x:row r="361">
      <x:c r="A361" s="13"/>
      <x:c r="B361" s="15"/>
      <x:c r="C361" s="7"/>
      <x:c r="D361" s="7"/>
      <x:c r="E361" s="7"/>
      <x:c r="F361" s="7"/>
      <x:c r="G361" s="16"/>
      <x:c r="H361" s="16"/>
      <x:c r="I361" s="9"/>
      <x:c r="J361" s="10"/>
      <x:c r="K361" s="7"/>
      <x:c r="L361" s="7"/>
      <x:c r="M361" s="7"/>
      <x:c r="N361" s="7"/>
      <x:c r="O361" s="9" t="str">
        <x:f>IF($A361="","",MAX(0,$G361*$H361*(1-$J361/100)))</x:f>
      </x:c>
    </x:row>
    <x:row r="362">
      <x:c r="A362" s="13"/>
      <x:c r="B362" s="15"/>
      <x:c r="C362" s="7"/>
      <x:c r="D362" s="7"/>
      <x:c r="E362" s="7"/>
      <x:c r="F362" s="7"/>
      <x:c r="G362" s="16"/>
      <x:c r="H362" s="16"/>
      <x:c r="I362" s="9"/>
      <x:c r="J362" s="10"/>
      <x:c r="K362" s="7"/>
      <x:c r="L362" s="7"/>
      <x:c r="M362" s="7"/>
      <x:c r="N362" s="7"/>
      <x:c r="O362" s="9" t="str">
        <x:f>IF($A362="","",MAX(0,$G362*$H362*(1-$J362/100)))</x:f>
      </x:c>
    </x:row>
    <x:row r="363">
      <x:c r="A363" s="13"/>
      <x:c r="B363" s="15"/>
      <x:c r="C363" s="7"/>
      <x:c r="D363" s="7"/>
      <x:c r="E363" s="7"/>
      <x:c r="F363" s="7"/>
      <x:c r="G363" s="16"/>
      <x:c r="H363" s="16"/>
      <x:c r="I363" s="9"/>
      <x:c r="J363" s="10"/>
      <x:c r="K363" s="7"/>
      <x:c r="L363" s="7"/>
      <x:c r="M363" s="7"/>
      <x:c r="N363" s="7"/>
      <x:c r="O363" s="9" t="str">
        <x:f>IF($A363="","",MAX(0,$G363*$H363*(1-$J363/100)))</x:f>
      </x:c>
    </x:row>
    <x:row r="364">
      <x:c r="A364" s="13"/>
      <x:c r="B364" s="15"/>
      <x:c r="C364" s="7"/>
      <x:c r="D364" s="7"/>
      <x:c r="E364" s="7"/>
      <x:c r="F364" s="7"/>
      <x:c r="G364" s="16"/>
      <x:c r="H364" s="16"/>
      <x:c r="I364" s="9"/>
      <x:c r="J364" s="10"/>
      <x:c r="K364" s="7"/>
      <x:c r="L364" s="7"/>
      <x:c r="M364" s="7"/>
      <x:c r="N364" s="7"/>
      <x:c r="O364" s="9" t="str">
        <x:f>IF($A364="","",MAX(0,$G364*$H364*(1-$J364/100)))</x:f>
      </x:c>
    </x:row>
    <x:row r="365">
      <x:c r="A365" s="13"/>
      <x:c r="B365" s="15"/>
      <x:c r="C365" s="7"/>
      <x:c r="D365" s="7"/>
      <x:c r="E365" s="7"/>
      <x:c r="F365" s="7"/>
      <x:c r="G365" s="16"/>
      <x:c r="H365" s="16"/>
      <x:c r="I365" s="9"/>
      <x:c r="J365" s="10"/>
      <x:c r="K365" s="7"/>
      <x:c r="L365" s="7"/>
      <x:c r="M365" s="7"/>
      <x:c r="N365" s="7"/>
      <x:c r="O365" s="9" t="str">
        <x:f>IF($A365="","",MAX(0,$G365*$H365*(1-$J365/100)))</x:f>
      </x:c>
    </x:row>
    <x:row r="366">
      <x:c r="A366" s="13"/>
      <x:c r="B366" s="15"/>
      <x:c r="C366" s="7"/>
      <x:c r="D366" s="7"/>
      <x:c r="E366" s="7"/>
      <x:c r="F366" s="7"/>
      <x:c r="G366" s="16"/>
      <x:c r="H366" s="16"/>
      <x:c r="I366" s="9"/>
      <x:c r="J366" s="10"/>
      <x:c r="K366" s="7"/>
      <x:c r="L366" s="7"/>
      <x:c r="M366" s="7"/>
      <x:c r="N366" s="7"/>
      <x:c r="O366" s="9" t="str">
        <x:f>IF($A366="","",MAX(0,$G366*$H366*(1-$J366/100)))</x:f>
      </x:c>
    </x:row>
    <x:row r="367">
      <x:c r="A367" s="13"/>
      <x:c r="B367" s="15"/>
      <x:c r="C367" s="7"/>
      <x:c r="D367" s="7"/>
      <x:c r="E367" s="7"/>
      <x:c r="F367" s="7"/>
      <x:c r="G367" s="16"/>
      <x:c r="H367" s="16"/>
      <x:c r="I367" s="9"/>
      <x:c r="J367" s="10"/>
      <x:c r="K367" s="7"/>
      <x:c r="L367" s="7"/>
      <x:c r="M367" s="7"/>
      <x:c r="N367" s="7"/>
      <x:c r="O367" s="9" t="str">
        <x:f>IF($A367="","",MAX(0,$G367*$H367*(1-$J367/100)))</x:f>
      </x:c>
    </x:row>
    <x:row r="368">
      <x:c r="A368" s="13"/>
      <x:c r="B368" s="15"/>
      <x:c r="C368" s="7"/>
      <x:c r="D368" s="7"/>
      <x:c r="E368" s="7"/>
      <x:c r="F368" s="7"/>
      <x:c r="G368" s="16"/>
      <x:c r="H368" s="16"/>
      <x:c r="I368" s="9"/>
      <x:c r="J368" s="10"/>
      <x:c r="K368" s="7"/>
      <x:c r="L368" s="7"/>
      <x:c r="M368" s="7"/>
      <x:c r="N368" s="7"/>
      <x:c r="O368" s="9" t="str">
        <x:f>IF($A368="","",MAX(0,$G368*$H368*(1-$J368/100)))</x:f>
      </x:c>
    </x:row>
    <x:row r="369">
      <x:c r="A369" s="13"/>
      <x:c r="B369" s="15"/>
      <x:c r="C369" s="7"/>
      <x:c r="D369" s="7"/>
      <x:c r="E369" s="7"/>
      <x:c r="F369" s="7"/>
      <x:c r="G369" s="16"/>
      <x:c r="H369" s="16"/>
      <x:c r="I369" s="9"/>
      <x:c r="J369" s="10"/>
      <x:c r="K369" s="7"/>
      <x:c r="L369" s="7"/>
      <x:c r="M369" s="7"/>
      <x:c r="N369" s="7"/>
      <x:c r="O369" s="9" t="str">
        <x:f>IF($A369="","",MAX(0,$G369*$H369*(1-$J369/100)))</x:f>
      </x:c>
    </x:row>
    <x:row r="370">
      <x:c r="A370" s="13"/>
      <x:c r="B370" s="15"/>
      <x:c r="C370" s="7"/>
      <x:c r="D370" s="7"/>
      <x:c r="E370" s="7"/>
      <x:c r="F370" s="7"/>
      <x:c r="G370" s="16"/>
      <x:c r="H370" s="16"/>
      <x:c r="I370" s="9"/>
      <x:c r="J370" s="10"/>
      <x:c r="K370" s="7"/>
      <x:c r="L370" s="7"/>
      <x:c r="M370" s="7"/>
      <x:c r="N370" s="7"/>
      <x:c r="O370" s="9" t="str">
        <x:f>IF($A370="","",MAX(0,$G370*$H370*(1-$J370/100)))</x:f>
      </x:c>
    </x:row>
    <x:row r="371">
      <x:c r="A371" s="13"/>
      <x:c r="B371" s="15"/>
      <x:c r="C371" s="7"/>
      <x:c r="D371" s="7"/>
      <x:c r="E371" s="7"/>
      <x:c r="F371" s="7"/>
      <x:c r="G371" s="16"/>
      <x:c r="H371" s="16"/>
      <x:c r="I371" s="9"/>
      <x:c r="J371" s="10"/>
      <x:c r="K371" s="7"/>
      <x:c r="L371" s="7"/>
      <x:c r="M371" s="7"/>
      <x:c r="N371" s="7"/>
      <x:c r="O371" s="9" t="str">
        <x:f>IF($A371="","",MAX(0,$G371*$H371*(1-$J371/100)))</x:f>
      </x:c>
    </x:row>
    <x:row r="372">
      <x:c r="A372" s="13"/>
      <x:c r="B372" s="15"/>
      <x:c r="C372" s="7"/>
      <x:c r="D372" s="7"/>
      <x:c r="E372" s="7"/>
      <x:c r="F372" s="7"/>
      <x:c r="G372" s="16"/>
      <x:c r="H372" s="16"/>
      <x:c r="I372" s="9"/>
      <x:c r="J372" s="10"/>
      <x:c r="K372" s="7"/>
      <x:c r="L372" s="7"/>
      <x:c r="M372" s="7"/>
      <x:c r="N372" s="7"/>
      <x:c r="O372" s="9" t="str">
        <x:f>IF($A372="","",MAX(0,$G372*$H372*(1-$J372/100)))</x:f>
      </x:c>
    </x:row>
    <x:row r="373">
      <x:c r="A373" s="13"/>
      <x:c r="B373" s="15"/>
      <x:c r="C373" s="7"/>
      <x:c r="D373" s="7"/>
      <x:c r="E373" s="7"/>
      <x:c r="F373" s="7"/>
      <x:c r="G373" s="16"/>
      <x:c r="H373" s="16"/>
      <x:c r="I373" s="9"/>
      <x:c r="J373" s="10"/>
      <x:c r="K373" s="7"/>
      <x:c r="L373" s="7"/>
      <x:c r="M373" s="7"/>
      <x:c r="N373" s="7"/>
      <x:c r="O373" s="9" t="str">
        <x:f>IF($A373="","",MAX(0,$G373*$H373*(1-$J373/100)))</x:f>
      </x:c>
    </x:row>
    <x:row r="374">
      <x:c r="A374" s="13"/>
      <x:c r="B374" s="15"/>
      <x:c r="C374" s="7"/>
      <x:c r="D374" s="7"/>
      <x:c r="E374" s="7"/>
      <x:c r="F374" s="7"/>
      <x:c r="G374" s="16"/>
      <x:c r="H374" s="16"/>
      <x:c r="I374" s="9"/>
      <x:c r="J374" s="10"/>
      <x:c r="K374" s="7"/>
      <x:c r="L374" s="7"/>
      <x:c r="M374" s="7"/>
      <x:c r="N374" s="7"/>
      <x:c r="O374" s="9" t="str">
        <x:f>IF($A374="","",MAX(0,$G374*$H374*(1-$J374/100)))</x:f>
      </x:c>
    </x:row>
    <x:row r="375">
      <x:c r="A375" s="13"/>
      <x:c r="B375" s="15"/>
      <x:c r="C375" s="7"/>
      <x:c r="D375" s="7"/>
      <x:c r="E375" s="7"/>
      <x:c r="F375" s="7"/>
      <x:c r="G375" s="16"/>
      <x:c r="H375" s="16"/>
      <x:c r="I375" s="9"/>
      <x:c r="J375" s="10"/>
      <x:c r="K375" s="7"/>
      <x:c r="L375" s="7"/>
      <x:c r="M375" s="7"/>
      <x:c r="N375" s="7"/>
      <x:c r="O375" s="9" t="str">
        <x:f>IF($A375="","",MAX(0,$G375*$H375*(1-$J375/100)))</x:f>
      </x:c>
    </x:row>
    <x:row r="376">
      <x:c r="A376" s="13"/>
      <x:c r="B376" s="15"/>
      <x:c r="C376" s="7"/>
      <x:c r="D376" s="7"/>
      <x:c r="E376" s="7"/>
      <x:c r="F376" s="7"/>
      <x:c r="G376" s="16"/>
      <x:c r="H376" s="16"/>
      <x:c r="I376" s="9"/>
      <x:c r="J376" s="10"/>
      <x:c r="K376" s="7"/>
      <x:c r="L376" s="7"/>
      <x:c r="M376" s="7"/>
      <x:c r="N376" s="7"/>
      <x:c r="O376" s="9" t="str">
        <x:f>IF($A376="","",MAX(0,$G376*$H376*(1-$J376/100)))</x:f>
      </x:c>
    </x:row>
    <x:row r="377">
      <x:c r="A377" s="13"/>
      <x:c r="B377" s="15"/>
      <x:c r="C377" s="7"/>
      <x:c r="D377" s="7"/>
      <x:c r="E377" s="7"/>
      <x:c r="F377" s="7"/>
      <x:c r="G377" s="16"/>
      <x:c r="H377" s="16"/>
      <x:c r="I377" s="9"/>
      <x:c r="J377" s="10"/>
      <x:c r="K377" s="7"/>
      <x:c r="L377" s="7"/>
      <x:c r="M377" s="7"/>
      <x:c r="N377" s="7"/>
      <x:c r="O377" s="9" t="str">
        <x:f>IF($A377="","",MAX(0,$G377*$H377*(1-$J377/100)))</x:f>
      </x:c>
    </x:row>
    <x:row r="378">
      <x:c r="A378" s="13"/>
      <x:c r="B378" s="15"/>
      <x:c r="C378" s="7"/>
      <x:c r="D378" s="7"/>
      <x:c r="E378" s="7"/>
      <x:c r="F378" s="7"/>
      <x:c r="G378" s="16"/>
      <x:c r="H378" s="16"/>
      <x:c r="I378" s="9"/>
      <x:c r="J378" s="10"/>
      <x:c r="K378" s="7"/>
      <x:c r="L378" s="7"/>
      <x:c r="M378" s="7"/>
      <x:c r="N378" s="7"/>
      <x:c r="O378" s="9" t="str">
        <x:f>IF($A378="","",MAX(0,$G378*$H378*(1-$J378/100)))</x:f>
      </x:c>
    </x:row>
    <x:row r="379">
      <x:c r="A379" s="13"/>
      <x:c r="B379" s="15"/>
      <x:c r="C379" s="7"/>
      <x:c r="D379" s="7"/>
      <x:c r="E379" s="7"/>
      <x:c r="F379" s="7"/>
      <x:c r="G379" s="16"/>
      <x:c r="H379" s="16"/>
      <x:c r="I379" s="9"/>
      <x:c r="J379" s="10"/>
      <x:c r="K379" s="7"/>
      <x:c r="L379" s="7"/>
      <x:c r="M379" s="7"/>
      <x:c r="N379" s="7"/>
      <x:c r="O379" s="9" t="str">
        <x:f>IF($A379="","",MAX(0,$G379*$H379*(1-$J379/100)))</x:f>
      </x:c>
    </x:row>
    <x:row r="380">
      <x:c r="A380" s="13"/>
      <x:c r="B380" s="15"/>
      <x:c r="C380" s="7"/>
      <x:c r="D380" s="7"/>
      <x:c r="E380" s="7"/>
      <x:c r="F380" s="7"/>
      <x:c r="G380" s="16"/>
      <x:c r="H380" s="16"/>
      <x:c r="I380" s="9"/>
      <x:c r="J380" s="10"/>
      <x:c r="K380" s="7"/>
      <x:c r="L380" s="7"/>
      <x:c r="M380" s="7"/>
      <x:c r="N380" s="7"/>
      <x:c r="O380" s="9" t="str">
        <x:f>IF($A380="","",MAX(0,$G380*$H380*(1-$J380/100)))</x:f>
      </x:c>
    </x:row>
    <x:row r="381">
      <x:c r="A381" s="13"/>
      <x:c r="B381" s="15"/>
      <x:c r="C381" s="7"/>
      <x:c r="D381" s="7"/>
      <x:c r="E381" s="7"/>
      <x:c r="F381" s="7"/>
      <x:c r="G381" s="16"/>
      <x:c r="H381" s="16"/>
      <x:c r="I381" s="9"/>
      <x:c r="J381" s="10"/>
      <x:c r="K381" s="7"/>
      <x:c r="L381" s="7"/>
      <x:c r="M381" s="7"/>
      <x:c r="N381" s="7"/>
      <x:c r="O381" s="9" t="str">
        <x:f>IF($A381="","",MAX(0,$G381*$H381*(1-$J381/100)))</x:f>
      </x:c>
    </x:row>
    <x:row r="382">
      <x:c r="A382" s="13"/>
      <x:c r="B382" s="15"/>
      <x:c r="C382" s="7"/>
      <x:c r="D382" s="7"/>
      <x:c r="E382" s="7"/>
      <x:c r="F382" s="7"/>
      <x:c r="G382" s="16"/>
      <x:c r="H382" s="16"/>
      <x:c r="I382" s="9"/>
      <x:c r="J382" s="10"/>
      <x:c r="K382" s="7"/>
      <x:c r="L382" s="7"/>
      <x:c r="M382" s="7"/>
      <x:c r="N382" s="7"/>
      <x:c r="O382" s="9" t="str">
        <x:f>IF($A382="","",MAX(0,$G382*$H382*(1-$J382/100)))</x:f>
      </x:c>
    </x:row>
    <x:row r="383">
      <x:c r="A383" s="13"/>
      <x:c r="B383" s="15"/>
      <x:c r="C383" s="7"/>
      <x:c r="D383" s="7"/>
      <x:c r="E383" s="7"/>
      <x:c r="F383" s="7"/>
      <x:c r="G383" s="16"/>
      <x:c r="H383" s="16"/>
      <x:c r="I383" s="9"/>
      <x:c r="J383" s="10"/>
      <x:c r="K383" s="7"/>
      <x:c r="L383" s="7"/>
      <x:c r="M383" s="7"/>
      <x:c r="N383" s="7"/>
      <x:c r="O383" s="9" t="str">
        <x:f>IF($A383="","",MAX(0,$G383*$H383*(1-$J383/100)))</x:f>
      </x:c>
    </x:row>
    <x:row r="384">
      <x:c r="A384" s="13"/>
      <x:c r="B384" s="15"/>
      <x:c r="C384" s="7"/>
      <x:c r="D384" s="7"/>
      <x:c r="E384" s="7"/>
      <x:c r="F384" s="7"/>
      <x:c r="G384" s="16"/>
      <x:c r="H384" s="16"/>
      <x:c r="I384" s="9"/>
      <x:c r="J384" s="10"/>
      <x:c r="K384" s="7"/>
      <x:c r="L384" s="7"/>
      <x:c r="M384" s="7"/>
      <x:c r="N384" s="7"/>
      <x:c r="O384" s="9" t="str">
        <x:f>IF($A384="","",MAX(0,$G384*$H384*(1-$J384/100)))</x:f>
      </x:c>
    </x:row>
    <x:row r="385">
      <x:c r="A385" s="13"/>
      <x:c r="B385" s="15"/>
      <x:c r="C385" s="7"/>
      <x:c r="D385" s="7"/>
      <x:c r="E385" s="7"/>
      <x:c r="F385" s="7"/>
      <x:c r="G385" s="16"/>
      <x:c r="H385" s="16"/>
      <x:c r="I385" s="9"/>
      <x:c r="J385" s="10"/>
      <x:c r="K385" s="7"/>
      <x:c r="L385" s="7"/>
      <x:c r="M385" s="7"/>
      <x:c r="N385" s="7"/>
      <x:c r="O385" s="9" t="str">
        <x:f>IF($A385="","",MAX(0,$G385*$H385*(1-$J385/100)))</x:f>
      </x:c>
    </x:row>
    <x:row r="386">
      <x:c r="A386" s="13"/>
      <x:c r="B386" s="15"/>
      <x:c r="C386" s="7"/>
      <x:c r="D386" s="7"/>
      <x:c r="E386" s="7"/>
      <x:c r="F386" s="7"/>
      <x:c r="G386" s="16"/>
      <x:c r="H386" s="16"/>
      <x:c r="I386" s="9"/>
      <x:c r="J386" s="10"/>
      <x:c r="K386" s="7"/>
      <x:c r="L386" s="7"/>
      <x:c r="M386" s="7"/>
      <x:c r="N386" s="7"/>
      <x:c r="O386" s="9" t="str">
        <x:f>IF($A386="","",MAX(0,$G386*$H386*(1-$J386/100)))</x:f>
      </x:c>
    </x:row>
    <x:row r="387">
      <x:c r="A387" s="13"/>
      <x:c r="B387" s="15"/>
      <x:c r="C387" s="7"/>
      <x:c r="D387" s="7"/>
      <x:c r="E387" s="7"/>
      <x:c r="F387" s="7"/>
      <x:c r="G387" s="16"/>
      <x:c r="H387" s="16"/>
      <x:c r="I387" s="9"/>
      <x:c r="J387" s="10"/>
      <x:c r="K387" s="7"/>
      <x:c r="L387" s="7"/>
      <x:c r="M387" s="7"/>
      <x:c r="N387" s="7"/>
      <x:c r="O387" s="9" t="str">
        <x:f>IF($A387="","",MAX(0,$G387*$H387*(1-$J387/100)))</x:f>
      </x:c>
    </x:row>
    <x:row r="388">
      <x:c r="A388" s="13"/>
      <x:c r="B388" s="15"/>
      <x:c r="C388" s="7"/>
      <x:c r="D388" s="7"/>
      <x:c r="E388" s="7"/>
      <x:c r="F388" s="7"/>
      <x:c r="G388" s="16"/>
      <x:c r="H388" s="16"/>
      <x:c r="I388" s="9"/>
      <x:c r="J388" s="10"/>
      <x:c r="K388" s="7"/>
      <x:c r="L388" s="7"/>
      <x:c r="M388" s="7"/>
      <x:c r="N388" s="7"/>
      <x:c r="O388" s="9" t="str">
        <x:f>IF($A388="","",MAX(0,$G388*$H388*(1-$J388/100)))</x:f>
      </x:c>
    </x:row>
    <x:row r="389">
      <x:c r="A389" s="13"/>
      <x:c r="B389" s="15"/>
      <x:c r="C389" s="7"/>
      <x:c r="D389" s="7"/>
      <x:c r="E389" s="7"/>
      <x:c r="F389" s="7"/>
      <x:c r="G389" s="16"/>
      <x:c r="H389" s="16"/>
      <x:c r="I389" s="9"/>
      <x:c r="J389" s="10"/>
      <x:c r="K389" s="7"/>
      <x:c r="L389" s="7"/>
      <x:c r="M389" s="7"/>
      <x:c r="N389" s="7"/>
      <x:c r="O389" s="9" t="str">
        <x:f>IF($A389="","",MAX(0,$G389*$H389*(1-$J389/100)))</x:f>
      </x:c>
    </x:row>
    <x:row r="390">
      <x:c r="A390" s="13"/>
      <x:c r="B390" s="15"/>
      <x:c r="C390" s="7"/>
      <x:c r="D390" s="7"/>
      <x:c r="E390" s="7"/>
      <x:c r="F390" s="7"/>
      <x:c r="G390" s="16"/>
      <x:c r="H390" s="16"/>
      <x:c r="I390" s="9"/>
      <x:c r="J390" s="10"/>
      <x:c r="K390" s="7"/>
      <x:c r="L390" s="7"/>
      <x:c r="M390" s="7"/>
      <x:c r="N390" s="7"/>
      <x:c r="O390" s="9" t="str">
        <x:f>IF($A390="","",MAX(0,$G390*$H390*(1-$J390/100)))</x:f>
      </x:c>
    </x:row>
    <x:row r="391">
      <x:c r="A391" s="13"/>
      <x:c r="B391" s="15"/>
      <x:c r="C391" s="7"/>
      <x:c r="D391" s="7"/>
      <x:c r="E391" s="7"/>
      <x:c r="F391" s="7"/>
      <x:c r="G391" s="16"/>
      <x:c r="H391" s="16"/>
      <x:c r="I391" s="9"/>
      <x:c r="J391" s="10"/>
      <x:c r="K391" s="7"/>
      <x:c r="L391" s="7"/>
      <x:c r="M391" s="7"/>
      <x:c r="N391" s="7"/>
      <x:c r="O391" s="9" t="str">
        <x:f>IF($A391="","",MAX(0,$G391*$H391*(1-$J391/100)))</x:f>
      </x:c>
    </x:row>
    <x:row r="392">
      <x:c r="A392" s="13"/>
      <x:c r="B392" s="15"/>
      <x:c r="C392" s="7"/>
      <x:c r="D392" s="7"/>
      <x:c r="E392" s="7"/>
      <x:c r="F392" s="7"/>
      <x:c r="G392" s="16"/>
      <x:c r="H392" s="16"/>
      <x:c r="I392" s="9"/>
      <x:c r="J392" s="10"/>
      <x:c r="K392" s="7"/>
      <x:c r="L392" s="7"/>
      <x:c r="M392" s="7"/>
      <x:c r="N392" s="7"/>
      <x:c r="O392" s="9" t="str">
        <x:f>IF($A392="","",MAX(0,$G392*$H392*(1-$J392/100)))</x:f>
      </x:c>
    </x:row>
    <x:row r="393">
      <x:c r="A393" s="13"/>
      <x:c r="B393" s="15"/>
      <x:c r="C393" s="7"/>
      <x:c r="D393" s="7"/>
      <x:c r="E393" s="7"/>
      <x:c r="F393" s="7"/>
      <x:c r="G393" s="16"/>
      <x:c r="H393" s="16"/>
      <x:c r="I393" s="9"/>
      <x:c r="J393" s="10"/>
      <x:c r="K393" s="7"/>
      <x:c r="L393" s="7"/>
      <x:c r="M393" s="7"/>
      <x:c r="N393" s="7"/>
      <x:c r="O393" s="9" t="str">
        <x:f>IF($A393="","",MAX(0,$G393*$H393*(1-$J393/100)))</x:f>
      </x:c>
    </x:row>
    <x:row r="394">
      <x:c r="A394" s="13"/>
      <x:c r="B394" s="15"/>
      <x:c r="C394" s="7"/>
      <x:c r="D394" s="7"/>
      <x:c r="E394" s="7"/>
      <x:c r="F394" s="7"/>
      <x:c r="G394" s="16"/>
      <x:c r="H394" s="16"/>
      <x:c r="I394" s="9"/>
      <x:c r="J394" s="10"/>
      <x:c r="K394" s="7"/>
      <x:c r="L394" s="7"/>
      <x:c r="M394" s="7"/>
      <x:c r="N394" s="7"/>
      <x:c r="O394" s="9" t="str">
        <x:f>IF($A394="","",MAX(0,$G394*$H394*(1-$J394/100)))</x:f>
      </x:c>
    </x:row>
    <x:row r="395">
      <x:c r="A395" s="13"/>
      <x:c r="B395" s="15"/>
      <x:c r="C395" s="7"/>
      <x:c r="D395" s="7"/>
      <x:c r="E395" s="7"/>
      <x:c r="F395" s="7"/>
      <x:c r="G395" s="16"/>
      <x:c r="H395" s="16"/>
      <x:c r="I395" s="9"/>
      <x:c r="J395" s="10"/>
      <x:c r="K395" s="7"/>
      <x:c r="L395" s="7"/>
      <x:c r="M395" s="7"/>
      <x:c r="N395" s="7"/>
      <x:c r="O395" s="9" t="str">
        <x:f>IF($A395="","",MAX(0,$G395*$H395*(1-$J395/100)))</x:f>
      </x:c>
    </x:row>
    <x:row r="396">
      <x:c r="A396" s="13"/>
      <x:c r="B396" s="15"/>
      <x:c r="C396" s="7"/>
      <x:c r="D396" s="7"/>
      <x:c r="E396" s="7"/>
      <x:c r="F396" s="7"/>
      <x:c r="G396" s="16"/>
      <x:c r="H396" s="16"/>
      <x:c r="I396" s="9"/>
      <x:c r="J396" s="10"/>
      <x:c r="K396" s="7"/>
      <x:c r="L396" s="7"/>
      <x:c r="M396" s="7"/>
      <x:c r="N396" s="7"/>
      <x:c r="O396" s="9" t="str">
        <x:f>IF($A396="","",MAX(0,$G396*$H396*(1-$J396/100)))</x:f>
      </x:c>
    </x:row>
    <x:row r="397">
      <x:c r="A397" s="13"/>
      <x:c r="B397" s="15"/>
      <x:c r="C397" s="7"/>
      <x:c r="D397" s="7"/>
      <x:c r="E397" s="7"/>
      <x:c r="F397" s="7"/>
      <x:c r="G397" s="16"/>
      <x:c r="H397" s="16"/>
      <x:c r="I397" s="9"/>
      <x:c r="J397" s="10"/>
      <x:c r="K397" s="7"/>
      <x:c r="L397" s="7"/>
      <x:c r="M397" s="7"/>
      <x:c r="N397" s="7"/>
      <x:c r="O397" s="9" t="str">
        <x:f>IF($A397="","",MAX(0,$G397*$H397*(1-$J397/100)))</x:f>
      </x:c>
    </x:row>
    <x:row r="398">
      <x:c r="A398" s="13"/>
      <x:c r="B398" s="15"/>
      <x:c r="C398" s="7"/>
      <x:c r="D398" s="7"/>
      <x:c r="E398" s="7"/>
      <x:c r="F398" s="7"/>
      <x:c r="G398" s="16"/>
      <x:c r="H398" s="16"/>
      <x:c r="I398" s="9"/>
      <x:c r="J398" s="10"/>
      <x:c r="K398" s="7"/>
      <x:c r="L398" s="7"/>
      <x:c r="M398" s="7"/>
      <x:c r="N398" s="7"/>
      <x:c r="O398" s="9" t="str">
        <x:f>IF($A398="","",MAX(0,$G398*$H398*(1-$J398/100)))</x:f>
      </x:c>
    </x:row>
    <x:row r="399">
      <x:c r="A399" s="13"/>
      <x:c r="B399" s="15"/>
      <x:c r="C399" s="7"/>
      <x:c r="D399" s="7"/>
      <x:c r="E399" s="7"/>
      <x:c r="F399" s="7"/>
      <x:c r="G399" s="16"/>
      <x:c r="H399" s="16"/>
      <x:c r="I399" s="9"/>
      <x:c r="J399" s="10"/>
      <x:c r="K399" s="7"/>
      <x:c r="L399" s="7"/>
      <x:c r="M399" s="7"/>
      <x:c r="N399" s="7"/>
      <x:c r="O399" s="9" t="str">
        <x:f>IF($A399="","",MAX(0,$G399*$H399*(1-$J399/100)))</x:f>
      </x:c>
    </x:row>
    <x:row r="400">
      <x:c r="A400" s="13"/>
      <x:c r="B400" s="15"/>
      <x:c r="C400" s="7"/>
      <x:c r="D400" s="7"/>
      <x:c r="E400" s="7"/>
      <x:c r="F400" s="7"/>
      <x:c r="G400" s="16"/>
      <x:c r="H400" s="16"/>
      <x:c r="I400" s="9"/>
      <x:c r="J400" s="10"/>
      <x:c r="K400" s="7"/>
      <x:c r="L400" s="7"/>
      <x:c r="M400" s="7"/>
      <x:c r="N400" s="7"/>
      <x:c r="O400" s="9" t="str">
        <x:f>IF($A400="","",MAX(0,$G400*$H400*(1-$J400/100)))</x:f>
      </x:c>
    </x:row>
    <x:row r="401">
      <x:c r="A401" s="13"/>
      <x:c r="B401" s="15"/>
      <x:c r="C401" s="7"/>
      <x:c r="D401" s="7"/>
      <x:c r="E401" s="7"/>
      <x:c r="F401" s="7"/>
      <x:c r="G401" s="16"/>
      <x:c r="H401" s="16"/>
      <x:c r="I401" s="9"/>
      <x:c r="J401" s="10"/>
      <x:c r="K401" s="7"/>
      <x:c r="L401" s="7"/>
      <x:c r="M401" s="7"/>
      <x:c r="N401" s="7"/>
      <x:c r="O401" s="9" t="str">
        <x:f>IF($A401="","",MAX(0,$G401*$H401*(1-$J401/100)))</x:f>
      </x:c>
    </x:row>
    <x:row r="402">
      <x:c r="A402" s="13"/>
      <x:c r="B402" s="15"/>
      <x:c r="C402" s="7"/>
      <x:c r="D402" s="7"/>
      <x:c r="E402" s="7"/>
      <x:c r="F402" s="7"/>
      <x:c r="G402" s="16"/>
      <x:c r="H402" s="16"/>
      <x:c r="I402" s="9"/>
      <x:c r="J402" s="10"/>
      <x:c r="K402" s="7"/>
      <x:c r="L402" s="7"/>
      <x:c r="M402" s="7"/>
      <x:c r="N402" s="7"/>
      <x:c r="O402" s="9" t="str">
        <x:f>IF($A402="","",MAX(0,$G402*$H402*(1-$J402/100)))</x:f>
      </x:c>
    </x:row>
    <x:row r="403">
      <x:c r="A403" s="13"/>
      <x:c r="B403" s="15"/>
      <x:c r="C403" s="7"/>
      <x:c r="D403" s="7"/>
      <x:c r="E403" s="7"/>
      <x:c r="F403" s="7"/>
      <x:c r="G403" s="16"/>
      <x:c r="H403" s="16"/>
      <x:c r="I403" s="9"/>
      <x:c r="J403" s="10"/>
      <x:c r="K403" s="7"/>
      <x:c r="L403" s="7"/>
      <x:c r="M403" s="7"/>
      <x:c r="N403" s="7"/>
      <x:c r="O403" s="9" t="str">
        <x:f>IF($A403="","",MAX(0,$G403*$H403*(1-$J403/100)))</x:f>
      </x:c>
    </x:row>
    <x:row r="404">
      <x:c r="A404" s="13"/>
      <x:c r="B404" s="15"/>
      <x:c r="C404" s="7"/>
      <x:c r="D404" s="7"/>
      <x:c r="E404" s="7"/>
      <x:c r="F404" s="7"/>
      <x:c r="G404" s="16"/>
      <x:c r="H404" s="16"/>
      <x:c r="I404" s="9"/>
      <x:c r="J404" s="10"/>
      <x:c r="K404" s="7"/>
      <x:c r="L404" s="7"/>
      <x:c r="M404" s="7"/>
      <x:c r="N404" s="7"/>
      <x:c r="O404" s="9" t="str">
        <x:f>IF($A404="","",MAX(0,$G404*$H404*(1-$J404/100)))</x:f>
      </x:c>
    </x:row>
    <x:row r="405">
      <x:c r="A405" s="13"/>
      <x:c r="B405" s="15"/>
      <x:c r="C405" s="7"/>
      <x:c r="D405" s="7"/>
      <x:c r="E405" s="7"/>
      <x:c r="F405" s="7"/>
      <x:c r="G405" s="16"/>
      <x:c r="H405" s="16"/>
      <x:c r="I405" s="9"/>
      <x:c r="J405" s="10"/>
      <x:c r="K405" s="7"/>
      <x:c r="L405" s="7"/>
      <x:c r="M405" s="7"/>
      <x:c r="N405" s="7"/>
      <x:c r="O405" s="9" t="str">
        <x:f>IF($A405="","",MAX(0,$G405*$H405*(1-$J405/100)))</x:f>
      </x:c>
    </x:row>
    <x:row r="406">
      <x:c r="A406" s="13"/>
      <x:c r="B406" s="15"/>
      <x:c r="C406" s="7"/>
      <x:c r="D406" s="7"/>
      <x:c r="E406" s="7"/>
      <x:c r="F406" s="7"/>
      <x:c r="G406" s="16"/>
      <x:c r="H406" s="16"/>
      <x:c r="I406" s="9"/>
      <x:c r="J406" s="10"/>
      <x:c r="K406" s="7"/>
      <x:c r="L406" s="7"/>
      <x:c r="M406" s="7"/>
      <x:c r="N406" s="7"/>
      <x:c r="O406" s="9" t="str">
        <x:f>IF($A406="","",MAX(0,$G406*$H406*(1-$J406/100)))</x:f>
      </x:c>
    </x:row>
    <x:row r="407">
      <x:c r="A407" s="13"/>
      <x:c r="B407" s="15"/>
      <x:c r="C407" s="7"/>
      <x:c r="D407" s="7"/>
      <x:c r="E407" s="7"/>
      <x:c r="F407" s="7"/>
      <x:c r="G407" s="16"/>
      <x:c r="H407" s="16"/>
      <x:c r="I407" s="9"/>
      <x:c r="J407" s="10"/>
      <x:c r="K407" s="7"/>
      <x:c r="L407" s="7"/>
      <x:c r="M407" s="7"/>
      <x:c r="N407" s="7"/>
      <x:c r="O407" s="9" t="str">
        <x:f>IF($A407="","",MAX(0,$G407*$H407*(1-$J407/100)))</x:f>
      </x:c>
    </x:row>
    <x:row r="408">
      <x:c r="A408" s="13"/>
      <x:c r="B408" s="15"/>
      <x:c r="C408" s="7"/>
      <x:c r="D408" s="7"/>
      <x:c r="E408" s="7"/>
      <x:c r="F408" s="7"/>
      <x:c r="G408" s="16"/>
      <x:c r="H408" s="16"/>
      <x:c r="I408" s="9"/>
      <x:c r="J408" s="10"/>
      <x:c r="K408" s="7"/>
      <x:c r="L408" s="7"/>
      <x:c r="M408" s="7"/>
      <x:c r="N408" s="7"/>
      <x:c r="O408" s="9" t="str">
        <x:f>IF($A408="","",MAX(0,$G408*$H408*(1-$J408/100)))</x:f>
      </x:c>
    </x:row>
    <x:row r="409">
      <x:c r="A409" s="13"/>
      <x:c r="B409" s="15"/>
      <x:c r="C409" s="7"/>
      <x:c r="D409" s="7"/>
      <x:c r="E409" s="7"/>
      <x:c r="F409" s="7"/>
      <x:c r="G409" s="16"/>
      <x:c r="H409" s="16"/>
      <x:c r="I409" s="9"/>
      <x:c r="J409" s="10"/>
      <x:c r="K409" s="7"/>
      <x:c r="L409" s="7"/>
      <x:c r="M409" s="7"/>
      <x:c r="N409" s="7"/>
      <x:c r="O409" s="9" t="str">
        <x:f>IF($A409="","",MAX(0,$G409*$H409*(1-$J409/100)))</x:f>
      </x:c>
    </x:row>
    <x:row r="410">
      <x:c r="A410" s="13"/>
      <x:c r="B410" s="15"/>
      <x:c r="C410" s="7"/>
      <x:c r="D410" s="7"/>
      <x:c r="E410" s="7"/>
      <x:c r="F410" s="7"/>
      <x:c r="G410" s="16"/>
      <x:c r="H410" s="16"/>
      <x:c r="I410" s="9"/>
      <x:c r="J410" s="10"/>
      <x:c r="K410" s="7"/>
      <x:c r="L410" s="7"/>
      <x:c r="M410" s="7"/>
      <x:c r="N410" s="7"/>
      <x:c r="O410" s="9" t="str">
        <x:f>IF($A410="","",MAX(0,$G410*$H410*(1-$J410/100)))</x:f>
      </x:c>
    </x:row>
    <x:row r="411">
      <x:c r="A411" s="13"/>
      <x:c r="B411" s="15"/>
      <x:c r="C411" s="7"/>
      <x:c r="D411" s="7"/>
      <x:c r="E411" s="7"/>
      <x:c r="F411" s="7"/>
      <x:c r="G411" s="16"/>
      <x:c r="H411" s="16"/>
      <x:c r="I411" s="9"/>
      <x:c r="J411" s="10"/>
      <x:c r="K411" s="7"/>
      <x:c r="L411" s="7"/>
      <x:c r="M411" s="7"/>
      <x:c r="N411" s="7"/>
      <x:c r="O411" s="9" t="str">
        <x:f>IF($A411="","",MAX(0,$G411*$H411*(1-$J411/100)))</x:f>
      </x:c>
    </x:row>
    <x:row r="412">
      <x:c r="A412" s="13"/>
      <x:c r="B412" s="15"/>
      <x:c r="C412" s="7"/>
      <x:c r="D412" s="7"/>
      <x:c r="E412" s="7"/>
      <x:c r="F412" s="7"/>
      <x:c r="G412" s="16"/>
      <x:c r="H412" s="16"/>
      <x:c r="I412" s="9"/>
      <x:c r="J412" s="10"/>
      <x:c r="K412" s="7"/>
      <x:c r="L412" s="7"/>
      <x:c r="M412" s="7"/>
      <x:c r="N412" s="7"/>
      <x:c r="O412" s="9" t="str">
        <x:f>IF($A412="","",MAX(0,$G412*$H412*(1-$J412/100)))</x:f>
      </x:c>
    </x:row>
    <x:row r="413">
      <x:c r="A413" s="13"/>
      <x:c r="B413" s="15"/>
      <x:c r="C413" s="7"/>
      <x:c r="D413" s="7"/>
      <x:c r="E413" s="7"/>
      <x:c r="F413" s="7"/>
      <x:c r="G413" s="16"/>
      <x:c r="H413" s="16"/>
      <x:c r="I413" s="9"/>
      <x:c r="J413" s="10"/>
      <x:c r="K413" s="7"/>
      <x:c r="L413" s="7"/>
      <x:c r="M413" s="7"/>
      <x:c r="N413" s="7"/>
      <x:c r="O413" s="9" t="str">
        <x:f>IF($A413="","",MAX(0,$G413*$H413*(1-$J413/100)))</x:f>
      </x:c>
    </x:row>
    <x:row r="414">
      <x:c r="A414" s="13"/>
      <x:c r="B414" s="15"/>
      <x:c r="C414" s="7"/>
      <x:c r="D414" s="7"/>
      <x:c r="E414" s="7"/>
      <x:c r="F414" s="7"/>
      <x:c r="G414" s="16"/>
      <x:c r="H414" s="16"/>
      <x:c r="I414" s="9"/>
      <x:c r="J414" s="10"/>
      <x:c r="K414" s="7"/>
      <x:c r="L414" s="7"/>
      <x:c r="M414" s="7"/>
      <x:c r="N414" s="7"/>
      <x:c r="O414" s="9" t="str">
        <x:f>IF($A414="","",MAX(0,$G414*$H414*(1-$J414/100)))</x:f>
      </x:c>
    </x:row>
    <x:row r="415">
      <x:c r="A415" s="13"/>
      <x:c r="B415" s="15"/>
      <x:c r="C415" s="7"/>
      <x:c r="D415" s="7"/>
      <x:c r="E415" s="7"/>
      <x:c r="F415" s="7"/>
      <x:c r="G415" s="16"/>
      <x:c r="H415" s="16"/>
      <x:c r="I415" s="9"/>
      <x:c r="J415" s="10"/>
      <x:c r="K415" s="7"/>
      <x:c r="L415" s="7"/>
      <x:c r="M415" s="7"/>
      <x:c r="N415" s="7"/>
      <x:c r="O415" s="9" t="str">
        <x:f>IF($A415="","",MAX(0,$G415*$H415*(1-$J415/100)))</x:f>
      </x:c>
    </x:row>
    <x:row r="416">
      <x:c r="A416" s="13"/>
      <x:c r="B416" s="15"/>
      <x:c r="C416" s="7"/>
      <x:c r="D416" s="7"/>
      <x:c r="E416" s="7"/>
      <x:c r="F416" s="7"/>
      <x:c r="G416" s="16"/>
      <x:c r="H416" s="16"/>
      <x:c r="I416" s="9"/>
      <x:c r="J416" s="10"/>
      <x:c r="K416" s="7"/>
      <x:c r="L416" s="7"/>
      <x:c r="M416" s="7"/>
      <x:c r="N416" s="7"/>
      <x:c r="O416" s="9" t="str">
        <x:f>IF($A416="","",MAX(0,$G416*$H416*(1-$J416/100)))</x:f>
      </x:c>
    </x:row>
    <x:row r="417">
      <x:c r="A417" s="13"/>
      <x:c r="B417" s="15"/>
      <x:c r="C417" s="7"/>
      <x:c r="D417" s="7"/>
      <x:c r="E417" s="7"/>
      <x:c r="F417" s="7"/>
      <x:c r="G417" s="16"/>
      <x:c r="H417" s="16"/>
      <x:c r="I417" s="9"/>
      <x:c r="J417" s="10"/>
      <x:c r="K417" s="7"/>
      <x:c r="L417" s="7"/>
      <x:c r="M417" s="7"/>
      <x:c r="N417" s="7"/>
      <x:c r="O417" s="9" t="str">
        <x:f>IF($A417="","",MAX(0,$G417*$H417*(1-$J417/100)))</x:f>
      </x:c>
    </x:row>
    <x:row r="418">
      <x:c r="A418" s="13"/>
      <x:c r="B418" s="15"/>
      <x:c r="C418" s="7"/>
      <x:c r="D418" s="7"/>
      <x:c r="E418" s="7"/>
      <x:c r="F418" s="7"/>
      <x:c r="G418" s="16"/>
      <x:c r="H418" s="16"/>
      <x:c r="I418" s="9"/>
      <x:c r="J418" s="10"/>
      <x:c r="K418" s="7"/>
      <x:c r="L418" s="7"/>
      <x:c r="M418" s="7"/>
      <x:c r="N418" s="7"/>
      <x:c r="O418" s="9" t="str">
        <x:f>IF($A418="","",MAX(0,$G418*$H418*(1-$J418/100)))</x:f>
      </x:c>
    </x:row>
    <x:row r="419">
      <x:c r="A419" s="13"/>
      <x:c r="B419" s="15"/>
      <x:c r="C419" s="7"/>
      <x:c r="D419" s="7"/>
      <x:c r="E419" s="7"/>
      <x:c r="F419" s="7"/>
      <x:c r="G419" s="16"/>
      <x:c r="H419" s="16"/>
      <x:c r="I419" s="9"/>
      <x:c r="J419" s="10"/>
      <x:c r="K419" s="7"/>
      <x:c r="L419" s="7"/>
      <x:c r="M419" s="7"/>
      <x:c r="N419" s="7"/>
      <x:c r="O419" s="9" t="str">
        <x:f>IF($A419="","",MAX(0,$G419*$H419*(1-$J419/100)))</x:f>
      </x:c>
    </x:row>
    <x:row r="420">
      <x:c r="A420" s="13"/>
      <x:c r="B420" s="15"/>
      <x:c r="C420" s="7"/>
      <x:c r="D420" s="7"/>
      <x:c r="E420" s="7"/>
      <x:c r="F420" s="7"/>
      <x:c r="G420" s="16"/>
      <x:c r="H420" s="16"/>
      <x:c r="I420" s="9"/>
      <x:c r="J420" s="10"/>
      <x:c r="K420" s="7"/>
      <x:c r="L420" s="7"/>
      <x:c r="M420" s="7"/>
      <x:c r="N420" s="7"/>
      <x:c r="O420" s="9" t="str">
        <x:f>IF($A420="","",MAX(0,$G420*$H420*(1-$J420/100)))</x:f>
      </x:c>
    </x:row>
    <x:row r="421">
      <x:c r="A421" s="13"/>
      <x:c r="B421" s="15"/>
      <x:c r="C421" s="7"/>
      <x:c r="D421" s="7"/>
      <x:c r="E421" s="7"/>
      <x:c r="F421" s="7"/>
      <x:c r="G421" s="16"/>
      <x:c r="H421" s="16"/>
      <x:c r="I421" s="9"/>
      <x:c r="J421" s="10"/>
      <x:c r="K421" s="7"/>
      <x:c r="L421" s="7"/>
      <x:c r="M421" s="7"/>
      <x:c r="N421" s="7"/>
      <x:c r="O421" s="9" t="str">
        <x:f>IF($A421="","",MAX(0,$G421*$H421*(1-$J421/100)))</x:f>
      </x:c>
    </x:row>
    <x:row r="422">
      <x:c r="A422" s="13"/>
      <x:c r="B422" s="15"/>
      <x:c r="C422" s="7"/>
      <x:c r="D422" s="7"/>
      <x:c r="E422" s="7"/>
      <x:c r="F422" s="7"/>
      <x:c r="G422" s="16"/>
      <x:c r="H422" s="16"/>
      <x:c r="I422" s="9"/>
      <x:c r="J422" s="10"/>
      <x:c r="K422" s="7"/>
      <x:c r="L422" s="7"/>
      <x:c r="M422" s="7"/>
      <x:c r="N422" s="7"/>
      <x:c r="O422" s="9" t="str">
        <x:f>IF($A422="","",MAX(0,$G422*$H422*(1-$J422/100)))</x:f>
      </x:c>
    </x:row>
    <x:row r="423">
      <x:c r="A423" s="13"/>
      <x:c r="B423" s="15"/>
      <x:c r="C423" s="7"/>
      <x:c r="D423" s="7"/>
      <x:c r="E423" s="7"/>
      <x:c r="F423" s="7"/>
      <x:c r="G423" s="16"/>
      <x:c r="H423" s="16"/>
      <x:c r="I423" s="9"/>
      <x:c r="J423" s="10"/>
      <x:c r="K423" s="7"/>
      <x:c r="L423" s="7"/>
      <x:c r="M423" s="7"/>
      <x:c r="N423" s="7"/>
      <x:c r="O423" s="9" t="str">
        <x:f>IF($A423="","",MAX(0,$G423*$H423*(1-$J423/100)))</x:f>
      </x:c>
    </x:row>
    <x:row r="424">
      <x:c r="A424" s="13"/>
      <x:c r="B424" s="15"/>
      <x:c r="C424" s="7"/>
      <x:c r="D424" s="7"/>
      <x:c r="E424" s="7"/>
      <x:c r="F424" s="7"/>
      <x:c r="G424" s="16"/>
      <x:c r="H424" s="16"/>
      <x:c r="I424" s="9"/>
      <x:c r="J424" s="10"/>
      <x:c r="K424" s="7"/>
      <x:c r="L424" s="7"/>
      <x:c r="M424" s="7"/>
      <x:c r="N424" s="7"/>
      <x:c r="O424" s="9" t="str">
        <x:f>IF($A424="","",MAX(0,$G424*$H424*(1-$J424/100)))</x:f>
      </x:c>
    </x:row>
    <x:row r="425">
      <x:c r="A425" s="13"/>
      <x:c r="B425" s="15"/>
      <x:c r="C425" s="7"/>
      <x:c r="D425" s="7"/>
      <x:c r="E425" s="7"/>
      <x:c r="F425" s="7"/>
      <x:c r="G425" s="16"/>
      <x:c r="H425" s="16"/>
      <x:c r="I425" s="9"/>
      <x:c r="J425" s="10"/>
      <x:c r="K425" s="7"/>
      <x:c r="L425" s="7"/>
      <x:c r="M425" s="7"/>
      <x:c r="N425" s="7"/>
      <x:c r="O425" s="9" t="str">
        <x:f>IF($A425="","",MAX(0,$G425*$H425*(1-$J425/100)))</x:f>
      </x:c>
    </x:row>
    <x:row r="426">
      <x:c r="A426" s="13"/>
      <x:c r="B426" s="15"/>
      <x:c r="C426" s="7"/>
      <x:c r="D426" s="7"/>
      <x:c r="E426" s="7"/>
      <x:c r="F426" s="7"/>
      <x:c r="G426" s="16"/>
      <x:c r="H426" s="16"/>
      <x:c r="I426" s="9"/>
      <x:c r="J426" s="10"/>
      <x:c r="K426" s="7"/>
      <x:c r="L426" s="7"/>
      <x:c r="M426" s="7"/>
      <x:c r="N426" s="7"/>
      <x:c r="O426" s="9" t="str">
        <x:f>IF($A426="","",MAX(0,$G426*$H426*(1-$J426/100)))</x:f>
      </x:c>
    </x:row>
    <x:row r="427">
      <x:c r="A427" s="13"/>
      <x:c r="B427" s="15"/>
      <x:c r="C427" s="7"/>
      <x:c r="D427" s="7"/>
      <x:c r="E427" s="7"/>
      <x:c r="F427" s="7"/>
      <x:c r="G427" s="16"/>
      <x:c r="H427" s="16"/>
      <x:c r="I427" s="9"/>
      <x:c r="J427" s="10"/>
      <x:c r="K427" s="7"/>
      <x:c r="L427" s="7"/>
      <x:c r="M427" s="7"/>
      <x:c r="N427" s="7"/>
      <x:c r="O427" s="9" t="str">
        <x:f>IF($A427="","",MAX(0,$G427*$H427*(1-$J427/100)))</x:f>
      </x:c>
    </x:row>
    <x:row r="428">
      <x:c r="A428" s="13"/>
      <x:c r="B428" s="15"/>
      <x:c r="C428" s="7"/>
      <x:c r="D428" s="7"/>
      <x:c r="E428" s="7"/>
      <x:c r="F428" s="7"/>
      <x:c r="G428" s="16"/>
      <x:c r="H428" s="16"/>
      <x:c r="I428" s="9"/>
      <x:c r="J428" s="10"/>
      <x:c r="K428" s="7"/>
      <x:c r="L428" s="7"/>
      <x:c r="M428" s="7"/>
      <x:c r="N428" s="7"/>
      <x:c r="O428" s="9" t="str">
        <x:f>IF($A428="","",MAX(0,$G428*$H428*(1-$J428/100)))</x:f>
      </x:c>
    </x:row>
    <x:row r="429">
      <x:c r="A429" s="13"/>
      <x:c r="B429" s="15"/>
      <x:c r="C429" s="7"/>
      <x:c r="D429" s="7"/>
      <x:c r="E429" s="7"/>
      <x:c r="F429" s="7"/>
      <x:c r="G429" s="16"/>
      <x:c r="H429" s="16"/>
      <x:c r="I429" s="9"/>
      <x:c r="J429" s="10"/>
      <x:c r="K429" s="7"/>
      <x:c r="L429" s="7"/>
      <x:c r="M429" s="7"/>
      <x:c r="N429" s="7"/>
      <x:c r="O429" s="9" t="str">
        <x:f>IF($A429="","",MAX(0,$G429*$H429*(1-$J429/100)))</x:f>
      </x:c>
    </x:row>
    <x:row r="430">
      <x:c r="A430" s="13"/>
      <x:c r="B430" s="15"/>
      <x:c r="C430" s="7"/>
      <x:c r="D430" s="7"/>
      <x:c r="E430" s="7"/>
      <x:c r="F430" s="7"/>
      <x:c r="G430" s="16"/>
      <x:c r="H430" s="16"/>
      <x:c r="I430" s="9"/>
      <x:c r="J430" s="10"/>
      <x:c r="K430" s="7"/>
      <x:c r="L430" s="7"/>
      <x:c r="M430" s="7"/>
      <x:c r="N430" s="7"/>
      <x:c r="O430" s="9" t="str">
        <x:f>IF($A430="","",MAX(0,$G430*$H430*(1-$J430/100)))</x:f>
      </x:c>
    </x:row>
    <x:row r="431">
      <x:c r="A431" s="13"/>
      <x:c r="B431" s="15"/>
      <x:c r="C431" s="7"/>
      <x:c r="D431" s="7"/>
      <x:c r="E431" s="7"/>
      <x:c r="F431" s="7"/>
      <x:c r="G431" s="16"/>
      <x:c r="H431" s="16"/>
      <x:c r="I431" s="9"/>
      <x:c r="J431" s="10"/>
      <x:c r="K431" s="7"/>
      <x:c r="L431" s="7"/>
      <x:c r="M431" s="7"/>
      <x:c r="N431" s="7"/>
      <x:c r="O431" s="9" t="str">
        <x:f>IF($A431="","",MAX(0,$G431*$H431*(1-$J431/100)))</x:f>
      </x:c>
    </x:row>
    <x:row r="432">
      <x:c r="A432" s="13"/>
      <x:c r="B432" s="15"/>
      <x:c r="C432" s="7"/>
      <x:c r="D432" s="7"/>
      <x:c r="E432" s="7"/>
      <x:c r="F432" s="7"/>
      <x:c r="G432" s="16"/>
      <x:c r="H432" s="16"/>
      <x:c r="I432" s="9"/>
      <x:c r="J432" s="10"/>
      <x:c r="K432" s="7"/>
      <x:c r="L432" s="7"/>
      <x:c r="M432" s="7"/>
      <x:c r="N432" s="7"/>
      <x:c r="O432" s="9" t="str">
        <x:f>IF($A432="","",MAX(0,$G432*$H432*(1-$J432/100)))</x:f>
      </x:c>
    </x:row>
    <x:row r="433">
      <x:c r="A433" s="13"/>
      <x:c r="B433" s="15"/>
      <x:c r="C433" s="7"/>
      <x:c r="D433" s="7"/>
      <x:c r="E433" s="7"/>
      <x:c r="F433" s="7"/>
      <x:c r="G433" s="16"/>
      <x:c r="H433" s="16"/>
      <x:c r="I433" s="9"/>
      <x:c r="J433" s="10"/>
      <x:c r="K433" s="7"/>
      <x:c r="L433" s="7"/>
      <x:c r="M433" s="7"/>
      <x:c r="N433" s="7"/>
      <x:c r="O433" s="9" t="str">
        <x:f>IF($A433="","",MAX(0,$G433*$H433*(1-$J433/100)))</x:f>
      </x:c>
    </x:row>
    <x:row r="434">
      <x:c r="A434" s="13"/>
      <x:c r="B434" s="15"/>
      <x:c r="C434" s="7"/>
      <x:c r="D434" s="7"/>
      <x:c r="E434" s="7"/>
      <x:c r="F434" s="7"/>
      <x:c r="G434" s="16"/>
      <x:c r="H434" s="16"/>
      <x:c r="I434" s="9"/>
      <x:c r="J434" s="10"/>
      <x:c r="K434" s="7"/>
      <x:c r="L434" s="7"/>
      <x:c r="M434" s="7"/>
      <x:c r="N434" s="7"/>
      <x:c r="O434" s="9" t="str">
        <x:f>IF($A434="","",MAX(0,$G434*$H434*(1-$J434/100)))</x:f>
      </x:c>
    </x:row>
    <x:row r="435">
      <x:c r="A435" s="13"/>
      <x:c r="B435" s="15"/>
      <x:c r="C435" s="7"/>
      <x:c r="D435" s="7"/>
      <x:c r="E435" s="7"/>
      <x:c r="F435" s="7"/>
      <x:c r="G435" s="16"/>
      <x:c r="H435" s="16"/>
      <x:c r="I435" s="9"/>
      <x:c r="J435" s="10"/>
      <x:c r="K435" s="7"/>
      <x:c r="L435" s="7"/>
      <x:c r="M435" s="7"/>
      <x:c r="N435" s="7"/>
      <x:c r="O435" s="9" t="str">
        <x:f>IF($A435="","",MAX(0,$G435*$H435*(1-$J435/100)))</x:f>
      </x:c>
    </x:row>
    <x:row r="436">
      <x:c r="A436" s="13"/>
      <x:c r="B436" s="15"/>
      <x:c r="C436" s="7"/>
      <x:c r="D436" s="7"/>
      <x:c r="E436" s="7"/>
      <x:c r="F436" s="7"/>
      <x:c r="G436" s="16"/>
      <x:c r="H436" s="16"/>
      <x:c r="I436" s="9"/>
      <x:c r="J436" s="10"/>
      <x:c r="K436" s="7"/>
      <x:c r="L436" s="7"/>
      <x:c r="M436" s="7"/>
      <x:c r="N436" s="7"/>
      <x:c r="O436" s="9" t="str">
        <x:f>IF($A436="","",MAX(0,$G436*$H436*(1-$J436/100)))</x:f>
      </x:c>
    </x:row>
    <x:row r="437">
      <x:c r="A437" s="13"/>
      <x:c r="B437" s="15"/>
      <x:c r="C437" s="7"/>
      <x:c r="D437" s="7"/>
      <x:c r="E437" s="7"/>
      <x:c r="F437" s="7"/>
      <x:c r="G437" s="16"/>
      <x:c r="H437" s="16"/>
      <x:c r="I437" s="9"/>
      <x:c r="J437" s="10"/>
      <x:c r="K437" s="7"/>
      <x:c r="L437" s="7"/>
      <x:c r="M437" s="7"/>
      <x:c r="N437" s="7"/>
      <x:c r="O437" s="9" t="str">
        <x:f>IF($A437="","",MAX(0,$G437*$H437*(1-$J437/100)))</x:f>
      </x:c>
    </x:row>
    <x:row r="438">
      <x:c r="A438" s="13"/>
      <x:c r="B438" s="15"/>
      <x:c r="C438" s="7"/>
      <x:c r="D438" s="7"/>
      <x:c r="E438" s="7"/>
      <x:c r="F438" s="7"/>
      <x:c r="G438" s="16"/>
      <x:c r="H438" s="16"/>
      <x:c r="I438" s="9"/>
      <x:c r="J438" s="10"/>
      <x:c r="K438" s="7"/>
      <x:c r="L438" s="7"/>
      <x:c r="M438" s="7"/>
      <x:c r="N438" s="7"/>
      <x:c r="O438" s="9" t="str">
        <x:f>IF($A438="","",MAX(0,$G438*$H438*(1-$J438/100)))</x:f>
      </x:c>
    </x:row>
    <x:row r="439">
      <x:c r="A439" s="13"/>
      <x:c r="B439" s="15"/>
      <x:c r="C439" s="7"/>
      <x:c r="D439" s="7"/>
      <x:c r="E439" s="7"/>
      <x:c r="F439" s="7"/>
      <x:c r="G439" s="16"/>
      <x:c r="H439" s="16"/>
      <x:c r="I439" s="9"/>
      <x:c r="J439" s="10"/>
      <x:c r="K439" s="7"/>
      <x:c r="L439" s="7"/>
      <x:c r="M439" s="7"/>
      <x:c r="N439" s="7"/>
      <x:c r="O439" s="9" t="str">
        <x:f>IF($A439="","",MAX(0,$G439*$H439*(1-$J439/100)))</x:f>
      </x:c>
    </x:row>
    <x:row r="440">
      <x:c r="A440" s="13"/>
      <x:c r="B440" s="15"/>
      <x:c r="C440" s="7"/>
      <x:c r="D440" s="7"/>
      <x:c r="E440" s="7"/>
      <x:c r="F440" s="7"/>
      <x:c r="G440" s="16"/>
      <x:c r="H440" s="16"/>
      <x:c r="I440" s="9"/>
      <x:c r="J440" s="10"/>
      <x:c r="K440" s="7"/>
      <x:c r="L440" s="7"/>
      <x:c r="M440" s="7"/>
      <x:c r="N440" s="7"/>
      <x:c r="O440" s="9" t="str">
        <x:f>IF($A440="","",MAX(0,$G440*$H440*(1-$J440/100)))</x:f>
      </x:c>
    </x:row>
    <x:row r="441">
      <x:c r="A441" s="13"/>
      <x:c r="B441" s="15"/>
      <x:c r="C441" s="7"/>
      <x:c r="D441" s="7"/>
      <x:c r="E441" s="7"/>
      <x:c r="F441" s="7"/>
      <x:c r="G441" s="16"/>
      <x:c r="H441" s="16"/>
      <x:c r="I441" s="9"/>
      <x:c r="J441" s="10"/>
      <x:c r="K441" s="7"/>
      <x:c r="L441" s="7"/>
      <x:c r="M441" s="7"/>
      <x:c r="N441" s="7"/>
      <x:c r="O441" s="9" t="str">
        <x:f>IF($A441="","",MAX(0,$G441*$H441*(1-$J441/100)))</x:f>
      </x:c>
    </x:row>
    <x:row r="442">
      <x:c r="A442" s="13"/>
      <x:c r="B442" s="15"/>
      <x:c r="C442" s="7"/>
      <x:c r="D442" s="7"/>
      <x:c r="E442" s="7"/>
      <x:c r="F442" s="7"/>
      <x:c r="G442" s="16"/>
      <x:c r="H442" s="16"/>
      <x:c r="I442" s="9"/>
      <x:c r="J442" s="10"/>
      <x:c r="K442" s="7"/>
      <x:c r="L442" s="7"/>
      <x:c r="M442" s="7"/>
      <x:c r="N442" s="7"/>
      <x:c r="O442" s="9" t="str">
        <x:f>IF($A442="","",MAX(0,$G442*$H442*(1-$J442/100)))</x:f>
      </x:c>
    </x:row>
    <x:row r="443">
      <x:c r="A443" s="13"/>
      <x:c r="B443" s="15"/>
      <x:c r="C443" s="7"/>
      <x:c r="D443" s="7"/>
      <x:c r="E443" s="7"/>
      <x:c r="F443" s="7"/>
      <x:c r="G443" s="16"/>
      <x:c r="H443" s="16"/>
      <x:c r="I443" s="9"/>
      <x:c r="J443" s="10"/>
      <x:c r="K443" s="7"/>
      <x:c r="L443" s="7"/>
      <x:c r="M443" s="7"/>
      <x:c r="N443" s="7"/>
      <x:c r="O443" s="9" t="str">
        <x:f>IF($A443="","",MAX(0,$G443*$H443*(1-$J443/100)))</x:f>
      </x:c>
    </x:row>
    <x:row r="444">
      <x:c r="A444" s="13"/>
      <x:c r="B444" s="15"/>
      <x:c r="C444" s="7"/>
      <x:c r="D444" s="7"/>
      <x:c r="E444" s="7"/>
      <x:c r="F444" s="7"/>
      <x:c r="G444" s="16"/>
      <x:c r="H444" s="16"/>
      <x:c r="I444" s="9"/>
      <x:c r="J444" s="10"/>
      <x:c r="K444" s="7"/>
      <x:c r="L444" s="7"/>
      <x:c r="M444" s="7"/>
      <x:c r="N444" s="7"/>
      <x:c r="O444" s="9" t="str">
        <x:f>IF($A444="","",MAX(0,$G444*$H444*(1-$J444/100)))</x:f>
      </x:c>
    </x:row>
    <x:row r="445">
      <x:c r="A445" s="13"/>
      <x:c r="B445" s="15"/>
      <x:c r="C445" s="7"/>
      <x:c r="D445" s="7"/>
      <x:c r="E445" s="7"/>
      <x:c r="F445" s="7"/>
      <x:c r="G445" s="16"/>
      <x:c r="H445" s="16"/>
      <x:c r="I445" s="9"/>
      <x:c r="J445" s="10"/>
      <x:c r="K445" s="7"/>
      <x:c r="L445" s="7"/>
      <x:c r="M445" s="7"/>
      <x:c r="N445" s="7"/>
      <x:c r="O445" s="9" t="str">
        <x:f>IF($A445="","",MAX(0,$G445*$H445*(1-$J445/100)))</x:f>
      </x:c>
    </x:row>
    <x:row r="446">
      <x:c r="A446" s="13"/>
      <x:c r="B446" s="15"/>
      <x:c r="C446" s="7"/>
      <x:c r="D446" s="7"/>
      <x:c r="E446" s="7"/>
      <x:c r="F446" s="7"/>
      <x:c r="G446" s="16"/>
      <x:c r="H446" s="16"/>
      <x:c r="I446" s="9"/>
      <x:c r="J446" s="10"/>
      <x:c r="K446" s="7"/>
      <x:c r="L446" s="7"/>
      <x:c r="M446" s="7"/>
      <x:c r="N446" s="7"/>
      <x:c r="O446" s="9" t="str">
        <x:f>IF($A446="","",MAX(0,$G446*$H446*(1-$J446/100)))</x:f>
      </x:c>
    </x:row>
    <x:row r="447">
      <x:c r="A447" s="13"/>
      <x:c r="B447" s="15"/>
      <x:c r="C447" s="7"/>
      <x:c r="D447" s="7"/>
      <x:c r="E447" s="7"/>
      <x:c r="F447" s="7"/>
      <x:c r="G447" s="16"/>
      <x:c r="H447" s="16"/>
      <x:c r="I447" s="9"/>
      <x:c r="J447" s="10"/>
      <x:c r="K447" s="7"/>
      <x:c r="L447" s="7"/>
      <x:c r="M447" s="7"/>
      <x:c r="N447" s="7"/>
      <x:c r="O447" s="9" t="str">
        <x:f>IF($A447="","",MAX(0,$G447*$H447*(1-$J447/100)))</x:f>
      </x:c>
    </x:row>
    <x:row r="448">
      <x:c r="A448" s="13"/>
      <x:c r="B448" s="15"/>
      <x:c r="C448" s="7"/>
      <x:c r="D448" s="7"/>
      <x:c r="E448" s="7"/>
      <x:c r="F448" s="7"/>
      <x:c r="G448" s="16"/>
      <x:c r="H448" s="16"/>
      <x:c r="I448" s="9"/>
      <x:c r="J448" s="10"/>
      <x:c r="K448" s="7"/>
      <x:c r="L448" s="7"/>
      <x:c r="M448" s="7"/>
      <x:c r="N448" s="7"/>
      <x:c r="O448" s="9" t="str">
        <x:f>IF($A448="","",MAX(0,$G448*$H448*(1-$J448/100)))</x:f>
      </x:c>
    </x:row>
    <x:row r="449">
      <x:c r="A449" s="13"/>
      <x:c r="B449" s="15"/>
      <x:c r="C449" s="7"/>
      <x:c r="D449" s="7"/>
      <x:c r="E449" s="7"/>
      <x:c r="F449" s="7"/>
      <x:c r="G449" s="16"/>
      <x:c r="H449" s="16"/>
      <x:c r="I449" s="9"/>
      <x:c r="J449" s="10"/>
      <x:c r="K449" s="7"/>
      <x:c r="L449" s="7"/>
      <x:c r="M449" s="7"/>
      <x:c r="N449" s="7"/>
      <x:c r="O449" s="9" t="str">
        <x:f>IF($A449="","",MAX(0,$G449*$H449*(1-$J449/100)))</x:f>
      </x:c>
    </x:row>
    <x:row r="450">
      <x:c r="A450" s="13"/>
      <x:c r="B450" s="15"/>
      <x:c r="C450" s="7"/>
      <x:c r="D450" s="7"/>
      <x:c r="E450" s="7"/>
      <x:c r="F450" s="7"/>
      <x:c r="G450" s="16"/>
      <x:c r="H450" s="16"/>
      <x:c r="I450" s="9"/>
      <x:c r="J450" s="10"/>
      <x:c r="K450" s="7"/>
      <x:c r="L450" s="7"/>
      <x:c r="M450" s="7"/>
      <x:c r="N450" s="7"/>
      <x:c r="O450" s="9" t="str">
        <x:f>IF($A450="","",MAX(0,$G450*$H450*(1-$J450/100)))</x:f>
      </x:c>
    </x:row>
    <x:row r="451">
      <x:c r="A451" s="13"/>
      <x:c r="B451" s="15"/>
      <x:c r="C451" s="7"/>
      <x:c r="D451" s="7"/>
      <x:c r="E451" s="7"/>
      <x:c r="F451" s="7"/>
      <x:c r="G451" s="16"/>
      <x:c r="H451" s="16"/>
      <x:c r="I451" s="9"/>
      <x:c r="J451" s="10"/>
      <x:c r="K451" s="7"/>
      <x:c r="L451" s="7"/>
      <x:c r="M451" s="7"/>
      <x:c r="N451" s="7"/>
      <x:c r="O451" s="9" t="str">
        <x:f>IF($A451="","",MAX(0,$G451*$H451*(1-$J451/100)))</x:f>
      </x:c>
    </x:row>
    <x:row r="452">
      <x:c r="A452" s="13"/>
      <x:c r="B452" s="15"/>
      <x:c r="C452" s="7"/>
      <x:c r="D452" s="7"/>
      <x:c r="E452" s="7"/>
      <x:c r="F452" s="7"/>
      <x:c r="G452" s="16"/>
      <x:c r="H452" s="16"/>
      <x:c r="I452" s="9"/>
      <x:c r="J452" s="10"/>
      <x:c r="K452" s="7"/>
      <x:c r="L452" s="7"/>
      <x:c r="M452" s="7"/>
      <x:c r="N452" s="7"/>
      <x:c r="O452" s="9" t="str">
        <x:f>IF($A452="","",MAX(0,$G452*$H452*(1-$J452/100)))</x:f>
      </x:c>
    </x:row>
    <x:row r="453">
      <x:c r="A453" s="13"/>
      <x:c r="B453" s="15"/>
      <x:c r="C453" s="7"/>
      <x:c r="D453" s="7"/>
      <x:c r="E453" s="7"/>
      <x:c r="F453" s="7"/>
      <x:c r="G453" s="16"/>
      <x:c r="H453" s="16"/>
      <x:c r="I453" s="9"/>
      <x:c r="J453" s="10"/>
      <x:c r="K453" s="7"/>
      <x:c r="L453" s="7"/>
      <x:c r="M453" s="7"/>
      <x:c r="N453" s="7"/>
      <x:c r="O453" s="9" t="str">
        <x:f>IF($A453="","",MAX(0,$G453*$H453*(1-$J453/100)))</x:f>
      </x:c>
    </x:row>
    <x:row r="454">
      <x:c r="A454" s="13"/>
      <x:c r="B454" s="15"/>
      <x:c r="C454" s="7"/>
      <x:c r="D454" s="7"/>
      <x:c r="E454" s="7"/>
      <x:c r="F454" s="7"/>
      <x:c r="G454" s="16"/>
      <x:c r="H454" s="16"/>
      <x:c r="I454" s="9"/>
      <x:c r="J454" s="10"/>
      <x:c r="K454" s="7"/>
      <x:c r="L454" s="7"/>
      <x:c r="M454" s="7"/>
      <x:c r="N454" s="7"/>
      <x:c r="O454" s="9" t="str">
        <x:f>IF($A454="","",MAX(0,$G454*$H454*(1-$J454/100)))</x:f>
      </x:c>
    </x:row>
    <x:row r="455">
      <x:c r="A455" s="13"/>
      <x:c r="B455" s="15"/>
      <x:c r="C455" s="7"/>
      <x:c r="D455" s="7"/>
      <x:c r="E455" s="7"/>
      <x:c r="F455" s="7"/>
      <x:c r="G455" s="16"/>
      <x:c r="H455" s="16"/>
      <x:c r="I455" s="9"/>
      <x:c r="J455" s="10"/>
      <x:c r="K455" s="7"/>
      <x:c r="L455" s="7"/>
      <x:c r="M455" s="7"/>
      <x:c r="N455" s="7"/>
      <x:c r="O455" s="9" t="str">
        <x:f>IF($A455="","",MAX(0,$G455*$H455*(1-$J455/100)))</x:f>
      </x:c>
    </x:row>
    <x:row r="456">
      <x:c r="A456" s="13"/>
      <x:c r="B456" s="15"/>
      <x:c r="C456" s="7"/>
      <x:c r="D456" s="7"/>
      <x:c r="E456" s="7"/>
      <x:c r="F456" s="7"/>
      <x:c r="G456" s="16"/>
      <x:c r="H456" s="16"/>
      <x:c r="I456" s="9"/>
      <x:c r="J456" s="10"/>
      <x:c r="K456" s="7"/>
      <x:c r="L456" s="7"/>
      <x:c r="M456" s="7"/>
      <x:c r="N456" s="7"/>
      <x:c r="O456" s="9" t="str">
        <x:f>IF($A456="","",MAX(0,$G456*$H456*(1-$J456/100)))</x:f>
      </x:c>
    </x:row>
    <x:row r="457">
      <x:c r="A457" s="13"/>
      <x:c r="B457" s="15"/>
      <x:c r="C457" s="7"/>
      <x:c r="D457" s="7"/>
      <x:c r="E457" s="7"/>
      <x:c r="F457" s="7"/>
      <x:c r="G457" s="16"/>
      <x:c r="H457" s="16"/>
      <x:c r="I457" s="9"/>
      <x:c r="J457" s="10"/>
      <x:c r="K457" s="7"/>
      <x:c r="L457" s="7"/>
      <x:c r="M457" s="7"/>
      <x:c r="N457" s="7"/>
      <x:c r="O457" s="9" t="str">
        <x:f>IF($A457="","",MAX(0,$G457*$H457*(1-$J457/100)))</x:f>
      </x:c>
    </x:row>
    <x:row r="458">
      <x:c r="A458" s="13"/>
      <x:c r="B458" s="15"/>
      <x:c r="C458" s="7"/>
      <x:c r="D458" s="7"/>
      <x:c r="E458" s="7"/>
      <x:c r="F458" s="7"/>
      <x:c r="G458" s="16"/>
      <x:c r="H458" s="16"/>
      <x:c r="I458" s="9"/>
      <x:c r="J458" s="10"/>
      <x:c r="K458" s="7"/>
      <x:c r="L458" s="7"/>
      <x:c r="M458" s="7"/>
      <x:c r="N458" s="7"/>
      <x:c r="O458" s="9" t="str">
        <x:f>IF($A458="","",MAX(0,$G458*$H458*(1-$J458/100)))</x:f>
      </x:c>
    </x:row>
    <x:row r="459">
      <x:c r="A459" s="13"/>
      <x:c r="B459" s="15"/>
      <x:c r="C459" s="7"/>
      <x:c r="D459" s="7"/>
      <x:c r="E459" s="7"/>
      <x:c r="F459" s="7"/>
      <x:c r="G459" s="16"/>
      <x:c r="H459" s="16"/>
      <x:c r="I459" s="9"/>
      <x:c r="J459" s="10"/>
      <x:c r="K459" s="7"/>
      <x:c r="L459" s="7"/>
      <x:c r="M459" s="7"/>
      <x:c r="N459" s="7"/>
      <x:c r="O459" s="9" t="str">
        <x:f>IF($A459="","",MAX(0,$G459*$H459*(1-$J459/100)))</x:f>
      </x:c>
    </x:row>
    <x:row r="460">
      <x:c r="A460" s="13"/>
      <x:c r="B460" s="15"/>
      <x:c r="C460" s="7"/>
      <x:c r="D460" s="7"/>
      <x:c r="E460" s="7"/>
      <x:c r="F460" s="7"/>
      <x:c r="G460" s="16"/>
      <x:c r="H460" s="16"/>
      <x:c r="I460" s="9"/>
      <x:c r="J460" s="10"/>
      <x:c r="K460" s="7"/>
      <x:c r="L460" s="7"/>
      <x:c r="M460" s="7"/>
      <x:c r="N460" s="7"/>
      <x:c r="O460" s="9" t="str">
        <x:f>IF($A460="","",MAX(0,$G460*$H460*(1-$J460/100)))</x:f>
      </x:c>
    </x:row>
    <x:row r="461">
      <x:c r="A461" s="13"/>
      <x:c r="B461" s="15"/>
      <x:c r="C461" s="7"/>
      <x:c r="D461" s="7"/>
      <x:c r="E461" s="7"/>
      <x:c r="F461" s="7"/>
      <x:c r="G461" s="16"/>
      <x:c r="H461" s="16"/>
      <x:c r="I461" s="9"/>
      <x:c r="J461" s="10"/>
      <x:c r="K461" s="7"/>
      <x:c r="L461" s="7"/>
      <x:c r="M461" s="7"/>
      <x:c r="N461" s="7"/>
      <x:c r="O461" s="9" t="str">
        <x:f>IF($A461="","",MAX(0,$G461*$H461*(1-$J461/100)))</x:f>
      </x:c>
    </x:row>
    <x:row r="462">
      <x:c r="A462" s="13"/>
      <x:c r="B462" s="15"/>
      <x:c r="C462" s="7"/>
      <x:c r="D462" s="7"/>
      <x:c r="E462" s="7"/>
      <x:c r="F462" s="7"/>
      <x:c r="G462" s="16"/>
      <x:c r="H462" s="16"/>
      <x:c r="I462" s="9"/>
      <x:c r="J462" s="10"/>
      <x:c r="K462" s="7"/>
      <x:c r="L462" s="7"/>
      <x:c r="M462" s="7"/>
      <x:c r="N462" s="7"/>
      <x:c r="O462" s="9" t="str">
        <x:f>IF($A462="","",MAX(0,$G462*$H462*(1-$J462/100)))</x:f>
      </x:c>
    </x:row>
    <x:row r="463">
      <x:c r="A463" s="13"/>
      <x:c r="B463" s="15"/>
      <x:c r="C463" s="7"/>
      <x:c r="D463" s="7"/>
      <x:c r="E463" s="7"/>
      <x:c r="F463" s="7"/>
      <x:c r="G463" s="16"/>
      <x:c r="H463" s="16"/>
      <x:c r="I463" s="9"/>
      <x:c r="J463" s="10"/>
      <x:c r="K463" s="7"/>
      <x:c r="L463" s="7"/>
      <x:c r="M463" s="7"/>
      <x:c r="N463" s="7"/>
      <x:c r="O463" s="9" t="str">
        <x:f>IF($A463="","",MAX(0,$G463*$H463*(1-$J463/100)))</x:f>
      </x:c>
    </x:row>
    <x:row r="464">
      <x:c r="A464" s="13"/>
      <x:c r="B464" s="15"/>
      <x:c r="C464" s="7"/>
      <x:c r="D464" s="7"/>
      <x:c r="E464" s="7"/>
      <x:c r="F464" s="7"/>
      <x:c r="G464" s="16"/>
      <x:c r="H464" s="16"/>
      <x:c r="I464" s="9"/>
      <x:c r="J464" s="10"/>
      <x:c r="K464" s="7"/>
      <x:c r="L464" s="7"/>
      <x:c r="M464" s="7"/>
      <x:c r="N464" s="7"/>
      <x:c r="O464" s="9" t="str">
        <x:f>IF($A464="","",MAX(0,$G464*$H464*(1-$J464/100)))</x:f>
      </x:c>
    </x:row>
    <x:row r="465">
      <x:c r="A465" s="13"/>
      <x:c r="B465" s="15"/>
      <x:c r="C465" s="7"/>
      <x:c r="D465" s="7"/>
      <x:c r="E465" s="7"/>
      <x:c r="F465" s="7"/>
      <x:c r="G465" s="16"/>
      <x:c r="H465" s="16"/>
      <x:c r="I465" s="9"/>
      <x:c r="J465" s="10"/>
      <x:c r="K465" s="7"/>
      <x:c r="L465" s="7"/>
      <x:c r="M465" s="7"/>
      <x:c r="N465" s="7"/>
      <x:c r="O465" s="9" t="str">
        <x:f>IF($A465="","",MAX(0,$G465*$H465*(1-$J465/100)))</x:f>
      </x:c>
    </x:row>
    <x:row r="466">
      <x:c r="A466" s="13"/>
      <x:c r="B466" s="15"/>
      <x:c r="C466" s="7"/>
      <x:c r="D466" s="7"/>
      <x:c r="E466" s="7"/>
      <x:c r="F466" s="7"/>
      <x:c r="G466" s="16"/>
      <x:c r="H466" s="16"/>
      <x:c r="I466" s="9"/>
      <x:c r="J466" s="10"/>
      <x:c r="K466" s="7"/>
      <x:c r="L466" s="7"/>
      <x:c r="M466" s="7"/>
      <x:c r="N466" s="7"/>
      <x:c r="O466" s="9" t="str">
        <x:f>IF($A466="","",MAX(0,$G466*$H466*(1-$J466/100)))</x:f>
      </x:c>
    </x:row>
    <x:row r="467">
      <x:c r="A467" s="13"/>
      <x:c r="B467" s="15"/>
      <x:c r="C467" s="7"/>
      <x:c r="D467" s="7"/>
      <x:c r="E467" s="7"/>
      <x:c r="F467" s="7"/>
      <x:c r="G467" s="16"/>
      <x:c r="H467" s="16"/>
      <x:c r="I467" s="9"/>
      <x:c r="J467" s="10"/>
      <x:c r="K467" s="7"/>
      <x:c r="L467" s="7"/>
      <x:c r="M467" s="7"/>
      <x:c r="N467" s="7"/>
      <x:c r="O467" s="9" t="str">
        <x:f>IF($A467="","",MAX(0,$G467*$H467*(1-$J467/100)))</x:f>
      </x:c>
    </x:row>
    <x:row r="468">
      <x:c r="A468" s="13"/>
      <x:c r="B468" s="15"/>
      <x:c r="C468" s="7"/>
      <x:c r="D468" s="7"/>
      <x:c r="E468" s="7"/>
      <x:c r="F468" s="7"/>
      <x:c r="G468" s="16"/>
      <x:c r="H468" s="16"/>
      <x:c r="I468" s="9"/>
      <x:c r="J468" s="10"/>
      <x:c r="K468" s="7"/>
      <x:c r="L468" s="7"/>
      <x:c r="M468" s="7"/>
      <x:c r="N468" s="7"/>
      <x:c r="O468" s="9" t="str">
        <x:f>IF($A468="","",MAX(0,$G468*$H468*(1-$J468/100)))</x:f>
      </x:c>
    </x:row>
    <x:row r="469">
      <x:c r="A469" s="13"/>
      <x:c r="B469" s="15"/>
      <x:c r="C469" s="7"/>
      <x:c r="D469" s="7"/>
      <x:c r="E469" s="7"/>
      <x:c r="F469" s="7"/>
      <x:c r="G469" s="16"/>
      <x:c r="H469" s="16"/>
      <x:c r="I469" s="9"/>
      <x:c r="J469" s="10"/>
      <x:c r="K469" s="7"/>
      <x:c r="L469" s="7"/>
      <x:c r="M469" s="7"/>
      <x:c r="N469" s="7"/>
      <x:c r="O469" s="9" t="str">
        <x:f>IF($A469="","",MAX(0,$G469*$H469*(1-$J469/100)))</x:f>
      </x:c>
    </x:row>
    <x:row r="470">
      <x:c r="A470" s="13"/>
      <x:c r="B470" s="15"/>
      <x:c r="C470" s="7"/>
      <x:c r="D470" s="7"/>
      <x:c r="E470" s="7"/>
      <x:c r="F470" s="7"/>
      <x:c r="G470" s="16"/>
      <x:c r="H470" s="16"/>
      <x:c r="I470" s="9"/>
      <x:c r="J470" s="10"/>
      <x:c r="K470" s="7"/>
      <x:c r="L470" s="7"/>
      <x:c r="M470" s="7"/>
      <x:c r="N470" s="7"/>
      <x:c r="O470" s="9" t="str">
        <x:f>IF($A470="","",MAX(0,$G470*$H470*(1-$J470/100)))</x:f>
      </x:c>
    </x:row>
    <x:row r="471">
      <x:c r="A471" s="13"/>
      <x:c r="B471" s="15"/>
      <x:c r="C471" s="7"/>
      <x:c r="D471" s="7"/>
      <x:c r="E471" s="7"/>
      <x:c r="F471" s="7"/>
      <x:c r="G471" s="16"/>
      <x:c r="H471" s="16"/>
      <x:c r="I471" s="9"/>
      <x:c r="J471" s="10"/>
      <x:c r="K471" s="7"/>
      <x:c r="L471" s="7"/>
      <x:c r="M471" s="7"/>
      <x:c r="N471" s="7"/>
      <x:c r="O471" s="9" t="str">
        <x:f>IF($A471="","",MAX(0,$G471*$H471*(1-$J471/100)))</x:f>
      </x:c>
    </x:row>
    <x:row r="472">
      <x:c r="A472" s="13"/>
      <x:c r="B472" s="15"/>
      <x:c r="C472" s="7"/>
      <x:c r="D472" s="7"/>
      <x:c r="E472" s="7"/>
      <x:c r="F472" s="7"/>
      <x:c r="G472" s="16"/>
      <x:c r="H472" s="16"/>
      <x:c r="I472" s="9"/>
      <x:c r="J472" s="10"/>
      <x:c r="K472" s="7"/>
      <x:c r="L472" s="7"/>
      <x:c r="M472" s="7"/>
      <x:c r="N472" s="7"/>
      <x:c r="O472" s="9" t="str">
        <x:f>IF($A472="","",MAX(0,$G472*$H472*(1-$J472/100)))</x:f>
      </x:c>
    </x:row>
    <x:row r="473">
      <x:c r="A473" s="13"/>
      <x:c r="B473" s="15"/>
      <x:c r="C473" s="7"/>
      <x:c r="D473" s="7"/>
      <x:c r="E473" s="7"/>
      <x:c r="F473" s="7"/>
      <x:c r="G473" s="16"/>
      <x:c r="H473" s="16"/>
      <x:c r="I473" s="9"/>
      <x:c r="J473" s="10"/>
      <x:c r="K473" s="7"/>
      <x:c r="L473" s="7"/>
      <x:c r="M473" s="7"/>
      <x:c r="N473" s="7"/>
      <x:c r="O473" s="9" t="str">
        <x:f>IF($A473="","",MAX(0,$G473*$H473*(1-$J473/100)))</x:f>
      </x:c>
    </x:row>
    <x:row r="474">
      <x:c r="A474" s="13"/>
      <x:c r="B474" s="15"/>
      <x:c r="C474" s="7"/>
      <x:c r="D474" s="7"/>
      <x:c r="E474" s="7"/>
      <x:c r="F474" s="7"/>
      <x:c r="G474" s="16"/>
      <x:c r="H474" s="16"/>
      <x:c r="I474" s="9"/>
      <x:c r="J474" s="10"/>
      <x:c r="K474" s="7"/>
      <x:c r="L474" s="7"/>
      <x:c r="M474" s="7"/>
      <x:c r="N474" s="7"/>
      <x:c r="O474" s="9" t="str">
        <x:f>IF($A474="","",MAX(0,$G474*$H474*(1-$J474/100)))</x:f>
      </x:c>
    </x:row>
    <x:row r="475">
      <x:c r="A475" s="13"/>
      <x:c r="B475" s="15"/>
      <x:c r="C475" s="7"/>
      <x:c r="D475" s="7"/>
      <x:c r="E475" s="7"/>
      <x:c r="F475" s="7"/>
      <x:c r="G475" s="16"/>
      <x:c r="H475" s="16"/>
      <x:c r="I475" s="9"/>
      <x:c r="J475" s="10"/>
      <x:c r="K475" s="7"/>
      <x:c r="L475" s="7"/>
      <x:c r="M475" s="7"/>
      <x:c r="N475" s="7"/>
      <x:c r="O475" s="9" t="str">
        <x:f>IF($A475="","",MAX(0,$G475*$H475*(1-$J475/100)))</x:f>
      </x:c>
    </x:row>
    <x:row r="476">
      <x:c r="A476" s="13"/>
      <x:c r="B476" s="15"/>
      <x:c r="C476" s="7"/>
      <x:c r="D476" s="7"/>
      <x:c r="E476" s="7"/>
      <x:c r="F476" s="7"/>
      <x:c r="G476" s="16"/>
      <x:c r="H476" s="16"/>
      <x:c r="I476" s="9"/>
      <x:c r="J476" s="10"/>
      <x:c r="K476" s="7"/>
      <x:c r="L476" s="7"/>
      <x:c r="M476" s="7"/>
      <x:c r="N476" s="7"/>
      <x:c r="O476" s="9" t="str">
        <x:f>IF($A476="","",MAX(0,$G476*$H476*(1-$J476/100)))</x:f>
      </x:c>
    </x:row>
    <x:row r="477">
      <x:c r="A477" s="13"/>
      <x:c r="B477" s="15"/>
      <x:c r="C477" s="7"/>
      <x:c r="D477" s="7"/>
      <x:c r="E477" s="7"/>
      <x:c r="F477" s="7"/>
      <x:c r="G477" s="16"/>
      <x:c r="H477" s="16"/>
      <x:c r="I477" s="9"/>
      <x:c r="J477" s="10"/>
      <x:c r="K477" s="7"/>
      <x:c r="L477" s="7"/>
      <x:c r="M477" s="7"/>
      <x:c r="N477" s="7"/>
      <x:c r="O477" s="9" t="str">
        <x:f>IF($A477="","",MAX(0,$G477*$H477*(1-$J477/100)))</x:f>
      </x:c>
    </x:row>
    <x:row r="478">
      <x:c r="A478" s="13"/>
      <x:c r="B478" s="15"/>
      <x:c r="C478" s="7"/>
      <x:c r="D478" s="7"/>
      <x:c r="E478" s="7"/>
      <x:c r="F478" s="7"/>
      <x:c r="G478" s="16"/>
      <x:c r="H478" s="16"/>
      <x:c r="I478" s="9"/>
      <x:c r="J478" s="10"/>
      <x:c r="K478" s="7"/>
      <x:c r="L478" s="7"/>
      <x:c r="M478" s="7"/>
      <x:c r="N478" s="7"/>
      <x:c r="O478" s="9" t="str">
        <x:f>IF($A478="","",MAX(0,$G478*$H478*(1-$J478/100)))</x:f>
      </x:c>
    </x:row>
    <x:row r="479">
      <x:c r="A479" s="13"/>
      <x:c r="B479" s="15"/>
      <x:c r="C479" s="7"/>
      <x:c r="D479" s="7"/>
      <x:c r="E479" s="7"/>
      <x:c r="F479" s="7"/>
      <x:c r="G479" s="16"/>
      <x:c r="H479" s="16"/>
      <x:c r="I479" s="9"/>
      <x:c r="J479" s="10"/>
      <x:c r="K479" s="7"/>
      <x:c r="L479" s="7"/>
      <x:c r="M479" s="7"/>
      <x:c r="N479" s="7"/>
      <x:c r="O479" s="9" t="str">
        <x:f>IF($A479="","",MAX(0,$G479*$H479*(1-$J479/100)))</x:f>
      </x:c>
    </x:row>
    <x:row r="480">
      <x:c r="A480" s="13"/>
      <x:c r="B480" s="15"/>
      <x:c r="C480" s="7"/>
      <x:c r="D480" s="7"/>
      <x:c r="E480" s="7"/>
      <x:c r="F480" s="7"/>
      <x:c r="G480" s="16"/>
      <x:c r="H480" s="16"/>
      <x:c r="I480" s="9"/>
      <x:c r="J480" s="10"/>
      <x:c r="K480" s="7"/>
      <x:c r="L480" s="7"/>
      <x:c r="M480" s="7"/>
      <x:c r="N480" s="7"/>
      <x:c r="O480" s="9" t="str">
        <x:f>IF($A480="","",MAX(0,$G480*$H480*(1-$J480/100)))</x:f>
      </x:c>
    </x:row>
    <x:row r="481">
      <x:c r="A481" s="13"/>
      <x:c r="B481" s="15"/>
      <x:c r="C481" s="7"/>
      <x:c r="D481" s="7"/>
      <x:c r="E481" s="7"/>
      <x:c r="F481" s="7"/>
      <x:c r="G481" s="16"/>
      <x:c r="H481" s="16"/>
      <x:c r="I481" s="9"/>
      <x:c r="J481" s="10"/>
      <x:c r="K481" s="7"/>
      <x:c r="L481" s="7"/>
      <x:c r="M481" s="7"/>
      <x:c r="N481" s="7"/>
      <x:c r="O481" s="9" t="str">
        <x:f>IF($A481="","",MAX(0,$G481*$H481*(1-$J481/100)))</x:f>
      </x:c>
    </x:row>
    <x:row r="482">
      <x:c r="A482" s="13"/>
      <x:c r="B482" s="15"/>
      <x:c r="C482" s="7"/>
      <x:c r="D482" s="7"/>
      <x:c r="E482" s="7"/>
      <x:c r="F482" s="7"/>
      <x:c r="G482" s="16"/>
      <x:c r="H482" s="16"/>
      <x:c r="I482" s="9"/>
      <x:c r="J482" s="10"/>
      <x:c r="K482" s="7"/>
      <x:c r="L482" s="7"/>
      <x:c r="M482" s="7"/>
      <x:c r="N482" s="7"/>
      <x:c r="O482" s="9" t="str">
        <x:f>IF($A482="","",MAX(0,$G482*$H482*(1-$J482/100)))</x:f>
      </x:c>
    </x:row>
    <x:row r="483">
      <x:c r="A483" s="13"/>
      <x:c r="B483" s="15"/>
      <x:c r="C483" s="7"/>
      <x:c r="D483" s="7"/>
      <x:c r="E483" s="7"/>
      <x:c r="F483" s="7"/>
      <x:c r="G483" s="16"/>
      <x:c r="H483" s="16"/>
      <x:c r="I483" s="9"/>
      <x:c r="J483" s="10"/>
      <x:c r="K483" s="7"/>
      <x:c r="L483" s="7"/>
      <x:c r="M483" s="7"/>
      <x:c r="N483" s="7"/>
      <x:c r="O483" s="9" t="str">
        <x:f>IF($A483="","",MAX(0,$G483*$H483*(1-$J483/100)))</x:f>
      </x:c>
    </x:row>
    <x:row r="484">
      <x:c r="A484" s="13"/>
      <x:c r="B484" s="15"/>
      <x:c r="C484" s="7"/>
      <x:c r="D484" s="7"/>
      <x:c r="E484" s="7"/>
      <x:c r="F484" s="7"/>
      <x:c r="G484" s="16"/>
      <x:c r="H484" s="16"/>
      <x:c r="I484" s="9"/>
      <x:c r="J484" s="10"/>
      <x:c r="K484" s="7"/>
      <x:c r="L484" s="7"/>
      <x:c r="M484" s="7"/>
      <x:c r="N484" s="7"/>
      <x:c r="O484" s="9" t="str">
        <x:f>IF($A484="","",MAX(0,$G484*$H484*(1-$J484/100)))</x:f>
      </x:c>
    </x:row>
    <x:row r="485">
      <x:c r="A485" s="13"/>
      <x:c r="B485" s="15"/>
      <x:c r="C485" s="7"/>
      <x:c r="D485" s="7"/>
      <x:c r="E485" s="7"/>
      <x:c r="F485" s="7"/>
      <x:c r="G485" s="16"/>
      <x:c r="H485" s="16"/>
      <x:c r="I485" s="9"/>
      <x:c r="J485" s="10"/>
      <x:c r="K485" s="7"/>
      <x:c r="L485" s="7"/>
      <x:c r="M485" s="7"/>
      <x:c r="N485" s="7"/>
      <x:c r="O485" s="9" t="str">
        <x:f>IF($A485="","",MAX(0,$G485*$H485*(1-$J485/100)))</x:f>
      </x:c>
    </x:row>
    <x:row r="486">
      <x:c r="A486" s="13"/>
      <x:c r="B486" s="15"/>
      <x:c r="C486" s="7"/>
      <x:c r="D486" s="7"/>
      <x:c r="E486" s="7"/>
      <x:c r="F486" s="7"/>
      <x:c r="G486" s="16"/>
      <x:c r="H486" s="16"/>
      <x:c r="I486" s="9"/>
      <x:c r="J486" s="10"/>
      <x:c r="K486" s="7"/>
      <x:c r="L486" s="7"/>
      <x:c r="M486" s="7"/>
      <x:c r="N486" s="7"/>
      <x:c r="O486" s="9" t="str">
        <x:f>IF($A486="","",MAX(0,$G486*$H486*(1-$J486/100)))</x:f>
      </x:c>
    </x:row>
    <x:row r="487">
      <x:c r="A487" s="13"/>
      <x:c r="B487" s="15"/>
      <x:c r="C487" s="7"/>
      <x:c r="D487" s="7"/>
      <x:c r="E487" s="7"/>
      <x:c r="F487" s="7"/>
      <x:c r="G487" s="16"/>
      <x:c r="H487" s="16"/>
      <x:c r="I487" s="9"/>
      <x:c r="J487" s="10"/>
      <x:c r="K487" s="7"/>
      <x:c r="L487" s="7"/>
      <x:c r="M487" s="7"/>
      <x:c r="N487" s="7"/>
      <x:c r="O487" s="9" t="str">
        <x:f>IF($A487="","",MAX(0,$G487*$H487*(1-$J487/100)))</x:f>
      </x:c>
    </x:row>
    <x:row r="488">
      <x:c r="A488" s="13"/>
      <x:c r="B488" s="15"/>
      <x:c r="C488" s="7"/>
      <x:c r="D488" s="7"/>
      <x:c r="E488" s="7"/>
      <x:c r="F488" s="7"/>
      <x:c r="G488" s="16"/>
      <x:c r="H488" s="16"/>
      <x:c r="I488" s="9"/>
      <x:c r="J488" s="10"/>
      <x:c r="K488" s="7"/>
      <x:c r="L488" s="7"/>
      <x:c r="M488" s="7"/>
      <x:c r="N488" s="7"/>
      <x:c r="O488" s="9" t="str">
        <x:f>IF($A488="","",MAX(0,$G488*$H488*(1-$J488/100)))</x:f>
      </x:c>
    </x:row>
    <x:row r="489">
      <x:c r="A489" s="13"/>
      <x:c r="B489" s="15"/>
      <x:c r="C489" s="7"/>
      <x:c r="D489" s="7"/>
      <x:c r="E489" s="7"/>
      <x:c r="F489" s="7"/>
      <x:c r="G489" s="16"/>
      <x:c r="H489" s="16"/>
      <x:c r="I489" s="9"/>
      <x:c r="J489" s="10"/>
      <x:c r="K489" s="7"/>
      <x:c r="L489" s="7"/>
      <x:c r="M489" s="7"/>
      <x:c r="N489" s="7"/>
      <x:c r="O489" s="9" t="str">
        <x:f>IF($A489="","",MAX(0,$G489*$H489*(1-$J489/100)))</x:f>
      </x:c>
    </x:row>
    <x:row r="490">
      <x:c r="A490" s="13"/>
      <x:c r="B490" s="15"/>
      <x:c r="C490" s="7"/>
      <x:c r="D490" s="7"/>
      <x:c r="E490" s="7"/>
      <x:c r="F490" s="7"/>
      <x:c r="G490" s="16"/>
      <x:c r="H490" s="16"/>
      <x:c r="I490" s="9"/>
      <x:c r="J490" s="10"/>
      <x:c r="K490" s="7"/>
      <x:c r="L490" s="7"/>
      <x:c r="M490" s="7"/>
      <x:c r="N490" s="7"/>
      <x:c r="O490" s="9" t="str">
        <x:f>IF($A490="","",MAX(0,$G490*$H490*(1-$J490/100)))</x:f>
      </x:c>
    </x:row>
    <x:row r="491">
      <x:c r="A491" s="13"/>
      <x:c r="B491" s="15"/>
      <x:c r="C491" s="7"/>
      <x:c r="D491" s="7"/>
      <x:c r="E491" s="7"/>
      <x:c r="F491" s="7"/>
      <x:c r="G491" s="16"/>
      <x:c r="H491" s="16"/>
      <x:c r="I491" s="9"/>
      <x:c r="J491" s="10"/>
      <x:c r="K491" s="7"/>
      <x:c r="L491" s="7"/>
      <x:c r="M491" s="7"/>
      <x:c r="N491" s="7"/>
      <x:c r="O491" s="9" t="str">
        <x:f>IF($A491="","",MAX(0,$G491*$H491*(1-$J491/100)))</x:f>
      </x:c>
    </x:row>
    <x:row r="492">
      <x:c r="A492" s="13"/>
      <x:c r="B492" s="15"/>
      <x:c r="C492" s="7"/>
      <x:c r="D492" s="7"/>
      <x:c r="E492" s="7"/>
      <x:c r="F492" s="7"/>
      <x:c r="G492" s="16"/>
      <x:c r="H492" s="16"/>
      <x:c r="I492" s="9"/>
      <x:c r="J492" s="10"/>
      <x:c r="K492" s="7"/>
      <x:c r="L492" s="7"/>
      <x:c r="M492" s="7"/>
      <x:c r="N492" s="7"/>
      <x:c r="O492" s="9" t="str">
        <x:f>IF($A492="","",MAX(0,$G492*$H492*(1-$J492/100)))</x:f>
      </x:c>
    </x:row>
    <x:row r="493">
      <x:c r="A493" s="13"/>
      <x:c r="B493" s="15"/>
      <x:c r="C493" s="7"/>
      <x:c r="D493" s="7"/>
      <x:c r="E493" s="7"/>
      <x:c r="F493" s="7"/>
      <x:c r="G493" s="16"/>
      <x:c r="H493" s="16"/>
      <x:c r="I493" s="9"/>
      <x:c r="J493" s="10"/>
      <x:c r="K493" s="7"/>
      <x:c r="L493" s="7"/>
      <x:c r="M493" s="7"/>
      <x:c r="N493" s="7"/>
      <x:c r="O493" s="9" t="str">
        <x:f>IF($A493="","",MAX(0,$G493*$H493*(1-$J493/100)))</x:f>
      </x:c>
    </x:row>
    <x:row r="494">
      <x:c r="A494" s="13"/>
      <x:c r="B494" s="15"/>
      <x:c r="C494" s="7"/>
      <x:c r="D494" s="7"/>
      <x:c r="E494" s="7"/>
      <x:c r="F494" s="7"/>
      <x:c r="G494" s="16"/>
      <x:c r="H494" s="16"/>
      <x:c r="I494" s="9"/>
      <x:c r="J494" s="10"/>
      <x:c r="K494" s="7"/>
      <x:c r="L494" s="7"/>
      <x:c r="M494" s="7"/>
      <x:c r="N494" s="7"/>
      <x:c r="O494" s="9" t="str">
        <x:f>IF($A494="","",MAX(0,$G494*$H494*(1-$J494/100)))</x:f>
      </x:c>
    </x:row>
    <x:row r="495">
      <x:c r="A495" s="13"/>
      <x:c r="B495" s="15"/>
      <x:c r="C495" s="7"/>
      <x:c r="D495" s="7"/>
      <x:c r="E495" s="7"/>
      <x:c r="F495" s="7"/>
      <x:c r="G495" s="16"/>
      <x:c r="H495" s="16"/>
      <x:c r="I495" s="9"/>
      <x:c r="J495" s="10"/>
      <x:c r="K495" s="7"/>
      <x:c r="L495" s="7"/>
      <x:c r="M495" s="7"/>
      <x:c r="N495" s="7"/>
      <x:c r="O495" s="9" t="str">
        <x:f>IF($A495="","",MAX(0,$G495*$H495*(1-$J495/100)))</x:f>
      </x:c>
    </x:row>
    <x:row r="496">
      <x:c r="A496" s="13"/>
      <x:c r="B496" s="15"/>
      <x:c r="C496" s="7"/>
      <x:c r="D496" s="7"/>
      <x:c r="E496" s="7"/>
      <x:c r="F496" s="7"/>
      <x:c r="G496" s="16"/>
      <x:c r="H496" s="16"/>
      <x:c r="I496" s="9"/>
      <x:c r="J496" s="10"/>
      <x:c r="K496" s="7"/>
      <x:c r="L496" s="7"/>
      <x:c r="M496" s="7"/>
      <x:c r="N496" s="7"/>
      <x:c r="O496" s="9" t="str">
        <x:f>IF($A496="","",MAX(0,$G496*$H496*(1-$J496/100)))</x:f>
      </x:c>
    </x:row>
    <x:row r="497">
      <x:c r="A497" s="13"/>
      <x:c r="B497" s="15"/>
      <x:c r="C497" s="7"/>
      <x:c r="D497" s="7"/>
      <x:c r="E497" s="7"/>
      <x:c r="F497" s="7"/>
      <x:c r="G497" s="16"/>
      <x:c r="H497" s="16"/>
      <x:c r="I497" s="9"/>
      <x:c r="J497" s="10"/>
      <x:c r="K497" s="7"/>
      <x:c r="L497" s="7"/>
      <x:c r="M497" s="7"/>
      <x:c r="N497" s="7"/>
      <x:c r="O497" s="9" t="str">
        <x:f>IF($A497="","",MAX(0,$G497*$H497*(1-$J497/100)))</x:f>
      </x:c>
    </x:row>
    <x:row r="498">
      <x:c r="A498" s="13"/>
      <x:c r="B498" s="15"/>
      <x:c r="C498" s="7"/>
      <x:c r="D498" s="7"/>
      <x:c r="E498" s="7"/>
      <x:c r="F498" s="7"/>
      <x:c r="G498" s="16"/>
      <x:c r="H498" s="16"/>
      <x:c r="I498" s="9"/>
      <x:c r="J498" s="10"/>
      <x:c r="K498" s="7"/>
      <x:c r="L498" s="7"/>
      <x:c r="M498" s="7"/>
      <x:c r="N498" s="7"/>
      <x:c r="O498" s="9" t="str">
        <x:f>IF($A498="","",MAX(0,$G498*$H498*(1-$J498/100)))</x:f>
      </x:c>
    </x:row>
    <x:row r="499">
      <x:c r="A499" s="13"/>
      <x:c r="B499" s="15"/>
      <x:c r="C499" s="7"/>
      <x:c r="D499" s="7"/>
      <x:c r="E499" s="7"/>
      <x:c r="F499" s="7"/>
      <x:c r="G499" s="16"/>
      <x:c r="H499" s="16"/>
      <x:c r="I499" s="9"/>
      <x:c r="J499" s="10"/>
      <x:c r="K499" s="7"/>
      <x:c r="L499" s="7"/>
      <x:c r="M499" s="7"/>
      <x:c r="N499" s="7"/>
      <x:c r="O499" s="9" t="str">
        <x:f>IF($A499="","",MAX(0,$G499*$H499*(1-$J499/100)))</x:f>
      </x:c>
    </x:row>
    <x:row r="500">
      <x:c r="A500" s="13"/>
      <x:c r="B500" s="15"/>
      <x:c r="C500" s="7"/>
      <x:c r="D500" s="7"/>
      <x:c r="E500" s="7"/>
      <x:c r="F500" s="7"/>
      <x:c r="G500" s="16"/>
      <x:c r="H500" s="16"/>
      <x:c r="I500" s="9"/>
      <x:c r="J500" s="10"/>
      <x:c r="K500" s="7"/>
      <x:c r="L500" s="7"/>
      <x:c r="M500" s="7"/>
      <x:c r="N500" s="7"/>
      <x:c r="O500" s="9" t="str">
        <x:f>IF($A500="","",MAX(0,$G500*$H500*(1-$J500/100)))</x:f>
      </x:c>
    </x:row>
    <x:row r="501">
      <x:c r="A501" s="13"/>
      <x:c r="B501" s="15"/>
      <x:c r="C501" s="7"/>
      <x:c r="D501" s="7"/>
      <x:c r="E501" s="7"/>
      <x:c r="F501" s="7"/>
      <x:c r="G501" s="16"/>
      <x:c r="H501" s="16"/>
      <x:c r="I501" s="9"/>
      <x:c r="J501" s="10"/>
      <x:c r="K501" s="7"/>
      <x:c r="L501" s="7"/>
      <x:c r="M501" s="7"/>
      <x:c r="N501" s="7"/>
      <x:c r="O501" s="9" t="str">
        <x:f>IF($A501="","",MAX(0,$G501*$H501*(1-$J501/100)))</x:f>
      </x:c>
    </x:row>
  </x:sheetData>
  <x:dataValidations count="1">
    <x:dataValidation type="list" sqref="K2:K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9faeba22f647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1.25" hidden="0" customWidth="1"/>
    <x:col min="3" max="3" width="13.130000114440918" hidden="0" customWidth="1"/>
    <x:col min="4" max="4" width="16.25" hidden="0" customWidth="1"/>
    <x:col min="5" max="5" width="16.25" hidden="0" customWidth="1"/>
    <x:col min="6" max="6" width="10" hidden="0" customWidth="1"/>
    <x:col min="7" max="7" width="14.380000114440918" hidden="0" customWidth="1"/>
    <x:col min="8" max="8" width="17.5" hidden="0" customWidth="1"/>
    <x:col min="9" max="9" width="40" hidden="0" customWidth="1"/>
  </x:cols>
  <x:sheetData>
    <x:row r="1">
      <x:c r="A1" s="23" t="str">
        <x:v>Bagian</x:v>
      </x:c>
      <x:c r="B1" s="23" t="str">
        <x:v>external_code</x:v>
      </x:c>
      <x:c r="C1" s="23" t="str">
        <x:v>tanggal</x:v>
      </x:c>
      <x:c r="D1" s="23" t="str">
        <x:v>partner_code</x:v>
      </x:c>
      <x:c r="E1" s="23" t="str">
        <x:v>product_code</x:v>
      </x:c>
      <x:c r="F1" s="23" t="str">
        <x:v>qty</x:v>
      </x:c>
      <x:c r="G1" s="23" t="str">
        <x:v>unit_price</x:v>
      </x:c>
      <x:c r="H1" s="23" t="str">
        <x:v>tax/pph</x:v>
      </x:c>
      <x:c r="I1" s="23" t="str">
        <x:v>catatan</x:v>
      </x:c>
    </x:row>
    <x:row r="2">
      <x:c r="A2" s="21" t="str">
        <x:v>Purchase_Header</x:v>
      </x:c>
      <x:c r="B2" s="21" t="str">
        <x:v>CONTOH-PUR-2026-01-0001</x:v>
      </x:c>
      <x:c r="C2" s="21" t="str">
        <x:v>2026-01-15</x:v>
      </x:c>
      <x:c r="D2" s="21" t="str">
        <x:v>VND-0001</x:v>
      </x:c>
      <x:c r="E2" s="21" t="str"/>
      <x:c r="F2" s="21" t="str"/>
      <x:c r="G2" s="21" t="str"/>
      <x:c r="H2" s="21" t="str">
        <x:v>PPN 11%, PPh23 2%</x:v>
      </x:c>
      <x:c r="I2" s="21" t="str">
        <x:v>Header purchase contoh</x:v>
      </x:c>
    </x:row>
    <x:row r="3">
      <x:c r="A3" s="21" t="str">
        <x:v>Purchase_Items</x:v>
      </x:c>
      <x:c r="B3" s="21" t="str">
        <x:v>CONTOH-PUR-2026-01-0001</x:v>
      </x:c>
      <x:c r="C3" s="21" t="str"/>
      <x:c r="D3" s="21" t="str"/>
      <x:c r="E3" s="21" t="str">
        <x:v>PRD-0001</x:v>
      </x:c>
      <x:c r="F3" s="21" t="n">
        <x:v>2</x:v>
      </x:c>
      <x:c r="G3" s="21" t="n">
        <x:v>12500000</x:v>
      </x:c>
      <x:c r="H3" s="21" t="str"/>
      <x:c r="I3" s="21" t="str">
        <x:v>Laptop Dell XPS 13</x:v>
      </x:c>
    </x:row>
    <x:row r="4">
      <x:c r="A4" s="21" t="str">
        <x:v>Purchase_Items</x:v>
      </x:c>
      <x:c r="B4" s="21" t="str">
        <x:v>CONTOH-PUR-2026-01-0001</x:v>
      </x:c>
      <x:c r="C4" s="21" t="str"/>
      <x:c r="D4" s="21" t="str"/>
      <x:c r="E4" s="21" t="str">
        <x:v>PRD-0002</x:v>
      </x:c>
      <x:c r="F4" s="21" t="n">
        <x:v>5</x:v>
      </x:c>
      <x:c r="G4" s="21" t="n">
        <x:v>150000</x:v>
      </x:c>
      <x:c r="H4" s="21" t="str"/>
      <x:c r="I4" s="21" t="str">
        <x:v>Mouse Wireless</x:v>
      </x:c>
    </x:row>
    <x:row r="5">
      <x:c r="A5" s="21" t="str">
        <x:v>Sales_Header</x:v>
      </x:c>
      <x:c r="B5" s="21" t="str">
        <x:v>CONTOH-SAL-2026-01-0001</x:v>
      </x:c>
      <x:c r="C5" s="21" t="str">
        <x:v>2026-01-20</x:v>
      </x:c>
      <x:c r="D5" s="21" t="str">
        <x:v>CUST-0001</x:v>
      </x:c>
      <x:c r="E5" s="21" t="str"/>
      <x:c r="F5" s="21" t="str"/>
      <x:c r="G5" s="21" t="str"/>
      <x:c r="H5" s="21" t="str">
        <x:v>PPN 11%, PPh23 2%</x:v>
      </x:c>
      <x:c r="I5" s="21" t="str">
        <x:v>Header sales contoh</x:v>
      </x:c>
    </x:row>
    <x:row r="6">
      <x:c r="A6" t="str">
        <x:v>Sales_Items</x:v>
      </x:c>
      <x:c r="B6" t="str">
        <x:v>CONTOH-SAL-2026-01-0001</x:v>
      </x:c>
      <x:c r="C6" t="str"/>
      <x:c r="D6" t="str"/>
      <x:c r="E6" t="str">
        <x:v>PRD-0001</x:v>
      </x:c>
      <x:c r="F6" t="n">
        <x:v>1</x:v>
      </x:c>
      <x:c r="G6" t="n">
        <x:v>15900000</x:v>
      </x:c>
      <x:c r="H6" t="str"/>
      <x:c r="I6" t="str">
        <x:v>Laptop Dell XPS 13</x:v>
      </x:c>
    </x:row>
    <x:row r="7">
      <x:c r="A7" t="str">
        <x:v>Sales_Items</x:v>
      </x:c>
      <x:c r="B7" t="str">
        <x:v>CONTOH-SAL-2026-01-0001</x:v>
      </x:c>
      <x:c r="C7" t="str"/>
      <x:c r="D7" t="str"/>
      <x:c r="E7" t="str">
        <x:v>PRD-0002</x:v>
      </x:c>
      <x:c r="F7" t="n">
        <x:v>2</x:v>
      </x:c>
      <x:c r="G7" t="n">
        <x:v>250000</x:v>
      </x:c>
      <x:c r="H7" t="str"/>
      <x:c r="I7" t="str">
        <x:v>Mouse Wireless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3.75" hidden="0" customWidth="1"/>
    <x:col min="3" max="3" width="18.75" hidden="0" customWidth="1"/>
    <x:col min="4" max="4" width="13.75" hidden="0" customWidth="1"/>
    <x:col min="5" max="5" width="21.8799991607666" hidden="0" customWidth="1"/>
    <x:col min="6" max="6" width="18.75" hidden="0" customWidth="1"/>
    <x:col min="7" max="7" width="11.25" hidden="0" customWidth="1"/>
    <x:col min="8" max="8" width="11.25" hidden="0" customWidth="1"/>
    <x:col min="9" max="9" width="16.25" hidden="0" customWidth="1"/>
    <x:col min="10" max="10" width="32.5" hidden="0" customWidth="1"/>
  </x:cols>
  <x:sheetData>
    <x:row r="1">
      <x:c r="A1" s="4" t="str">
        <x:v>purchase_payment_method</x:v>
      </x:c>
      <x:c r="B1" s="4" t="str">
        <x:v>purchase_status_import</x:v>
      </x:c>
      <x:c r="C1" s="4" t="str">
        <x:v>purchase_item_type</x:v>
      </x:c>
      <x:c r="D1" s="4" t="str">
        <x:v>sale_type</x:v>
      </x:c>
      <x:c r="E1" s="4" t="str">
        <x:v>sale_payment_method_type</x:v>
      </x:c>
      <x:c r="F1" s="4" t="str">
        <x:v>sale_status_import</x:v>
      </x:c>
      <x:c r="G1" s="4" t="str">
        <x:v>yes_no</x:v>
      </x:c>
      <x:c r="H1" s="4" t="str">
        <x:v>boolean</x:v>
      </x:c>
      <x:c r="I1" s="4" t="str">
        <x:v>common_coa_code</x:v>
      </x:c>
      <x:c r="J1" s="4" t="str">
        <x:v>common_coa_name</x:v>
      </x:c>
    </x:row>
    <x:row r="2">
      <x:c r="A2" t="str">
        <x:v>CREDIT</x:v>
      </x:c>
      <x:c r="B2" t="str">
        <x:v>DRAFT</x:v>
      </x:c>
      <x:c r="C2" t="str">
        <x:v>INVENTORY</x:v>
      </x:c>
      <x:c r="D2" t="str">
        <x:v>INVOICE</x:v>
      </x:c>
      <x:c r="E2" t="str">
        <x:v>CREDIT</x:v>
      </x:c>
      <x:c r="F2" t="str">
        <x:v>DRAFT</x:v>
      </x:c>
      <x:c r="G2" t="str">
        <x:v>YES</x:v>
      </x:c>
      <x:c r="H2" t="str">
        <x:v>TRUE</x:v>
      </x:c>
      <x:c r="I2" t="str">
        <x:v>1101-001</x:v>
      </x:c>
      <x:c r="J2" t="str">
        <x:v>KAS KECIL</x:v>
      </x:c>
    </x:row>
    <x:row r="3">
      <x:c r="A3" t="str">
        <x:v>CASH</x:v>
      </x:c>
      <x:c r="B3" t="str">
        <x:v>PENDING_APPROVAL</x:v>
      </x:c>
      <x:c r="C3" t="str">
        <x:v>ASSET</x:v>
      </x:c>
      <x:c r="D3" t="str">
        <x:v>ORDER</x:v>
      </x:c>
      <x:c r="E3" t="str">
        <x:v>CASH</x:v>
      </x:c>
      <x:c r="F3" t="str">
        <x:v>INVOICED</x:v>
      </x:c>
      <x:c r="G3" t="str">
        <x:v>NO</x:v>
      </x:c>
      <x:c r="H3" t="str">
        <x:v>FALSE</x:v>
      </x:c>
      <x:c r="I3" t="str">
        <x:v>1101-003</x:v>
      </x:c>
      <x:c r="J3" t="str">
        <x:v>BANK GIRO</x:v>
      </x:c>
    </x:row>
    <x:row r="4">
      <x:c r="A4" t="str">
        <x:v>BANK_TRANSFER</x:v>
      </x:c>
      <x:c r="B4" t="str">
        <x:v>PENDING_ACCOUNTING</x:v>
      </x:c>
      <x:c r="C4" t="str">
        <x:v>PREPAID</x:v>
      </x:c>
      <x:c r="D4" t="str">
        <x:v>QUOTATION</x:v>
      </x:c>
      <x:c r="E4" t="str">
        <x:v>BANK</x:v>
      </x:c>
      <x:c r="F4" t="str">
        <x:v>PARTIALLY_PAID</x:v>
      </x:c>
      <x:c r="G4"/>
      <x:c r="H4"/>
      <x:c r="I4" t="str">
        <x:v>1102-001</x:v>
      </x:c>
      <x:c r="J4" t="str">
        <x:v>PIUTANG USAHA - PIHAK KETIGA</x:v>
      </x:c>
    </x:row>
    <x:row r="5">
      <x:c r="A5" t="str">
        <x:v>CHECK</x:v>
      </x:c>
      <x:c r="B5" t="str">
        <x:v>PENDING_FINAL_APPROVAL</x:v>
      </x:c>
      <x:c r="C5"/>
      <x:c r="D5"/>
      <x:c r="E5"/>
      <x:c r="F5" t="str">
        <x:v>PAID</x:v>
      </x:c>
      <x:c r="G5"/>
      <x:c r="H5"/>
      <x:c r="I5" t="str">
        <x:v>1103-001</x:v>
      </x:c>
      <x:c r="J5" t="str">
        <x:v>PERSEDIAAN BARANG DAGANG</x:v>
      </x:c>
    </x:row>
    <x:row r="6">
      <x:c r="A6"/>
      <x:c r="B6" t="str">
        <x:v>APPROVED</x:v>
      </x:c>
      <x:c r="C6"/>
      <x:c r="D6"/>
      <x:c r="E6"/>
      <x:c r="F6"/>
      <x:c r="G6"/>
      <x:c r="H6"/>
      <x:c r="I6" t="str">
        <x:v>2101-001</x:v>
      </x:c>
      <x:c r="J6" t="str">
        <x:v>UTANG USAHA - LOKAL</x:v>
      </x:c>
    </x:row>
    <x:row r="7">
      <x:c r="A7"/>
      <x:c r="B7" t="str">
        <x:v>PAID</x:v>
      </x:c>
      <x:c r="C7"/>
      <x:c r="D7"/>
      <x:c r="E7"/>
      <x:c r="F7"/>
      <x:c r="G7"/>
      <x:c r="H7"/>
      <x:c r="I7" t="str">
        <x:v>2102-001</x:v>
      </x:c>
      <x:c r="J7" t="str">
        <x:v>PPN KELUARAN</x:v>
      </x:c>
    </x:row>
    <x:row r="8">
      <x:c r="A8"/>
      <x:c r="B8"/>
      <x:c r="C8"/>
      <x:c r="D8"/>
      <x:c r="E8"/>
      <x:c r="F8"/>
      <x:c r="G8"/>
      <x:c r="H8"/>
      <x:c r="I8" t="str">
        <x:v>2102-002</x:v>
      </x:c>
      <x:c r="J8" t="str">
        <x:v>PPN MASUKAN</x:v>
      </x:c>
    </x:row>
    <x:row r="9">
      <x:c r="A9"/>
      <x:c r="B9"/>
      <x:c r="C9"/>
      <x:c r="D9"/>
      <x:c r="E9"/>
      <x:c r="F9"/>
      <x:c r="G9"/>
      <x:c r="H9"/>
      <x:c r="I9" t="str">
        <x:v>2102-004</x:v>
      </x:c>
      <x:c r="J9" t="str">
        <x:v>HUTANG PPH PASAL 23</x:v>
      </x:c>
    </x:row>
    <x:row r="10">
      <x:c r="A10"/>
      <x:c r="B10"/>
      <x:c r="C10"/>
      <x:c r="D10"/>
      <x:c r="E10"/>
      <x:c r="F10"/>
      <x:c r="G10"/>
      <x:c r="H10"/>
      <x:c r="I10" t="str">
        <x:v>4101-001</x:v>
      </x:c>
      <x:c r="J10" t="str">
        <x:v>PENJUALAN LOKAL</x:v>
      </x:c>
    </x:row>
    <x:row r="11">
      <x:c r="A11"/>
      <x:c r="B11"/>
      <x:c r="C11"/>
      <x:c r="D11"/>
      <x:c r="E11"/>
      <x:c r="F11"/>
      <x:c r="G11"/>
      <x:c r="H11"/>
      <x:c r="I11" t="str">
        <x:v>5101</x:v>
      </x:c>
      <x:c r="J11" t="str">
        <x:v>PEMBELIAN BARANG DAGANG</x:v>
      </x:c>
    </x:row>
  </x:sheetData>
  <x:pageMargins left="0.7" right="0.7" top="0.75" bottom="0.75" header="0.3" footer="0.3"/>
</x:worksheet>
</file>